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1" sheetId="1" r:id="rId5"/>
    <sheet state="visible" name="Printables" sheetId="2" r:id="rId6"/>
    <sheet state="visible" name="BACKEND2" sheetId="3" r:id="rId7"/>
    <sheet state="visible" name="Prices" sheetId="4" r:id="rId8"/>
    <sheet state="visible" name="Report Format" sheetId="5" r:id="rId9"/>
    <sheet state="visible" name="CogsReport" sheetId="6" r:id="rId10"/>
    <sheet state="visible" name="Temp1" sheetId="7" r:id="rId11"/>
    <sheet state="visible" name="23rd-24thMAY" sheetId="8" r:id="rId12"/>
    <sheet state="visible" name="22ndMAY" sheetId="9" r:id="rId13"/>
    <sheet state="visible" name="19th-21stMAY" sheetId="10" r:id="rId14"/>
    <sheet state="visible" name="15th-18thMAY" sheetId="11" r:id="rId15"/>
    <sheet state="visible" name="14thMAY" sheetId="12" r:id="rId16"/>
    <sheet state="visible" name="13TH-11THMAY" sheetId="13" r:id="rId17"/>
    <sheet state="visible" name="10thMAY" sheetId="14" r:id="rId18"/>
    <sheet state="visible" name="9thMAY" sheetId="15" r:id="rId19"/>
    <sheet state="visible" name="8thMAY" sheetId="16" r:id="rId20"/>
    <sheet state="visible" name="7thMAY" sheetId="17" r:id="rId21"/>
    <sheet state="visible" name="6thMAY" sheetId="18" r:id="rId22"/>
    <sheet state="visible" name="5thMAY" sheetId="19" r:id="rId23"/>
    <sheet state="visible" name="4thMAY" sheetId="20" r:id="rId24"/>
    <sheet state="visible" name="3rdMAY" sheetId="21" r:id="rId25"/>
    <sheet state="visible" name="2ndMAY" sheetId="22" r:id="rId26"/>
    <sheet state="visible" name="1stMay-30thApril" sheetId="23" r:id="rId27"/>
    <sheet state="hidden" name="27TH-29THAPRIL" sheetId="24" r:id="rId28"/>
    <sheet state="hidden" name="26TH-25THAPRIL" sheetId="25" r:id="rId29"/>
    <sheet state="hidden" name="24THAPRIL" sheetId="26" r:id="rId30"/>
    <sheet state="hidden" name="23RDAPRIL" sheetId="27" r:id="rId31"/>
  </sheets>
  <definedNames/>
  <calcPr/>
</workbook>
</file>

<file path=xl/sharedStrings.xml><?xml version="1.0" encoding="utf-8"?>
<sst xmlns="http://schemas.openxmlformats.org/spreadsheetml/2006/main" count="21716" uniqueCount="765">
  <si>
    <t>KICTHEN COMMON ITEM DATA COLLECTION SHEET 2025</t>
  </si>
  <si>
    <t>WHOLE</t>
  </si>
  <si>
    <t>REMAINDER</t>
  </si>
  <si>
    <t>R.U.O.M Per W.U.O.M</t>
  </si>
  <si>
    <t>Weight</t>
  </si>
  <si>
    <t>Item</t>
  </si>
  <si>
    <t>Whole Unit of Measurement 
(W.U.O.M)</t>
  </si>
  <si>
    <t>Remainder Unit of Measurement
(R.U.O.M)</t>
  </si>
  <si>
    <t>U.O.M</t>
  </si>
  <si>
    <t>Qty or No.</t>
  </si>
  <si>
    <t>Empty Tin or Container Or Bottle Weight (Kg)</t>
  </si>
  <si>
    <t>Condiments</t>
  </si>
  <si>
    <t>Bread Loaf</t>
  </si>
  <si>
    <t>Loaf</t>
  </si>
  <si>
    <t>kg</t>
  </si>
  <si>
    <t>Kg Per Loaf</t>
  </si>
  <si>
    <t>Burger Buns</t>
  </si>
  <si>
    <t>Pcs</t>
  </si>
  <si>
    <t>Pc Per Pkts</t>
  </si>
  <si>
    <t>Slider Buns</t>
  </si>
  <si>
    <t>Soup Buns</t>
  </si>
  <si>
    <t>Baguette Bread</t>
  </si>
  <si>
    <t>Foccacia Bread</t>
  </si>
  <si>
    <t>White vinegar</t>
  </si>
  <si>
    <t>Bottles</t>
  </si>
  <si>
    <t>Liters</t>
  </si>
  <si>
    <t>Ltrs per Btl</t>
  </si>
  <si>
    <t>Heinz ketchup bottles</t>
  </si>
  <si>
    <t>Btls per Btls</t>
  </si>
  <si>
    <t>Apple cider vinegar</t>
  </si>
  <si>
    <t>Balsamic Vinegar</t>
  </si>
  <si>
    <t>Litre</t>
  </si>
  <si>
    <t>Litre per Bottle</t>
  </si>
  <si>
    <t>Tomato paste</t>
  </si>
  <si>
    <t>Tins</t>
  </si>
  <si>
    <t>Kg</t>
  </si>
  <si>
    <t>Kg Per Tin</t>
  </si>
  <si>
    <t>Tabasco</t>
  </si>
  <si>
    <t>Kgs per Pc</t>
  </si>
  <si>
    <t>Ketchup sachets</t>
  </si>
  <si>
    <t>Packet</t>
  </si>
  <si>
    <t>Pcs per Pkt</t>
  </si>
  <si>
    <t>Mustard</t>
  </si>
  <si>
    <t>Kgs per Btl</t>
  </si>
  <si>
    <t>Pancake syrup 710ml</t>
  </si>
  <si>
    <t>Vanilla esscence</t>
  </si>
  <si>
    <t>Srawberry Syrup</t>
  </si>
  <si>
    <t>Btls</t>
  </si>
  <si>
    <t xml:space="preserve">Ltr </t>
  </si>
  <si>
    <t>Ltr per Btl</t>
  </si>
  <si>
    <t>Caramel syrup</t>
  </si>
  <si>
    <t>Ltr</t>
  </si>
  <si>
    <t>Chocolate syrup</t>
  </si>
  <si>
    <t>Honey</t>
  </si>
  <si>
    <t>Kg per Kg</t>
  </si>
  <si>
    <t>Ketchup 5L</t>
  </si>
  <si>
    <t>Jerrycan</t>
  </si>
  <si>
    <t>Dry Foods</t>
  </si>
  <si>
    <t>Baking flour</t>
  </si>
  <si>
    <t>Pkts</t>
  </si>
  <si>
    <t>Kg Per Pkts</t>
  </si>
  <si>
    <t>Baking Powder</t>
  </si>
  <si>
    <t>Basmati rice</t>
  </si>
  <si>
    <t>Kg Per Kg</t>
  </si>
  <si>
    <t>Corn flour</t>
  </si>
  <si>
    <t>Oils, Fats &amp; Creams</t>
  </si>
  <si>
    <t>Cooking oil 20L</t>
  </si>
  <si>
    <t>Liters Per Jerrycan</t>
  </si>
  <si>
    <t>Croma Butter</t>
  </si>
  <si>
    <t>kg per kg</t>
  </si>
  <si>
    <t>Prestige</t>
  </si>
  <si>
    <t>Cooking cream</t>
  </si>
  <si>
    <t>Packs</t>
  </si>
  <si>
    <t>Ltrs per Pc</t>
  </si>
  <si>
    <t>Sunseed Oil 5L</t>
  </si>
  <si>
    <t>Liters Per Pc</t>
  </si>
  <si>
    <t>Whipping cream</t>
  </si>
  <si>
    <t>Olive Oil</t>
  </si>
  <si>
    <t>Can</t>
  </si>
  <si>
    <t>Liters Per Can</t>
  </si>
  <si>
    <t>Coconut Oil</t>
  </si>
  <si>
    <t>Kg per Jerry</t>
  </si>
  <si>
    <t>Seseame Oil</t>
  </si>
  <si>
    <t>Bottle</t>
  </si>
  <si>
    <t>Kg per Bottle</t>
  </si>
  <si>
    <t>Sauces</t>
  </si>
  <si>
    <t>Light soy sauce</t>
  </si>
  <si>
    <t>Dark soy sauce</t>
  </si>
  <si>
    <t>Sweet chilli sauce</t>
  </si>
  <si>
    <t>Oyster sauce</t>
  </si>
  <si>
    <t>Worcestershire sauce</t>
  </si>
  <si>
    <t>Top up sauce</t>
  </si>
  <si>
    <t>Fish Sauce</t>
  </si>
  <si>
    <t>Red Wine</t>
  </si>
  <si>
    <t>Mls per Bottle</t>
  </si>
  <si>
    <t>White Wine</t>
  </si>
  <si>
    <t>Spices</t>
  </si>
  <si>
    <t>Turmeric</t>
  </si>
  <si>
    <t>Kgs per Pkt</t>
  </si>
  <si>
    <t>Paprika</t>
  </si>
  <si>
    <t>Origano</t>
  </si>
  <si>
    <t>Curry powder</t>
  </si>
  <si>
    <t>Black pepper powder</t>
  </si>
  <si>
    <t>Black pepper Seeds</t>
  </si>
  <si>
    <t>Cumin seeds</t>
  </si>
  <si>
    <t>Simba mbili</t>
  </si>
  <si>
    <t>Tin</t>
  </si>
  <si>
    <t>Kgs per Tin</t>
  </si>
  <si>
    <t>Cinnamon powder</t>
  </si>
  <si>
    <t>Ground cloves</t>
  </si>
  <si>
    <t>Pilau masala</t>
  </si>
  <si>
    <t>Cocoa powder</t>
  </si>
  <si>
    <t>Yeast 500g</t>
  </si>
  <si>
    <t>Kg per Pcs</t>
  </si>
  <si>
    <t>Thyme</t>
  </si>
  <si>
    <t>Kg per Pkt</t>
  </si>
  <si>
    <t>Raisins</t>
  </si>
  <si>
    <t>Temeric Powder</t>
  </si>
  <si>
    <t>Cummin seeds</t>
  </si>
  <si>
    <t>NutMeg</t>
  </si>
  <si>
    <t>Cummin Powder</t>
  </si>
  <si>
    <t>Garlic Powder</t>
  </si>
  <si>
    <t>Ginger Powder</t>
  </si>
  <si>
    <t>Cardamons Powder</t>
  </si>
  <si>
    <t>Comardoms Seeds</t>
  </si>
  <si>
    <t>Ellebi Rose Powder</t>
  </si>
  <si>
    <t>Garam Masala</t>
  </si>
  <si>
    <t>Fenugreek Leaves</t>
  </si>
  <si>
    <t>King Masala</t>
  </si>
  <si>
    <t>Sesame Seeds</t>
  </si>
  <si>
    <t>Cashew Nuts</t>
  </si>
  <si>
    <t>White Pepper</t>
  </si>
  <si>
    <t>Coriander Powder</t>
  </si>
  <si>
    <t>Chaat Masala</t>
  </si>
  <si>
    <t>Coriander Seeds</t>
  </si>
  <si>
    <t>Meat Tenderizer 100g</t>
  </si>
  <si>
    <t>tin</t>
  </si>
  <si>
    <t>Kg per Tin</t>
  </si>
  <si>
    <t>Chicken Cubes</t>
  </si>
  <si>
    <t>Piece</t>
  </si>
  <si>
    <t>Kg Per Piece</t>
  </si>
  <si>
    <t>Chicken Tikka Masala 100g</t>
  </si>
  <si>
    <t>Kg Per Packet</t>
  </si>
  <si>
    <t>Chilli Powder</t>
  </si>
  <si>
    <t xml:space="preserve">Kg Per Packet </t>
  </si>
  <si>
    <t>Onion powder</t>
  </si>
  <si>
    <t>Sweeteners</t>
  </si>
  <si>
    <t>Brown sugar</t>
  </si>
  <si>
    <t>Sugar</t>
  </si>
  <si>
    <t>Icing sugar</t>
  </si>
  <si>
    <t>Bbq sauce</t>
  </si>
  <si>
    <t>Canned goods</t>
  </si>
  <si>
    <t>Aromat</t>
  </si>
  <si>
    <t>Kig per Tin</t>
  </si>
  <si>
    <t>Salt</t>
  </si>
  <si>
    <t>Pkt</t>
  </si>
  <si>
    <t>Kg per Packet</t>
  </si>
  <si>
    <t>Sweet corn</t>
  </si>
  <si>
    <t>Coconut Milk</t>
  </si>
  <si>
    <t>Peanut butter</t>
  </si>
  <si>
    <t>Black olives</t>
  </si>
  <si>
    <t>Green olives</t>
  </si>
  <si>
    <t>Mushroom Tin</t>
  </si>
  <si>
    <t>Pickles</t>
  </si>
  <si>
    <t>Grapes</t>
  </si>
  <si>
    <t>Dates</t>
  </si>
  <si>
    <t>Mayonnaise big tin</t>
  </si>
  <si>
    <t>Baked Beans</t>
  </si>
  <si>
    <t>Zesta Jam</t>
  </si>
  <si>
    <t>Red Cherries</t>
  </si>
  <si>
    <t>Gren Cherries</t>
  </si>
  <si>
    <t>Muesli Frunt &amp; Nut</t>
  </si>
  <si>
    <t>Kg Per Pkt</t>
  </si>
  <si>
    <t>Mayonnaise 885ml</t>
  </si>
  <si>
    <t>Sprinkles</t>
  </si>
  <si>
    <t>Dairy</t>
  </si>
  <si>
    <t>Fresh milk/Jesa</t>
  </si>
  <si>
    <t>Liters Per Liters</t>
  </si>
  <si>
    <t>Mozzarella cheese</t>
  </si>
  <si>
    <t>Kgs Per Pc</t>
  </si>
  <si>
    <t>Parmesan cheese</t>
  </si>
  <si>
    <t>Cheddar cheese</t>
  </si>
  <si>
    <t>Plain yoghurt</t>
  </si>
  <si>
    <t>Lato ghee</t>
  </si>
  <si>
    <t>Fruits &amp; Vegetables</t>
  </si>
  <si>
    <t>Hard lettuce</t>
  </si>
  <si>
    <t>Pcs Per Pcs</t>
  </si>
  <si>
    <t>Soft lettuce</t>
  </si>
  <si>
    <t>Onions</t>
  </si>
  <si>
    <t>White cabbage</t>
  </si>
  <si>
    <t>Red cabbage</t>
  </si>
  <si>
    <t>Carrots</t>
  </si>
  <si>
    <t>Fresh Mushroom</t>
  </si>
  <si>
    <t>Tomatoes</t>
  </si>
  <si>
    <t>Broccoli</t>
  </si>
  <si>
    <t>Mangoes</t>
  </si>
  <si>
    <t>Ginger</t>
  </si>
  <si>
    <t>Garlic</t>
  </si>
  <si>
    <t>Green pepper</t>
  </si>
  <si>
    <t>Red pepper</t>
  </si>
  <si>
    <t>Yellow pepper</t>
  </si>
  <si>
    <t>Mint leaves</t>
  </si>
  <si>
    <t>Bundles</t>
  </si>
  <si>
    <t>Bdls Per Bdls</t>
  </si>
  <si>
    <t>Coriander</t>
  </si>
  <si>
    <t>Spinach</t>
  </si>
  <si>
    <t>Eggs</t>
  </si>
  <si>
    <t>Tray</t>
  </si>
  <si>
    <t>Pcs Per Tray</t>
  </si>
  <si>
    <t>Chinese cabbage</t>
  </si>
  <si>
    <t>Spring onions</t>
  </si>
  <si>
    <t>Bay leaves</t>
  </si>
  <si>
    <t>Basil leaves</t>
  </si>
  <si>
    <t>Lime</t>
  </si>
  <si>
    <t>Strawberry</t>
  </si>
  <si>
    <t>Lemon</t>
  </si>
  <si>
    <t>Watermelon</t>
  </si>
  <si>
    <t>Oranges</t>
  </si>
  <si>
    <t>Apples</t>
  </si>
  <si>
    <t>Pcs per Pcs</t>
  </si>
  <si>
    <t>Yellow oranges</t>
  </si>
  <si>
    <t>Avocado</t>
  </si>
  <si>
    <t>Kiwi fruits</t>
  </si>
  <si>
    <t>Cauliflower</t>
  </si>
  <si>
    <t>Rosemary</t>
  </si>
  <si>
    <t>Black Beans</t>
  </si>
  <si>
    <t>kg Per Kg</t>
  </si>
  <si>
    <t>Cucumber</t>
  </si>
  <si>
    <t>Cherry Tomatoes</t>
  </si>
  <si>
    <t>Babby Marrow</t>
  </si>
  <si>
    <t>Pc Per Pcs</t>
  </si>
  <si>
    <t>French Beans</t>
  </si>
  <si>
    <t>Pasely</t>
  </si>
  <si>
    <t>Pineapple</t>
  </si>
  <si>
    <t>pcs</t>
  </si>
  <si>
    <t>Celery leaves</t>
  </si>
  <si>
    <t>Bok choy</t>
  </si>
  <si>
    <t>kgs</t>
  </si>
  <si>
    <t>Rocket leaves</t>
  </si>
  <si>
    <t>Radish</t>
  </si>
  <si>
    <t>Yellow Banana</t>
  </si>
  <si>
    <t>Cluster</t>
  </si>
  <si>
    <t>Irish potatoes</t>
  </si>
  <si>
    <t>Plantain</t>
  </si>
  <si>
    <t>Cluster Per Cluster</t>
  </si>
  <si>
    <t>Others: Uncategorized (Add list below)</t>
  </si>
  <si>
    <t>Packet Per Pack</t>
  </si>
  <si>
    <t>Penne</t>
  </si>
  <si>
    <t>Spaghettini</t>
  </si>
  <si>
    <t>Kg per Pkts</t>
  </si>
  <si>
    <t>Aji-no-Moto</t>
  </si>
  <si>
    <t>Pure Refined Salt</t>
  </si>
  <si>
    <t>Disposable &amp; Packaging</t>
  </si>
  <si>
    <t>Serviettes</t>
  </si>
  <si>
    <t>Pckt</t>
  </si>
  <si>
    <t>Packet Per Packet</t>
  </si>
  <si>
    <t>Wet Wipes</t>
  </si>
  <si>
    <t>Pcs Per Packet</t>
  </si>
  <si>
    <t>Burger Box</t>
  </si>
  <si>
    <t>Pc</t>
  </si>
  <si>
    <t>Cling film</t>
  </si>
  <si>
    <t>Rolls</t>
  </si>
  <si>
    <t>Kg Per Roll</t>
  </si>
  <si>
    <t>Chips bags</t>
  </si>
  <si>
    <t>Aluminium foil</t>
  </si>
  <si>
    <t>Square takeaway containers</t>
  </si>
  <si>
    <t>Sauce cups</t>
  </si>
  <si>
    <t>Pcaket</t>
  </si>
  <si>
    <t>Round big takeaway containers</t>
  </si>
  <si>
    <t>Takeaway forks</t>
  </si>
  <si>
    <t>Takeaway spoons</t>
  </si>
  <si>
    <t>Patio Bella take away bags</t>
  </si>
  <si>
    <t>Patio Bella pizza boxes</t>
  </si>
  <si>
    <t>PATIO BELLA — KITCHEN COMMON ITEMS COUNTING STOCK CARD</t>
  </si>
  <si>
    <t>DATE:</t>
  </si>
  <si>
    <t>SHIFT / SESSION:</t>
  </si>
  <si>
    <t>COUNTED BY:</t>
  </si>
  <si>
    <t>ITEM</t>
  </si>
  <si>
    <t>UNITS OPENED</t>
  </si>
  <si>
    <t>QTY</t>
  </si>
  <si>
    <t>Bottles / Tins / Packets</t>
  </si>
  <si>
    <t>CONDIMENTS &amp; BREAD</t>
  </si>
  <si>
    <t>Slinder Buns / Mini Burger Buns</t>
  </si>
  <si>
    <t>Breadcrumbs</t>
  </si>
  <si>
    <t>Packets</t>
  </si>
  <si>
    <t>Chapati Flour</t>
  </si>
  <si>
    <t>DRY FOODS &amp; GRAINS</t>
  </si>
  <si>
    <t>Baking Flour / Azam</t>
  </si>
  <si>
    <t>Basmati Rice</t>
  </si>
  <si>
    <t>Sack</t>
  </si>
  <si>
    <t>Corn Flour (Starch)</t>
  </si>
  <si>
    <t>Penne Pasta</t>
  </si>
  <si>
    <t>OILS, FATS &amp; CREAMS</t>
  </si>
  <si>
    <t>Cooking Oil 20L</t>
  </si>
  <si>
    <t>Litres</t>
  </si>
  <si>
    <t>Sesame Oil</t>
  </si>
  <si>
    <t>Unsalted Butter</t>
  </si>
  <si>
    <t>Cooking Cream</t>
  </si>
  <si>
    <t>Whipping Cream</t>
  </si>
  <si>
    <t>Lato Ghee</t>
  </si>
  <si>
    <t>SAUCES &amp; CONDIMENTS</t>
  </si>
  <si>
    <t>Light Soy Sauce</t>
  </si>
  <si>
    <t>Dark Soy Sauce</t>
  </si>
  <si>
    <t>Sweet Chilli Sauce</t>
  </si>
  <si>
    <t>Oyster Sauce</t>
  </si>
  <si>
    <t>Fish Sauce 750ml</t>
  </si>
  <si>
    <t>Worcestershire Sauce</t>
  </si>
  <si>
    <t>Top Up Sauce (Tomato Sauce)</t>
  </si>
  <si>
    <t>Heinz Ketchup Bottle</t>
  </si>
  <si>
    <t>Heinz Ketchup Jerrycan</t>
  </si>
  <si>
    <t>Tomato Paste</t>
  </si>
  <si>
    <t>BBQ Sauce</t>
  </si>
  <si>
    <t>Apple Cider Vinegar</t>
  </si>
  <si>
    <t>White Vinegar</t>
  </si>
  <si>
    <t>Pancake Syrup 710ml</t>
  </si>
  <si>
    <t>Vanilla Essence</t>
  </si>
  <si>
    <t>Strawberry Syrup 623g</t>
  </si>
  <si>
    <t>Caramel Syrup 623g</t>
  </si>
  <si>
    <t>Chocolate Syrup 623g</t>
  </si>
  <si>
    <t>Mayonnaise</t>
  </si>
  <si>
    <t>Red Wine (cooking)</t>
  </si>
  <si>
    <t>White Wine (cooking)</t>
  </si>
  <si>
    <t>SPICES &amp; HERBS</t>
  </si>
  <si>
    <t>Turmeric Powder</t>
  </si>
  <si>
    <t>Oregano</t>
  </si>
  <si>
    <t>Curry Powder</t>
  </si>
  <si>
    <t>Black Pepper Powder</t>
  </si>
  <si>
    <t>Black Pepper Seeds</t>
  </si>
  <si>
    <t>Simba Mbili</t>
  </si>
  <si>
    <t>Cinnamon Powder</t>
  </si>
  <si>
    <t>Cloves</t>
  </si>
  <si>
    <t>Pilau Masala</t>
  </si>
  <si>
    <t>Nutmeg</t>
  </si>
  <si>
    <t>Cumin Seeds</t>
  </si>
  <si>
    <t>Cumin Powder</t>
  </si>
  <si>
    <t>Cardamom Powder</t>
  </si>
  <si>
    <t>Cardamom Seeds</t>
  </si>
  <si>
    <t>White Pepper Powder</t>
  </si>
  <si>
    <t>Onion Powder</t>
  </si>
  <si>
    <t>Chicken Tikka Masala</t>
  </si>
  <si>
    <t>SWEETENERS</t>
  </si>
  <si>
    <t>White Sugar</t>
  </si>
  <si>
    <t>Brown Sugar</t>
  </si>
  <si>
    <t>Icing Sugar</t>
  </si>
  <si>
    <t>CANNED GOODS</t>
  </si>
  <si>
    <t>Sweet Corn</t>
  </si>
  <si>
    <t>Black Olives</t>
  </si>
  <si>
    <t>Green Olives</t>
  </si>
  <si>
    <t>Green Cherries</t>
  </si>
  <si>
    <t>Muesli Fruit &amp; Nut 357g</t>
  </si>
  <si>
    <t>Tomato Paste (Canned)</t>
  </si>
  <si>
    <t>DAIRY</t>
  </si>
  <si>
    <t>Fresh Milk / Jesa</t>
  </si>
  <si>
    <t>Mozzarella Cheese</t>
  </si>
  <si>
    <t>Parmesan Cheese</t>
  </si>
  <si>
    <t>Feta Cheese</t>
  </si>
  <si>
    <t>Cheddar Cheese</t>
  </si>
  <si>
    <t>Plain Yoghurt</t>
  </si>
  <si>
    <t>Cream Cheese</t>
  </si>
  <si>
    <t>FRUITS &amp; VEGETABLES</t>
  </si>
  <si>
    <t>Hard Lettuce</t>
  </si>
  <si>
    <t>Soft Lettuce</t>
  </si>
  <si>
    <t>White Cabbage</t>
  </si>
  <si>
    <t>Red Cabbage</t>
  </si>
  <si>
    <t>Green Pepper</t>
  </si>
  <si>
    <t>Red Pepper</t>
  </si>
  <si>
    <t>Yellow Pepper</t>
  </si>
  <si>
    <t>Mint Leaves</t>
  </si>
  <si>
    <t>Bok Choy</t>
  </si>
  <si>
    <t>Spring Onions</t>
  </si>
  <si>
    <t>Bay Leaves</t>
  </si>
  <si>
    <t>Celery</t>
  </si>
  <si>
    <t>Rocket Leaves</t>
  </si>
  <si>
    <t>Basil Leaves</t>
  </si>
  <si>
    <t>Parsley</t>
  </si>
  <si>
    <t>Baby Marrow (Zucchini)</t>
  </si>
  <si>
    <t>Irish Potatoes</t>
  </si>
  <si>
    <t>DISPOSABLES &amp; PACKAGING</t>
  </si>
  <si>
    <t>Ketchup Sachets</t>
  </si>
  <si>
    <t>Cling Film</t>
  </si>
  <si>
    <t>Roll</t>
  </si>
  <si>
    <t>Chips Bags</t>
  </si>
  <si>
    <t>Aluminium Foil</t>
  </si>
  <si>
    <t>Bicarbonate of Soda</t>
  </si>
  <si>
    <t>Square Takeaway Containers</t>
  </si>
  <si>
    <t>Round Big Takeaway Containers</t>
  </si>
  <si>
    <t>Sauce Cups</t>
  </si>
  <si>
    <t>Takeaway Forks 50pcs</t>
  </si>
  <si>
    <t>Takeaway Spoons 50pcs</t>
  </si>
  <si>
    <t>Patio Bella Takeaway Bags 50pcs</t>
  </si>
  <si>
    <t>Patio Bella Pizza Boxes</t>
  </si>
  <si>
    <t>Gloves (Kitchen)</t>
  </si>
  <si>
    <t>Box</t>
  </si>
  <si>
    <t>Cling Wrap / Plastic Wrap</t>
  </si>
  <si>
    <t>COUNTED BY: _______________________ KITCHEN SUPERVISOR: _______________________ MANAGER SIGN-OFF: _______________________</t>
  </si>
  <si>
    <t xml:space="preserve"> </t>
  </si>
  <si>
    <t>Portion Weight (Kg)</t>
  </si>
  <si>
    <t>Carribean jerk</t>
  </si>
  <si>
    <t>Portions</t>
  </si>
  <si>
    <t>Pcs per ptn</t>
  </si>
  <si>
    <t>450g</t>
  </si>
  <si>
    <t>Chicken breast</t>
  </si>
  <si>
    <t>Ptns</t>
  </si>
  <si>
    <t>250g</t>
  </si>
  <si>
    <t>Chicken wings</t>
  </si>
  <si>
    <t>510g</t>
  </si>
  <si>
    <t>Chicken burger</t>
  </si>
  <si>
    <t>Ptn per ptn</t>
  </si>
  <si>
    <t>130g</t>
  </si>
  <si>
    <t>Min Chicken burger</t>
  </si>
  <si>
    <t>75g</t>
  </si>
  <si>
    <t>Chicken lollipos</t>
  </si>
  <si>
    <t>420g</t>
  </si>
  <si>
    <t>Chicken pizza</t>
  </si>
  <si>
    <t>Chicken Tenders</t>
  </si>
  <si>
    <t>170g</t>
  </si>
  <si>
    <t>Chicken skewers</t>
  </si>
  <si>
    <t>300g</t>
  </si>
  <si>
    <t>Chicken stroganoff</t>
  </si>
  <si>
    <t>270g</t>
  </si>
  <si>
    <t>Chicken spring rolls</t>
  </si>
  <si>
    <t>200g</t>
  </si>
  <si>
    <t>Chicken Samosas</t>
  </si>
  <si>
    <t>Pork ribs</t>
  </si>
  <si>
    <t>370g</t>
  </si>
  <si>
    <t>Pork chops</t>
  </si>
  <si>
    <t>Sizzling pork</t>
  </si>
  <si>
    <t>100g</t>
  </si>
  <si>
    <t>Pork pizza</t>
  </si>
  <si>
    <t>Bacon</t>
  </si>
  <si>
    <t>120g</t>
  </si>
  <si>
    <t>Bacon Warp</t>
  </si>
  <si>
    <t>Beef fillet</t>
  </si>
  <si>
    <t>Panfried goat</t>
  </si>
  <si>
    <t>400g</t>
  </si>
  <si>
    <t>Goat ribs</t>
  </si>
  <si>
    <t>Ptns per ptn</t>
  </si>
  <si>
    <t>500g</t>
  </si>
  <si>
    <t>Goat stew</t>
  </si>
  <si>
    <t>Beef stragnoff</t>
  </si>
  <si>
    <t>Beef pizza</t>
  </si>
  <si>
    <t>Beef sausages</t>
  </si>
  <si>
    <t>Beef burger patty</t>
  </si>
  <si>
    <t>150g</t>
  </si>
  <si>
    <t>Bolognese</t>
  </si>
  <si>
    <t>Beef samosas</t>
  </si>
  <si>
    <t>Beef mini burger</t>
  </si>
  <si>
    <t>Whole fish</t>
  </si>
  <si>
    <t>1100g</t>
  </si>
  <si>
    <t>Salmon</t>
  </si>
  <si>
    <t>27g</t>
  </si>
  <si>
    <t>Tilapia fillet</t>
  </si>
  <si>
    <t>Fish fingers</t>
  </si>
  <si>
    <t>180g</t>
  </si>
  <si>
    <t>Veg Springs rolls</t>
  </si>
  <si>
    <t>Veg Samosas</t>
  </si>
  <si>
    <t>Beef Stew</t>
  </si>
  <si>
    <t>Beef Minced Meat</t>
  </si>
  <si>
    <t>Chicken Minced Meat</t>
  </si>
  <si>
    <t>WHOLE
W.U.O.M</t>
  </si>
  <si>
    <t>PURCHASING
PRICE (W.U.O.M)</t>
  </si>
  <si>
    <t>REMAINDER
R.U.O.M</t>
  </si>
  <si>
    <t>R.U.O.M Per W.U.O.M
U.O.M</t>
  </si>
  <si>
    <t>R.U.O.M
Cost Equivalet</t>
  </si>
  <si>
    <t>Kilogram</t>
  </si>
  <si>
    <t>Kilogram Per Packet</t>
  </si>
  <si>
    <t>Baking powder</t>
  </si>
  <si>
    <t>Oyester Sauce</t>
  </si>
  <si>
    <t>Liters Per Bottle</t>
  </si>
  <si>
    <t>Worcestershires sauce</t>
  </si>
  <si>
    <t>Litres Per Bottle</t>
  </si>
  <si>
    <t>Us Mustard</t>
  </si>
  <si>
    <t>Baked beans</t>
  </si>
  <si>
    <t>Litres Per Tin</t>
  </si>
  <si>
    <t>Royco 2kg</t>
  </si>
  <si>
    <t>Backet</t>
  </si>
  <si>
    <t>Kg Per Backet</t>
  </si>
  <si>
    <t>Penne pasta</t>
  </si>
  <si>
    <t>pkts</t>
  </si>
  <si>
    <t>Packt per Packet</t>
  </si>
  <si>
    <t>Sweet chili sauce</t>
  </si>
  <si>
    <t>Bottes</t>
  </si>
  <si>
    <t>Darks soy sauce</t>
  </si>
  <si>
    <t>Coconut milk</t>
  </si>
  <si>
    <t>Bambo skewers</t>
  </si>
  <si>
    <t>Instant dry yeast</t>
  </si>
  <si>
    <t>Litres Per Packet</t>
  </si>
  <si>
    <t>Cooking oil 20 Ltr</t>
  </si>
  <si>
    <t>Jerrican</t>
  </si>
  <si>
    <t>Litres Per Jerican</t>
  </si>
  <si>
    <t>Sunseed oil 5L</t>
  </si>
  <si>
    <t>Olive oil</t>
  </si>
  <si>
    <t>Liters Per Tin</t>
  </si>
  <si>
    <t>Bbg sauce</t>
  </si>
  <si>
    <t>Botles</t>
  </si>
  <si>
    <t>Pizza boxes</t>
  </si>
  <si>
    <t>Pcs Per pcs</t>
  </si>
  <si>
    <t>pcs per pcs</t>
  </si>
  <si>
    <t>Take Away bags</t>
  </si>
  <si>
    <t>Tiny take Away containers</t>
  </si>
  <si>
    <t>Take Away Bowls tins</t>
  </si>
  <si>
    <t>Take Away sauce tins</t>
  </si>
  <si>
    <t>Take Away chips bags</t>
  </si>
  <si>
    <t>Take Away spoons</t>
  </si>
  <si>
    <t>PcS</t>
  </si>
  <si>
    <t>Take Away forks</t>
  </si>
  <si>
    <t>Trays</t>
  </si>
  <si>
    <t>Fresh Garlic</t>
  </si>
  <si>
    <t>Milk fresh</t>
  </si>
  <si>
    <t>Cumin powder</t>
  </si>
  <si>
    <t>Chicken tika masala</t>
  </si>
  <si>
    <t>Thyme rubbed</t>
  </si>
  <si>
    <t>Chicken Tikka</t>
  </si>
  <si>
    <t>Pure tumeric powder</t>
  </si>
  <si>
    <t>Cinnamon sticks</t>
  </si>
  <si>
    <t>Oregano powder</t>
  </si>
  <si>
    <t>Black pepper Powder</t>
  </si>
  <si>
    <t>Black pepper tin powder</t>
  </si>
  <si>
    <t>King Per Tin</t>
  </si>
  <si>
    <t>Sesame seeds</t>
  </si>
  <si>
    <t>Garam masala powder</t>
  </si>
  <si>
    <t>White pepper powder</t>
  </si>
  <si>
    <t>Garlic powder</t>
  </si>
  <si>
    <t>Pillao masala</t>
  </si>
  <si>
    <t>Nutmeg powder</t>
  </si>
  <si>
    <t>Corriander powder</t>
  </si>
  <si>
    <t>Take away ketchup</t>
  </si>
  <si>
    <t>Red onions</t>
  </si>
  <si>
    <t>Clusters</t>
  </si>
  <si>
    <t>Clusters Per Cluster</t>
  </si>
  <si>
    <t>Pumpkin</t>
  </si>
  <si>
    <t>Pcs Per Pc</t>
  </si>
  <si>
    <t>Baby Marow</t>
  </si>
  <si>
    <t>English Cucumber</t>
  </si>
  <si>
    <t>Kg Per kg</t>
  </si>
  <si>
    <t>Beetroot</t>
  </si>
  <si>
    <t>Corriander leaves</t>
  </si>
  <si>
    <t>bundle</t>
  </si>
  <si>
    <t>bundles</t>
  </si>
  <si>
    <t>Bundles Per Bundle</t>
  </si>
  <si>
    <t>Parsey</t>
  </si>
  <si>
    <t>Cauli flower</t>
  </si>
  <si>
    <t>Pineaples</t>
  </si>
  <si>
    <t>Cowpeas</t>
  </si>
  <si>
    <t>Cow ghee</t>
  </si>
  <si>
    <t>Basmal rice</t>
  </si>
  <si>
    <t>Kg Per roll</t>
  </si>
  <si>
    <t>Tomato sauce Top up</t>
  </si>
  <si>
    <t>Litres Per Litres</t>
  </si>
  <si>
    <t>Cilery leaves</t>
  </si>
  <si>
    <t>Rosemary leaves</t>
  </si>
  <si>
    <t>loaf</t>
  </si>
  <si>
    <t>Loaf Per Pc</t>
  </si>
  <si>
    <t>Dry White Wine</t>
  </si>
  <si>
    <t>Dry Red Wine</t>
  </si>
  <si>
    <t>Pancake symp</t>
  </si>
  <si>
    <t>Green Lettuce</t>
  </si>
  <si>
    <t>Bundle per Bundles</t>
  </si>
  <si>
    <t>Mushroom</t>
  </si>
  <si>
    <t>Tinned Mushroom</t>
  </si>
  <si>
    <t>K'g Per Tin</t>
  </si>
  <si>
    <t>White lettuce</t>
  </si>
  <si>
    <t>Cherry tomatoes</t>
  </si>
  <si>
    <t>pks</t>
  </si>
  <si>
    <t>Cashew nuts</t>
  </si>
  <si>
    <t>Plain Serviets</t>
  </si>
  <si>
    <t>Vanilla essence</t>
  </si>
  <si>
    <t>Green chilli</t>
  </si>
  <si>
    <t>Kg Per Kig</t>
  </si>
  <si>
    <t>Buckter</t>
  </si>
  <si>
    <t>Portioned Items: Meats &amp; Others</t>
  </si>
  <si>
    <t>SEAFOOD</t>
  </si>
  <si>
    <t>Pieces Per Portion</t>
  </si>
  <si>
    <t>Fish stew</t>
  </si>
  <si>
    <t>Ptn</t>
  </si>
  <si>
    <t>Portion Per Portion</t>
  </si>
  <si>
    <t>Fish Fingers</t>
  </si>
  <si>
    <t>PORK</t>
  </si>
  <si>
    <t>Bacon wrap</t>
  </si>
  <si>
    <t>Pork Ribs</t>
  </si>
  <si>
    <t>Pork Chops</t>
  </si>
  <si>
    <t>CHICKEN</t>
  </si>
  <si>
    <t>Whole chicken</t>
  </si>
  <si>
    <t>Chicken curry</t>
  </si>
  <si>
    <t>Chicken Wings</t>
  </si>
  <si>
    <t>Chicken Stew</t>
  </si>
  <si>
    <t>Chicken lollipops</t>
  </si>
  <si>
    <t>Caribbean Jerk</t>
  </si>
  <si>
    <t>Min Chicken Burger</t>
  </si>
  <si>
    <t>Minced Chicken</t>
  </si>
  <si>
    <t>BEEF</t>
  </si>
  <si>
    <t>Portion Per POrtion</t>
  </si>
  <si>
    <t>Min burger</t>
  </si>
  <si>
    <t>Beef slidder</t>
  </si>
  <si>
    <t>Beef Sausages</t>
  </si>
  <si>
    <t>Beef skewers</t>
  </si>
  <si>
    <t>Beef Pizza</t>
  </si>
  <si>
    <t>Goat Ribs</t>
  </si>
  <si>
    <t>Ham</t>
  </si>
  <si>
    <t>OTHER ITEMS FOR KITCHEN</t>
  </si>
  <si>
    <t>Pcs Per Pkts</t>
  </si>
  <si>
    <t>Kg Per Btls</t>
  </si>
  <si>
    <t>Kg Per Pckt</t>
  </si>
  <si>
    <t>Kg Per Jerrycan</t>
  </si>
  <si>
    <t>Ltr Per Btls</t>
  </si>
  <si>
    <t>Black paper</t>
  </si>
  <si>
    <t>Bundle</t>
  </si>
  <si>
    <t>BUndle</t>
  </si>
  <si>
    <t>Cardamons Seeds</t>
  </si>
  <si>
    <t>Kg Per Btl</t>
  </si>
  <si>
    <t>kg Per Pkt</t>
  </si>
  <si>
    <t>Mayonnaise small tin</t>
  </si>
  <si>
    <t>Ltr Per Ltr</t>
  </si>
  <si>
    <t>Bdls</t>
  </si>
  <si>
    <t>Bdl Per Bdls</t>
  </si>
  <si>
    <t>bdl Per Bdls</t>
  </si>
  <si>
    <t>Fresh Cow Peas</t>
  </si>
  <si>
    <t>Packet per Packet</t>
  </si>
  <si>
    <t>Litre Per Jerrican</t>
  </si>
  <si>
    <t>Pilau  masala</t>
  </si>
  <si>
    <t>Litre Per Tin</t>
  </si>
  <si>
    <t>Kg Per Box</t>
  </si>
  <si>
    <t>Minced chicken</t>
  </si>
  <si>
    <t>Chicken tikka masala</t>
  </si>
  <si>
    <t>Portion</t>
  </si>
  <si>
    <t>Kitchen Performance</t>
  </si>
  <si>
    <t>PORK RIBS.Normal</t>
  </si>
  <si>
    <t>BBQ CHICKEN PIZZA.Normal</t>
  </si>
  <si>
    <t xml:space="preserve">Total Amount Collected </t>
  </si>
  <si>
    <t>Pan Fried Goat.Normal</t>
  </si>
  <si>
    <t>TOP 10 SELLERS</t>
  </si>
  <si>
    <t>Plates Sold</t>
  </si>
  <si>
    <t>Amount</t>
  </si>
  <si>
    <t>COGS% (Pre-Costed)</t>
  </si>
  <si>
    <t>% of Sales</t>
  </si>
  <si>
    <t>CARIBEAN JERK.Normal</t>
  </si>
  <si>
    <t>Whole Tilapia tracona.Normal</t>
  </si>
  <si>
    <t>Organic Beef Steak.Normal</t>
  </si>
  <si>
    <t>Chicken Tenders.Normal</t>
  </si>
  <si>
    <t>Chicken Tikka Masala..Normal</t>
  </si>
  <si>
    <t>BBQ Chicken Wings.Normal</t>
  </si>
  <si>
    <t>Classic chicken Burger.Normal</t>
  </si>
  <si>
    <t>Tilapia Fillet.Normal</t>
  </si>
  <si>
    <t>Meaty Feast Pizza.Normal</t>
  </si>
  <si>
    <t>Balsamic Chicken wings.Normal</t>
  </si>
  <si>
    <t>Fish Fingers.Normal</t>
  </si>
  <si>
    <t>EXTRA OVACADO.Normal</t>
  </si>
  <si>
    <t>Samosas 2 pairs.chicken</t>
  </si>
  <si>
    <t>STEAMED IRISH / MASH.MASH</t>
  </si>
  <si>
    <t>Spring Rolls.veg</t>
  </si>
  <si>
    <t>EXTRAS.mayonaise</t>
  </si>
  <si>
    <t>KIDDY SAUSAGES WORLD.Normal</t>
  </si>
  <si>
    <t xml:space="preserve">Total </t>
  </si>
  <si>
    <t>CHAPARTI (1).1 PC</t>
  </si>
  <si>
    <t>Clear Chicken &amp; Veg Soup.Normal</t>
  </si>
  <si>
    <t>Percentage of all items %</t>
  </si>
  <si>
    <t>GARLIC NAAN.1 PIECE</t>
  </si>
  <si>
    <t>EXTRAS.ONION RINGS</t>
  </si>
  <si>
    <t>BUTTER NAAN.Normal</t>
  </si>
  <si>
    <t>POTATO WEDGES.Normal</t>
  </si>
  <si>
    <t>EXTRA SAUCES.1000 island</t>
  </si>
  <si>
    <t>PLANTAIN.Normal</t>
  </si>
  <si>
    <t>BOTTOM 10 SELLERS</t>
  </si>
  <si>
    <t>EXTRA SAUCES.masala sauce</t>
  </si>
  <si>
    <t>EXTRA SAUCES.Normal</t>
  </si>
  <si>
    <t>EXTRAS.KACHUMBARI</t>
  </si>
  <si>
    <t>COSLOW.Normal</t>
  </si>
  <si>
    <t>SPINACH.Normal</t>
  </si>
  <si>
    <t>STEAMED IRISH / MASH.STEAMED IRISH</t>
  </si>
  <si>
    <t>RICE.Normal</t>
  </si>
  <si>
    <t>EXTRAS.TOASTED BREAD SLICE</t>
  </si>
  <si>
    <t>Total</t>
  </si>
  <si>
    <t>EGGS A PAIR.2 EGGS</t>
  </si>
  <si>
    <t>Toast  .Normal</t>
  </si>
  <si>
    <t>Qty Used</t>
  </si>
  <si>
    <t>Cost</t>
  </si>
  <si>
    <t>EXTRA SAUCES.MAYONNAISE</t>
  </si>
  <si>
    <t>Qty</t>
  </si>
  <si>
    <t xml:space="preserve">Peeled Irish Sample </t>
  </si>
  <si>
    <t xml:space="preserve">Count </t>
  </si>
  <si>
    <t xml:space="preserve">Quantity Peeled </t>
  </si>
  <si>
    <t>Peeling weight (KG)</t>
  </si>
  <si>
    <t>1kg</t>
  </si>
  <si>
    <t>14thMAY</t>
  </si>
  <si>
    <t>Other common Items</t>
  </si>
  <si>
    <t>Transfers</t>
  </si>
  <si>
    <t>Damages</t>
  </si>
  <si>
    <t>Portioned items</t>
  </si>
  <si>
    <t>COGS BREAKDOWN BY ACTUAL USAGE</t>
  </si>
  <si>
    <t>Portions Items Moved</t>
  </si>
  <si>
    <t>pork chops</t>
  </si>
  <si>
    <t>pork ribs</t>
  </si>
  <si>
    <t>Tilapia Fillet</t>
  </si>
  <si>
    <t>chicken wings</t>
  </si>
  <si>
    <t>chicken whole breast</t>
  </si>
  <si>
    <t>160 breast</t>
  </si>
  <si>
    <t>Other Common Items</t>
  </si>
  <si>
    <t>fish fnger</t>
  </si>
  <si>
    <t>chicken lollipop</t>
  </si>
  <si>
    <t>chicken creole</t>
  </si>
  <si>
    <t>chicken curry</t>
  </si>
  <si>
    <t>ninj turtles</t>
  </si>
  <si>
    <t>ceasar salad</t>
  </si>
  <si>
    <t>chicken sandwich</t>
  </si>
  <si>
    <t>Total (Less Transfers)</t>
  </si>
  <si>
    <t>1kg = 2plates</t>
  </si>
  <si>
    <t>maze fit</t>
  </si>
  <si>
    <t>chicken tender</t>
  </si>
  <si>
    <t>2portions</t>
  </si>
  <si>
    <t>Performance Summary: Gifts Included in Sales</t>
  </si>
  <si>
    <t>wings beef steak</t>
  </si>
  <si>
    <t>chicken alfedo pasta</t>
  </si>
  <si>
    <t>Sales (Gifts Included)</t>
  </si>
  <si>
    <t>Cost of Goods Sold</t>
  </si>
  <si>
    <t>chicken burger</t>
  </si>
  <si>
    <t>Gifts</t>
  </si>
  <si>
    <t>Sausages</t>
  </si>
  <si>
    <t>bacon</t>
  </si>
  <si>
    <t>beef steak</t>
  </si>
  <si>
    <t>minced meat</t>
  </si>
  <si>
    <t>tuscan pasta</t>
  </si>
  <si>
    <t>Profit</t>
  </si>
  <si>
    <t>meat feast (1pc)</t>
  </si>
  <si>
    <t>classic english</t>
  </si>
  <si>
    <t>cheese steak</t>
  </si>
  <si>
    <t>beef pizza</t>
  </si>
  <si>
    <t>classic hawain pizza</t>
  </si>
  <si>
    <t>Cogs%</t>
  </si>
  <si>
    <t>penna cabonara</t>
  </si>
  <si>
    <t>teaxs steak slad</t>
  </si>
  <si>
    <t>beef samosa</t>
  </si>
  <si>
    <t>chiptole chicken bowl</t>
  </si>
  <si>
    <t>Profit Margin</t>
  </si>
  <si>
    <t>pasta doronez</t>
  </si>
  <si>
    <t>katogo</t>
  </si>
  <si>
    <t>3portions</t>
  </si>
  <si>
    <t>chicken and egg wrap</t>
  </si>
  <si>
    <t>Performance Summary: Gifts Excluded</t>
  </si>
  <si>
    <t>Jerk chicken</t>
  </si>
  <si>
    <t>chicken pizzza</t>
  </si>
  <si>
    <t>Beef steak</t>
  </si>
  <si>
    <t>Sales (Gifts Removed)</t>
  </si>
  <si>
    <t>sofia first3 = 2</t>
  </si>
  <si>
    <t>pasta</t>
  </si>
  <si>
    <t>steak salad</t>
  </si>
  <si>
    <t>1rder = 2 pc</t>
  </si>
  <si>
    <t>beef pilau half portion</t>
  </si>
  <si>
    <t>fillys finest half portion</t>
  </si>
  <si>
    <t>plantain 1cluster =</t>
  </si>
  <si>
    <t>plates/portions</t>
  </si>
  <si>
    <t>Irish container</t>
  </si>
  <si>
    <t>7kgs = peelings 1.5</t>
  </si>
  <si>
    <t>Kgs</t>
  </si>
  <si>
    <t>ACCOUNTABILITY</t>
  </si>
  <si>
    <t>Type</t>
  </si>
  <si>
    <t>Opening</t>
  </si>
  <si>
    <t>Added</t>
  </si>
  <si>
    <t>Closing</t>
  </si>
  <si>
    <t>Units</t>
  </si>
  <si>
    <t>Used</t>
  </si>
  <si>
    <t>Transfer</t>
  </si>
  <si>
    <t>Damage</t>
  </si>
  <si>
    <t>Other Kitchen &amp; Food Supplies</t>
  </si>
  <si>
    <t>portion</t>
  </si>
  <si>
    <t>Bunch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</si>
</sst>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0.0"/>
    <numFmt numFmtId="166" formatCode="0.0%"/>
  </numFmts>
  <fonts count="26">
    <font>
      <sz val="10.0"/>
      <color rgb="FF000000"/>
      <name val="Arial"/>
      <scheme val="minor"/>
    </font>
    <font>
      <b/>
      <color theme="1"/>
      <name val="Times New Roman"/>
    </font>
    <font/>
    <font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color theme="1"/>
      <name val="Times New Roman"/>
    </font>
    <font>
      <b/>
      <sz val="14.0"/>
      <color rgb="FFC9A84C"/>
      <name val="Arial"/>
    </font>
    <font>
      <b/>
      <sz val="9.0"/>
      <color rgb="FF000000"/>
      <name val="Arial"/>
    </font>
    <font>
      <b/>
      <sz val="9.0"/>
      <color rgb="FFFFFFFF"/>
      <name val="Arial"/>
    </font>
    <font>
      <b/>
      <color rgb="FFFFFFFF"/>
      <name val="Arial"/>
    </font>
    <font>
      <color rgb="FF000000"/>
      <name val="Arial"/>
    </font>
    <font>
      <sz val="9.0"/>
      <color rgb="FF444444"/>
      <name val="Arial"/>
    </font>
    <font>
      <sz val="11.0"/>
      <color rgb="FF000000"/>
      <name val="Calibri"/>
    </font>
    <font>
      <b/>
      <sz val="8.0"/>
      <color rgb="FFFFFFFF"/>
      <name val="Arial"/>
    </font>
    <font>
      <sz val="8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b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11.0"/>
      <color rgb="FF222222"/>
      <name val="Google Sans"/>
    </font>
    <font>
      <b/>
      <sz val="9.0"/>
      <color rgb="FF222222"/>
      <name val="Google Sans"/>
    </font>
  </fonts>
  <fills count="4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1A3B2A"/>
        <bgColor rgb="FF1A3B2A"/>
      </patternFill>
    </fill>
    <fill>
      <patternFill patternType="solid">
        <fgColor rgb="FFFEF3D0"/>
        <bgColor rgb="FFFEF3D0"/>
      </patternFill>
    </fill>
    <fill>
      <patternFill patternType="solid">
        <fgColor rgb="FF2C5F2E"/>
        <bgColor rgb="FF2C5F2E"/>
      </patternFill>
    </fill>
    <fill>
      <patternFill patternType="solid">
        <fgColor rgb="FF6B2D2D"/>
        <bgColor rgb="FF6B2D2D"/>
      </patternFill>
    </fill>
    <fill>
      <patternFill patternType="solid">
        <fgColor rgb="FF3A7A3A"/>
        <bgColor rgb="FF3A7A3A"/>
      </patternFill>
    </fill>
    <fill>
      <patternFill patternType="solid">
        <fgColor rgb="FF1A6060"/>
        <bgColor rgb="FF1A6060"/>
      </patternFill>
    </fill>
    <fill>
      <patternFill patternType="solid">
        <fgColor rgb="FFFAFAF5"/>
        <bgColor rgb="FFFAFAF5"/>
      </patternFill>
    </fill>
    <fill>
      <patternFill patternType="solid">
        <fgColor rgb="FFEEF8EE"/>
        <bgColor rgb="FFEEF8EE"/>
      </patternFill>
    </fill>
    <fill>
      <patternFill patternType="solid">
        <fgColor rgb="FFEBF5EB"/>
        <bgColor rgb="FFEBF5EB"/>
      </patternFill>
    </fill>
    <fill>
      <patternFill patternType="solid">
        <fgColor rgb="FFE8F4F4"/>
        <bgColor rgb="FFE8F4F4"/>
      </patternFill>
    </fill>
    <fill>
      <patternFill patternType="solid">
        <fgColor rgb="FFE0F4F4"/>
        <bgColor rgb="FFE0F4F4"/>
      </patternFill>
    </fill>
    <fill>
      <patternFill patternType="solid">
        <fgColor rgb="FFFDF0E8"/>
        <bgColor rgb="FFFDF0E8"/>
      </patternFill>
    </fill>
    <fill>
      <patternFill patternType="solid">
        <fgColor rgb="FF1A4A5E"/>
        <bgColor rgb="FF1A4A5E"/>
      </patternFill>
    </fill>
    <fill>
      <patternFill patternType="solid">
        <fgColor rgb="FF7D5A0A"/>
        <bgColor rgb="FF7D5A0A"/>
      </patternFill>
    </fill>
    <fill>
      <patternFill patternType="solid">
        <fgColor rgb="FF4A1A5E"/>
        <bgColor rgb="FF4A1A5E"/>
      </patternFill>
    </fill>
    <fill>
      <patternFill patternType="solid">
        <fgColor rgb="FF5E3A00"/>
        <bgColor rgb="FF5E3A00"/>
      </patternFill>
    </fill>
    <fill>
      <patternFill patternType="solid">
        <fgColor rgb="FF1A4A3A"/>
        <bgColor rgb="FF1A4A3A"/>
      </patternFill>
    </fill>
    <fill>
      <patternFill patternType="solid">
        <fgColor rgb="FF1A3A6B"/>
        <bgColor rgb="FF1A3A6B"/>
      </patternFill>
    </fill>
    <fill>
      <patternFill patternType="solid">
        <fgColor rgb="FF2A5E1A"/>
        <bgColor rgb="FF2A5E1A"/>
      </patternFill>
    </fill>
    <fill>
      <patternFill patternType="solid">
        <fgColor rgb="FF2E2E5E"/>
        <bgColor rgb="FF2E2E5E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595959"/>
        <bgColor rgb="FF595959"/>
      </patternFill>
    </fill>
    <fill>
      <patternFill patternType="solid">
        <fgColor rgb="FFC0392B"/>
        <bgColor rgb="FFC0392B"/>
      </patternFill>
    </fill>
    <fill>
      <patternFill patternType="solid">
        <fgColor rgb="FF9FC5E8"/>
        <bgColor rgb="FF9FC5E8"/>
      </patternFill>
    </fill>
    <fill>
      <patternFill patternType="solid">
        <fgColor rgb="FFF5F5F5"/>
        <bgColor rgb="FFF5F5F5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1E9F7"/>
        <bgColor rgb="FFE1E9F7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9E8D3"/>
        <bgColor rgb="FFD9E8D3"/>
      </patternFill>
    </fill>
  </fills>
  <borders count="6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C9A84C"/>
      </left>
      <top style="thin">
        <color rgb="FFC9A84C"/>
      </top>
      <bottom style="thin">
        <color rgb="FFC9A84C"/>
      </bottom>
    </border>
    <border>
      <top style="thin">
        <color rgb="FFC9A84C"/>
      </top>
      <bottom style="thin">
        <color rgb="FFC9A84C"/>
      </bottom>
    </border>
    <border>
      <left style="thin">
        <color rgb="FF1A3B2A"/>
      </left>
      <right style="thin">
        <color rgb="FF1A3B2A"/>
      </right>
      <top style="thin">
        <color rgb="FF1A3B2A"/>
      </top>
      <bottom style="thin">
        <color rgb="FF1A3B2A"/>
      </bottom>
    </border>
    <border>
      <top style="thin">
        <color rgb="FF1A3B2A"/>
      </top>
      <bottom style="thin">
        <color rgb="FF1A3B2A"/>
      </bottom>
    </border>
    <border>
      <left style="thin">
        <color rgb="FF1A3B2A"/>
      </left>
      <top style="thin">
        <color rgb="FF1A3B2A"/>
      </top>
      <bottom style="thin">
        <color rgb="FF1A3B2A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2C5F2E"/>
      </left>
      <top style="thin">
        <color rgb="FF2C5F2E"/>
      </top>
      <bottom style="thin">
        <color rgb="FF2C5F2E"/>
      </bottom>
    </border>
    <border>
      <top style="thin">
        <color rgb="FF2C5F2E"/>
      </top>
      <bottom style="thin">
        <color rgb="FF2C5F2E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1A4A5E"/>
      </left>
      <top style="thin">
        <color rgb="FF1A4A5E"/>
      </top>
      <bottom style="thin">
        <color rgb="FF1A4A5E"/>
      </bottom>
    </border>
    <border>
      <top style="thin">
        <color rgb="FF1A4A5E"/>
      </top>
      <bottom style="thin">
        <color rgb="FF1A4A5E"/>
      </bottom>
    </border>
    <border>
      <left style="thin">
        <color rgb="FF7D5A0A"/>
      </left>
      <top style="thin">
        <color rgb="FF7D5A0A"/>
      </top>
      <bottom style="thin">
        <color rgb="FF7D5A0A"/>
      </bottom>
    </border>
    <border>
      <top style="thin">
        <color rgb="FF7D5A0A"/>
      </top>
      <bottom style="thin">
        <color rgb="FF7D5A0A"/>
      </bottom>
    </border>
    <border>
      <left style="thin">
        <color rgb="FF6B2D2D"/>
      </left>
      <top style="thin">
        <color rgb="FF6B2D2D"/>
      </top>
      <bottom style="thin">
        <color rgb="FF6B2D2D"/>
      </bottom>
    </border>
    <border>
      <top style="thin">
        <color rgb="FF6B2D2D"/>
      </top>
      <bottom style="thin">
        <color rgb="FF6B2D2D"/>
      </bottom>
    </border>
    <border>
      <left style="thin">
        <color rgb="FF4A1A5E"/>
      </left>
      <top style="thin">
        <color rgb="FF4A1A5E"/>
      </top>
      <bottom style="thin">
        <color rgb="FF4A1A5E"/>
      </bottom>
    </border>
    <border>
      <top style="thin">
        <color rgb="FF4A1A5E"/>
      </top>
      <bottom style="thin">
        <color rgb="FF4A1A5E"/>
      </bottom>
    </border>
    <border>
      <left style="thin">
        <color rgb="FF5E3A00"/>
      </left>
      <top style="thin">
        <color rgb="FF5E3A00"/>
      </top>
      <bottom style="thin">
        <color rgb="FF5E3A00"/>
      </bottom>
    </border>
    <border>
      <top style="thin">
        <color rgb="FF5E3A00"/>
      </top>
      <bottom style="thin">
        <color rgb="FF5E3A00"/>
      </bottom>
    </border>
    <border>
      <left style="thin">
        <color rgb="FF1A4A3A"/>
      </left>
      <top style="thin">
        <color rgb="FF1A4A3A"/>
      </top>
      <bottom style="thin">
        <color rgb="FF1A4A3A"/>
      </bottom>
    </border>
    <border>
      <top style="thin">
        <color rgb="FF1A4A3A"/>
      </top>
      <bottom style="thin">
        <color rgb="FF1A4A3A"/>
      </bottom>
    </border>
    <border>
      <left style="thin">
        <color rgb="FF1A3A6B"/>
      </left>
      <top style="thin">
        <color rgb="FF1A3A6B"/>
      </top>
      <bottom style="thin">
        <color rgb="FF1A3A6B"/>
      </bottom>
    </border>
    <border>
      <top style="thin">
        <color rgb="FF1A3A6B"/>
      </top>
      <bottom style="thin">
        <color rgb="FF1A3A6B"/>
      </bottom>
    </border>
    <border>
      <left style="thin">
        <color rgb="FF2A5E1A"/>
      </left>
      <top style="thin">
        <color rgb="FF2A5E1A"/>
      </top>
      <bottom style="thin">
        <color rgb="FF2A5E1A"/>
      </bottom>
    </border>
    <border>
      <top style="thin">
        <color rgb="FF2A5E1A"/>
      </top>
      <bottom style="thin">
        <color rgb="FF2A5E1A"/>
      </bottom>
    </border>
    <border>
      <left style="thin">
        <color rgb="FF2E2E5E"/>
      </left>
      <top style="thin">
        <color rgb="FF2E2E5E"/>
      </top>
      <bottom style="thin">
        <color rgb="FF2E2E5E"/>
      </bottom>
    </border>
    <border>
      <top style="thin">
        <color rgb="FF2E2E5E"/>
      </top>
      <bottom style="thin">
        <color rgb="FF2E2E5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000000"/>
      </lef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dotted">
        <color rgb="FF000000"/>
      </left>
      <right style="hair">
        <color rgb="FF000000"/>
      </right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shrinkToFit="0" vertical="bottom" wrapText="1"/>
    </xf>
    <xf borderId="4" fillId="3" fontId="4" numFmtId="0" xfId="0" applyAlignment="1" applyBorder="1" applyFill="1" applyFont="1">
      <alignment vertical="bottom"/>
    </xf>
    <xf borderId="4" fillId="0" fontId="3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0" fontId="7" numFmtId="0" xfId="0" applyAlignment="1" applyBorder="1" applyFont="1">
      <alignment horizontal="right" vertical="bottom"/>
    </xf>
    <xf borderId="4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right" vertical="bottom"/>
    </xf>
    <xf borderId="4" fillId="0" fontId="7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right" readingOrder="0" vertical="bottom"/>
    </xf>
    <xf borderId="4" fillId="2" fontId="5" numFmtId="164" xfId="0" applyAlignment="1" applyBorder="1" applyFont="1" applyNumberFormat="1">
      <alignment vertical="bottom"/>
    </xf>
    <xf borderId="4" fillId="2" fontId="5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8" numFmtId="0" xfId="0" applyAlignment="1" applyFill="1" applyFont="1">
      <alignment horizontal="center" readingOrder="0" shrinkToFit="0" wrapText="0"/>
    </xf>
    <xf borderId="6" fillId="5" fontId="9" numFmtId="0" xfId="0" applyAlignment="1" applyBorder="1" applyFill="1" applyFont="1">
      <alignment horizontal="left" readingOrder="0" shrinkToFit="0" wrapText="0"/>
    </xf>
    <xf borderId="7" fillId="0" fontId="2" numFmtId="0" xfId="0" applyBorder="1" applyFont="1"/>
    <xf borderId="8" fillId="4" fontId="10" numFmtId="0" xfId="0" applyAlignment="1" applyBorder="1" applyFont="1">
      <alignment horizontal="left" readingOrder="0" shrinkToFit="0" wrapText="0"/>
    </xf>
    <xf borderId="9" fillId="6" fontId="10" numFmtId="0" xfId="0" applyAlignment="1" applyBorder="1" applyFill="1" applyFont="1">
      <alignment horizontal="center" readingOrder="0" shrinkToFit="0" wrapText="0"/>
    </xf>
    <xf borderId="9" fillId="0" fontId="2" numFmtId="0" xfId="0" applyBorder="1" applyFont="1"/>
    <xf borderId="10" fillId="6" fontId="10" numFmtId="0" xfId="0" applyAlignment="1" applyBorder="1" applyFont="1">
      <alignment horizontal="center" readingOrder="0" shrinkToFit="0" wrapText="0"/>
    </xf>
    <xf borderId="8" fillId="7" fontId="10" numFmtId="0" xfId="0" applyAlignment="1" applyBorder="1" applyFill="1" applyFont="1">
      <alignment horizontal="center" readingOrder="0" shrinkToFit="0" wrapText="0"/>
    </xf>
    <xf borderId="11" fillId="4" fontId="10" numFmtId="0" xfId="0" applyAlignment="1" applyBorder="1" applyFont="1">
      <alignment horizontal="center" readingOrder="0" shrinkToFit="0" wrapText="0"/>
    </xf>
    <xf borderId="11" fillId="8" fontId="10" numFmtId="0" xfId="0" applyAlignment="1" applyBorder="1" applyFill="1" applyFont="1">
      <alignment horizontal="center" readingOrder="0" shrinkToFit="0" wrapText="0"/>
    </xf>
    <xf borderId="11" fillId="9" fontId="10" numFmtId="0" xfId="0" applyAlignment="1" applyBorder="1" applyFill="1" applyFont="1">
      <alignment horizontal="center" readingOrder="0" shrinkToFit="0" wrapText="0"/>
    </xf>
    <xf borderId="11" fillId="7" fontId="10" numFmtId="0" xfId="0" applyAlignment="1" applyBorder="1" applyFont="1">
      <alignment horizontal="center" readingOrder="0" shrinkToFit="0" wrapText="0"/>
    </xf>
    <xf borderId="12" fillId="6" fontId="11" numFmtId="0" xfId="0" applyAlignment="1" applyBorder="1" applyFont="1">
      <alignment horizontal="left" readingOrder="0" shrinkToFit="0" wrapText="0"/>
    </xf>
    <xf borderId="13" fillId="0" fontId="2" numFmtId="0" xfId="0" applyBorder="1" applyFont="1"/>
    <xf borderId="0" fillId="10" fontId="12" numFmtId="0" xfId="0" applyAlignment="1" applyFill="1" applyFont="1">
      <alignment horizontal="left" readingOrder="0" shrinkToFit="0" wrapText="0"/>
    </xf>
    <xf borderId="14" fillId="11" fontId="13" numFmtId="0" xfId="0" applyAlignment="1" applyBorder="1" applyFill="1" applyFont="1">
      <alignment horizontal="center" readingOrder="0" shrinkToFit="0" wrapText="0"/>
    </xf>
    <xf borderId="14" fillId="12" fontId="14" numFmtId="0" xfId="0" applyAlignment="1" applyBorder="1" applyFill="1" applyFont="1">
      <alignment shrinkToFit="0" vertical="bottom" wrapText="0"/>
    </xf>
    <xf borderId="14" fillId="13" fontId="13" numFmtId="0" xfId="0" applyAlignment="1" applyBorder="1" applyFill="1" applyFont="1">
      <alignment horizontal="center" readingOrder="0" shrinkToFit="0" wrapText="0"/>
    </xf>
    <xf borderId="14" fillId="14" fontId="14" numFmtId="0" xfId="0" applyAlignment="1" applyBorder="1" applyFill="1" applyFont="1">
      <alignment shrinkToFit="0" vertical="bottom" wrapText="0"/>
    </xf>
    <xf borderId="14" fillId="15" fontId="14" numFmtId="0" xfId="0" applyAlignment="1" applyBorder="1" applyFill="1" applyFont="1">
      <alignment shrinkToFit="0" vertical="bottom" wrapText="0"/>
    </xf>
    <xf borderId="0" fillId="2" fontId="12" numFmtId="0" xfId="0" applyAlignment="1" applyFont="1">
      <alignment horizontal="left" readingOrder="0" shrinkToFit="0" wrapText="0"/>
    </xf>
    <xf borderId="15" fillId="16" fontId="11" numFmtId="0" xfId="0" applyAlignment="1" applyBorder="1" applyFill="1" applyFont="1">
      <alignment horizontal="left" readingOrder="0" shrinkToFit="0" wrapText="0"/>
    </xf>
    <xf borderId="16" fillId="0" fontId="2" numFmtId="0" xfId="0" applyBorder="1" applyFont="1"/>
    <xf borderId="14" fillId="12" fontId="14" numFmtId="0" xfId="0" applyAlignment="1" applyBorder="1" applyFont="1">
      <alignment readingOrder="0" shrinkToFit="0" vertical="bottom" wrapText="0"/>
    </xf>
    <xf borderId="14" fillId="14" fontId="14" numFmtId="0" xfId="0" applyAlignment="1" applyBorder="1" applyFont="1">
      <alignment readingOrder="0" shrinkToFit="0" vertical="bottom" wrapText="0"/>
    </xf>
    <xf borderId="14" fillId="15" fontId="14" numFmtId="0" xfId="0" applyAlignment="1" applyBorder="1" applyFont="1">
      <alignment readingOrder="0" shrinkToFit="0" vertical="bottom" wrapText="0"/>
    </xf>
    <xf borderId="17" fillId="17" fontId="11" numFmtId="0" xfId="0" applyAlignment="1" applyBorder="1" applyFill="1" applyFont="1">
      <alignment horizontal="left" readingOrder="0" shrinkToFit="0" wrapText="0"/>
    </xf>
    <xf borderId="18" fillId="0" fontId="2" numFmtId="0" xfId="0" applyBorder="1" applyFont="1"/>
    <xf borderId="19" fillId="7" fontId="11" numFmtId="0" xfId="0" applyAlignment="1" applyBorder="1" applyFont="1">
      <alignment horizontal="left" readingOrder="0" shrinkToFit="0" wrapText="0"/>
    </xf>
    <xf borderId="20" fillId="0" fontId="2" numFmtId="0" xfId="0" applyBorder="1" applyFont="1"/>
    <xf borderId="21" fillId="18" fontId="11" numFmtId="0" xfId="0" applyAlignment="1" applyBorder="1" applyFill="1" applyFont="1">
      <alignment horizontal="left" readingOrder="0" shrinkToFit="0" wrapText="0"/>
    </xf>
    <xf borderId="22" fillId="0" fontId="2" numFmtId="0" xfId="0" applyBorder="1" applyFont="1"/>
    <xf borderId="23" fillId="19" fontId="11" numFmtId="0" xfId="0" applyAlignment="1" applyBorder="1" applyFill="1" applyFont="1">
      <alignment horizontal="left" readingOrder="0" shrinkToFit="0" wrapText="0"/>
    </xf>
    <xf borderId="24" fillId="0" fontId="2" numFmtId="0" xfId="0" applyBorder="1" applyFont="1"/>
    <xf borderId="25" fillId="20" fontId="11" numFmtId="0" xfId="0" applyAlignment="1" applyBorder="1" applyFill="1" applyFont="1">
      <alignment horizontal="left" readingOrder="0" shrinkToFit="0" wrapText="0"/>
    </xf>
    <xf borderId="26" fillId="0" fontId="2" numFmtId="0" xfId="0" applyBorder="1" applyFont="1"/>
    <xf borderId="27" fillId="21" fontId="11" numFmtId="0" xfId="0" applyAlignment="1" applyBorder="1" applyFill="1" applyFont="1">
      <alignment horizontal="left" readingOrder="0" shrinkToFit="0" wrapText="0"/>
    </xf>
    <xf borderId="28" fillId="0" fontId="2" numFmtId="0" xfId="0" applyBorder="1" applyFont="1"/>
    <xf borderId="29" fillId="22" fontId="11" numFmtId="0" xfId="0" applyAlignment="1" applyBorder="1" applyFill="1" applyFont="1">
      <alignment horizontal="left" readingOrder="0" shrinkToFit="0" wrapText="0"/>
    </xf>
    <xf borderId="30" fillId="0" fontId="2" numFmtId="0" xfId="0" applyBorder="1" applyFont="1"/>
    <xf borderId="31" fillId="23" fontId="11" numFmtId="0" xfId="0" applyAlignment="1" applyBorder="1" applyFill="1" applyFont="1">
      <alignment horizontal="left" readingOrder="0" shrinkToFit="0" wrapText="0"/>
    </xf>
    <xf borderId="32" fillId="0" fontId="2" numFmtId="0" xfId="0" applyBorder="1" applyFont="1"/>
    <xf borderId="0" fillId="0" fontId="14" numFmtId="0" xfId="0" applyAlignment="1" applyFont="1">
      <alignment shrinkToFit="0" vertical="bottom" wrapText="0"/>
    </xf>
    <xf borderId="6" fillId="5" fontId="9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right" vertical="bottom"/>
    </xf>
    <xf borderId="33" fillId="24" fontId="15" numFmtId="0" xfId="0" applyAlignment="1" applyBorder="1" applyFill="1" applyFont="1">
      <alignment horizontal="center" shrinkToFit="0" wrapText="1"/>
    </xf>
    <xf borderId="33" fillId="24" fontId="15" numFmtId="3" xfId="0" applyAlignment="1" applyBorder="1" applyFont="1" applyNumberFormat="1">
      <alignment horizontal="center" shrinkToFit="0" wrapText="1"/>
    </xf>
    <xf borderId="33" fillId="24" fontId="15" numFmtId="165" xfId="0" applyAlignment="1" applyBorder="1" applyFont="1" applyNumberFormat="1">
      <alignment horizontal="center" shrinkToFit="0" wrapText="1"/>
    </xf>
    <xf borderId="33" fillId="0" fontId="16" numFmtId="0" xfId="0" applyAlignment="1" applyBorder="1" applyFont="1">
      <alignment vertical="bottom"/>
    </xf>
    <xf borderId="33" fillId="0" fontId="16" numFmtId="3" xfId="0" applyAlignment="1" applyBorder="1" applyFont="1" applyNumberFormat="1">
      <alignment readingOrder="0" vertical="bottom"/>
    </xf>
    <xf borderId="33" fillId="0" fontId="16" numFmtId="3" xfId="0" applyAlignment="1" applyBorder="1" applyFont="1" applyNumberFormat="1">
      <alignment horizontal="right" vertical="bottom"/>
    </xf>
    <xf borderId="33" fillId="0" fontId="16" numFmtId="0" xfId="0" applyAlignment="1" applyBorder="1" applyFont="1">
      <alignment readingOrder="0" vertical="bottom"/>
    </xf>
    <xf borderId="33" fillId="0" fontId="16" numFmtId="1" xfId="0" applyAlignment="1" applyBorder="1" applyFont="1" applyNumberFormat="1">
      <alignment horizontal="right" vertical="bottom"/>
    </xf>
    <xf borderId="33" fillId="0" fontId="16" numFmtId="165" xfId="0" applyAlignment="1" applyBorder="1" applyFont="1" applyNumberFormat="1">
      <alignment horizontal="right" vertical="bottom"/>
    </xf>
    <xf borderId="33" fillId="0" fontId="16" numFmtId="3" xfId="0" applyAlignment="1" applyBorder="1" applyFont="1" applyNumberFormat="1">
      <alignment vertical="bottom"/>
    </xf>
    <xf borderId="33" fillId="0" fontId="16" numFmtId="3" xfId="0" applyAlignment="1" applyBorder="1" applyFont="1" applyNumberFormat="1">
      <alignment horizontal="right" readingOrder="0" vertical="bottom"/>
    </xf>
    <xf borderId="33" fillId="25" fontId="16" numFmtId="0" xfId="0" applyAlignment="1" applyBorder="1" applyFill="1" applyFont="1">
      <alignment vertical="bottom"/>
    </xf>
    <xf borderId="33" fillId="25" fontId="16" numFmtId="3" xfId="0" applyAlignment="1" applyBorder="1" applyFont="1" applyNumberFormat="1">
      <alignment vertical="bottom"/>
    </xf>
    <xf borderId="33" fillId="25" fontId="16" numFmtId="3" xfId="0" applyAlignment="1" applyBorder="1" applyFont="1" applyNumberFormat="1">
      <alignment horizontal="right" vertical="bottom"/>
    </xf>
    <xf borderId="33" fillId="25" fontId="16" numFmtId="165" xfId="0" applyAlignment="1" applyBorder="1" applyFont="1" applyNumberFormat="1">
      <alignment horizontal="right" vertical="bottom"/>
    </xf>
    <xf borderId="33" fillId="0" fontId="16" numFmtId="165" xfId="0" applyAlignment="1" applyBorder="1" applyFont="1" applyNumberFormat="1">
      <alignment horizontal="right" readingOrder="0" vertical="bottom"/>
    </xf>
    <xf borderId="33" fillId="25" fontId="16" numFmtId="1" xfId="0" applyAlignment="1" applyBorder="1" applyFont="1" applyNumberFormat="1">
      <alignment horizontal="right" vertical="bottom"/>
    </xf>
    <xf borderId="33" fillId="0" fontId="17" numFmtId="3" xfId="0" applyAlignment="1" applyBorder="1" applyFont="1" applyNumberFormat="1">
      <alignment vertical="bottom"/>
    </xf>
    <xf borderId="33" fillId="0" fontId="17" numFmtId="165" xfId="0" applyAlignment="1" applyBorder="1" applyFont="1" applyNumberFormat="1">
      <alignment vertical="bottom"/>
    </xf>
    <xf borderId="33" fillId="24" fontId="15" numFmtId="0" xfId="0" applyAlignment="1" applyBorder="1" applyFont="1">
      <alignment vertical="bottom"/>
    </xf>
    <xf borderId="33" fillId="24" fontId="17" numFmtId="3" xfId="0" applyAlignment="1" applyBorder="1" applyFont="1" applyNumberFormat="1">
      <alignment vertical="bottom"/>
    </xf>
    <xf borderId="33" fillId="24" fontId="17" numFmtId="0" xfId="0" applyAlignment="1" applyBorder="1" applyFont="1">
      <alignment vertical="bottom"/>
    </xf>
    <xf borderId="33" fillId="24" fontId="17" numFmtId="165" xfId="0" applyAlignment="1" applyBorder="1" applyFont="1" applyNumberFormat="1">
      <alignment vertical="bottom"/>
    </xf>
    <xf borderId="33" fillId="26" fontId="15" numFmtId="0" xfId="0" applyAlignment="1" applyBorder="1" applyFill="1" applyFont="1">
      <alignment vertical="bottom"/>
    </xf>
    <xf borderId="33" fillId="26" fontId="17" numFmtId="0" xfId="0" applyAlignment="1" applyBorder="1" applyFont="1">
      <alignment vertical="bottom"/>
    </xf>
    <xf borderId="33" fillId="26" fontId="17" numFmtId="3" xfId="0" applyAlignment="1" applyBorder="1" applyFont="1" applyNumberFormat="1">
      <alignment vertical="bottom"/>
    </xf>
    <xf borderId="33" fillId="26" fontId="17" numFmtId="165" xfId="0" applyAlignment="1" applyBorder="1" applyFont="1" applyNumberFormat="1">
      <alignment vertical="bottom"/>
    </xf>
    <xf borderId="33" fillId="0" fontId="17" numFmtId="3" xfId="0" applyAlignment="1" applyBorder="1" applyFont="1" applyNumberFormat="1">
      <alignment readingOrder="0" vertical="bottom"/>
    </xf>
    <xf borderId="0" fillId="0" fontId="17" numFmtId="0" xfId="0" applyAlignment="1" applyFont="1">
      <alignment vertical="bottom"/>
    </xf>
    <xf borderId="0" fillId="0" fontId="17" numFmtId="3" xfId="0" applyAlignment="1" applyFont="1" applyNumberFormat="1">
      <alignment vertical="bottom"/>
    </xf>
    <xf borderId="0" fillId="0" fontId="17" numFmtId="165" xfId="0" applyAlignment="1" applyFont="1" applyNumberFormat="1">
      <alignment vertical="bottom"/>
    </xf>
    <xf borderId="33" fillId="0" fontId="16" numFmtId="0" xfId="0" applyAlignment="1" applyBorder="1" applyFont="1">
      <alignment vertical="bottom"/>
    </xf>
    <xf borderId="0" fillId="0" fontId="18" numFmtId="3" xfId="0" applyFont="1" applyNumberFormat="1"/>
    <xf borderId="0" fillId="0" fontId="18" numFmtId="165" xfId="0" applyFont="1" applyNumberFormat="1"/>
    <xf borderId="4" fillId="2" fontId="17" numFmtId="0" xfId="0" applyAlignment="1" applyBorder="1" applyFont="1">
      <alignment vertical="bottom"/>
    </xf>
    <xf borderId="4" fillId="2" fontId="17" numFmtId="9" xfId="0" applyAlignment="1" applyBorder="1" applyFont="1" applyNumberFormat="1">
      <alignment horizontal="right" vertical="bottom"/>
    </xf>
    <xf borderId="4" fillId="2" fontId="17" numFmtId="0" xfId="0" applyAlignment="1" applyBorder="1" applyFont="1">
      <alignment readingOrder="0" vertical="bottom"/>
    </xf>
    <xf borderId="4" fillId="2" fontId="17" numFmtId="9" xfId="0" applyAlignment="1" applyBorder="1" applyFont="1" applyNumberFormat="1">
      <alignment horizontal="right" readingOrder="0" vertical="bottom"/>
    </xf>
    <xf borderId="0" fillId="2" fontId="19" numFmtId="0" xfId="0" applyAlignment="1" applyFont="1">
      <alignment vertical="bottom"/>
    </xf>
    <xf borderId="0" fillId="27" fontId="10" numFmtId="3" xfId="0" applyAlignment="1" applyFill="1" applyFont="1" applyNumberFormat="1">
      <alignment horizontal="right" readingOrder="0" shrinkToFit="0" vertical="bottom" wrapText="0"/>
    </xf>
    <xf borderId="0" fillId="2" fontId="3" numFmtId="0" xfId="0" applyAlignment="1" applyFont="1">
      <alignment vertical="bottom"/>
    </xf>
    <xf borderId="0" fillId="0" fontId="18" numFmtId="0" xfId="0" applyAlignment="1" applyFont="1">
      <alignment readingOrder="0"/>
    </xf>
    <xf borderId="4" fillId="28" fontId="20" numFmtId="0" xfId="0" applyAlignment="1" applyBorder="1" applyFill="1" applyFont="1">
      <alignment shrinkToFit="0" vertical="bottom" wrapText="1"/>
    </xf>
    <xf borderId="4" fillId="28" fontId="20" numFmtId="3" xfId="0" applyAlignment="1" applyBorder="1" applyFont="1" applyNumberFormat="1">
      <alignment shrinkToFit="0" vertical="bottom" wrapText="1"/>
    </xf>
    <xf borderId="3" fillId="28" fontId="20" numFmtId="0" xfId="0" applyAlignment="1" applyBorder="1" applyFont="1">
      <alignment horizontal="center" shrinkToFit="0" vertical="bottom" wrapText="1"/>
    </xf>
    <xf borderId="3" fillId="28" fontId="20" numFmtId="0" xfId="0" applyAlignment="1" applyBorder="1" applyFont="1">
      <alignment vertical="bottom"/>
    </xf>
    <xf borderId="4" fillId="2" fontId="17" numFmtId="0" xfId="0" applyAlignment="1" applyBorder="1" applyFont="1">
      <alignment horizontal="right" readingOrder="0" vertical="bottom"/>
    </xf>
    <xf borderId="4" fillId="2" fontId="17" numFmtId="3" xfId="0" applyAlignment="1" applyBorder="1" applyFont="1" applyNumberFormat="1">
      <alignment horizontal="right" readingOrder="0" vertical="bottom"/>
    </xf>
    <xf borderId="4" fillId="0" fontId="19" numFmtId="10" xfId="0" applyAlignment="1" applyBorder="1" applyFont="1" applyNumberFormat="1">
      <alignment horizontal="right" vertical="bottom"/>
    </xf>
    <xf borderId="4" fillId="2" fontId="17" numFmtId="0" xfId="0" applyAlignment="1" applyBorder="1" applyFont="1">
      <alignment vertical="bottom"/>
    </xf>
    <xf borderId="4" fillId="0" fontId="19" numFmtId="0" xfId="0" applyAlignment="1" applyBorder="1" applyFont="1">
      <alignment vertical="bottom"/>
    </xf>
    <xf borderId="4" fillId="2" fontId="19" numFmtId="9" xfId="0" applyAlignment="1" applyBorder="1" applyFont="1" applyNumberFormat="1">
      <alignment horizontal="right" vertical="bottom"/>
    </xf>
    <xf borderId="4" fillId="0" fontId="19" numFmtId="0" xfId="0" applyAlignment="1" applyBorder="1" applyFont="1">
      <alignment readingOrder="0" vertical="bottom"/>
    </xf>
    <xf borderId="4" fillId="2" fontId="19" numFmtId="9" xfId="0" applyAlignment="1" applyBorder="1" applyFont="1" applyNumberFormat="1">
      <alignment horizontal="right" readingOrder="0" vertical="bottom"/>
    </xf>
    <xf borderId="4" fillId="0" fontId="17" numFmtId="0" xfId="0" applyAlignment="1" applyBorder="1" applyFont="1">
      <alignment vertical="bottom"/>
    </xf>
    <xf borderId="4" fillId="0" fontId="17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4" fillId="2" fontId="20" numFmtId="0" xfId="0" applyAlignment="1" applyBorder="1" applyFont="1">
      <alignment shrinkToFit="0" vertical="bottom" wrapText="1"/>
    </xf>
    <xf borderId="4" fillId="2" fontId="20" numFmtId="3" xfId="0" applyAlignment="1" applyBorder="1" applyFont="1" applyNumberFormat="1">
      <alignment horizontal="center" shrinkToFit="0" vertical="bottom" wrapText="1"/>
    </xf>
    <xf borderId="4" fillId="2" fontId="3" numFmtId="166" xfId="0" applyAlignment="1" applyBorder="1" applyFont="1" applyNumberFormat="1">
      <alignment vertical="bottom"/>
    </xf>
    <xf borderId="4" fillId="0" fontId="17" numFmtId="0" xfId="0" applyAlignment="1" applyBorder="1" applyFont="1">
      <alignment vertical="bottom"/>
    </xf>
    <xf borderId="1" fillId="0" fontId="20" numFmtId="0" xfId="0" applyAlignment="1" applyBorder="1" applyFont="1">
      <alignment shrinkToFit="0" vertical="bottom" wrapText="1"/>
    </xf>
    <xf borderId="2" fillId="0" fontId="20" numFmtId="10" xfId="0" applyAlignment="1" applyBorder="1" applyFont="1" applyNumberFormat="1">
      <alignment horizontal="right" shrinkToFit="0" vertical="bottom" wrapText="1"/>
    </xf>
    <xf borderId="2" fillId="0" fontId="3" numFmtId="3" xfId="0" applyAlignment="1" applyBorder="1" applyFont="1" applyNumberFormat="1">
      <alignment vertical="bottom"/>
    </xf>
    <xf borderId="2" fillId="2" fontId="3" numFmtId="0" xfId="0" applyAlignment="1" applyBorder="1" applyFont="1">
      <alignment vertical="bottom"/>
    </xf>
    <xf borderId="4" fillId="0" fontId="3" numFmtId="10" xfId="0" applyAlignment="1" applyBorder="1" applyFont="1" applyNumberFormat="1">
      <alignment vertical="bottom"/>
    </xf>
    <xf borderId="4" fillId="28" fontId="21" numFmtId="0" xfId="0" applyAlignment="1" applyBorder="1" applyFont="1">
      <alignment shrinkToFit="0" vertical="bottom" wrapText="1"/>
    </xf>
    <xf borderId="4" fillId="28" fontId="21" numFmtId="3" xfId="0" applyAlignment="1" applyBorder="1" applyFont="1" applyNumberFormat="1">
      <alignment shrinkToFit="0" vertical="bottom" wrapText="1"/>
    </xf>
    <xf borderId="3" fillId="28" fontId="21" numFmtId="0" xfId="0" applyAlignment="1" applyBorder="1" applyFont="1">
      <alignment vertical="bottom"/>
    </xf>
    <xf borderId="4" fillId="0" fontId="19" numFmtId="0" xfId="0" applyAlignment="1" applyBorder="1" applyFont="1">
      <alignment horizontal="right" readingOrder="0" vertical="bottom"/>
    </xf>
    <xf borderId="4" fillId="0" fontId="19" numFmtId="3" xfId="0" applyAlignment="1" applyBorder="1" applyFont="1" applyNumberFormat="1">
      <alignment horizontal="right" readingOrder="0" vertical="bottom"/>
    </xf>
    <xf borderId="4" fillId="0" fontId="17" numFmtId="0" xfId="0" applyAlignment="1" applyBorder="1" applyFont="1">
      <alignment horizontal="right" readingOrder="0" vertical="bottom"/>
    </xf>
    <xf borderId="4" fillId="0" fontId="17" numFmtId="3" xfId="0" applyAlignment="1" applyBorder="1" applyFont="1" applyNumberFormat="1">
      <alignment horizontal="right" readingOrder="0" vertical="bottom"/>
    </xf>
    <xf borderId="0" fillId="2" fontId="22" numFmtId="0" xfId="0" applyAlignment="1" applyFont="1">
      <alignment horizontal="center" readingOrder="0" shrinkToFit="0" vertical="bottom" wrapText="0"/>
    </xf>
    <xf borderId="0" fillId="29" fontId="22" numFmtId="0" xfId="0" applyAlignment="1" applyFill="1" applyFont="1">
      <alignment horizontal="center" readingOrder="0" shrinkToFit="0" vertical="bottom" wrapText="0"/>
    </xf>
    <xf borderId="4" fillId="2" fontId="21" numFmtId="0" xfId="0" applyAlignment="1" applyBorder="1" applyFont="1">
      <alignment shrinkToFit="0" vertical="bottom" wrapText="1"/>
    </xf>
    <xf borderId="4" fillId="2" fontId="21" numFmtId="3" xfId="0" applyAlignment="1" applyBorder="1" applyFont="1" applyNumberFormat="1">
      <alignment horizontal="center" shrinkToFit="0" vertical="bottom" wrapText="1"/>
    </xf>
    <xf borderId="4" fillId="0" fontId="3" numFmtId="9" xfId="0" applyAlignment="1" applyBorder="1" applyFont="1" applyNumberFormat="1">
      <alignment vertical="bottom"/>
    </xf>
    <xf borderId="2" fillId="0" fontId="3" numFmtId="9" xfId="0" applyAlignment="1" applyBorder="1" applyFont="1" applyNumberFormat="1">
      <alignment vertical="bottom"/>
    </xf>
    <xf borderId="4" fillId="30" fontId="19" numFmtId="0" xfId="0" applyAlignment="1" applyBorder="1" applyFill="1" applyFont="1">
      <alignment vertical="bottom"/>
    </xf>
    <xf borderId="4" fillId="0" fontId="19" numFmtId="0" xfId="0" applyAlignment="1" applyBorder="1" applyFont="1">
      <alignment vertical="bottom"/>
    </xf>
    <xf borderId="4" fillId="0" fontId="19" numFmtId="3" xfId="0" applyAlignment="1" applyBorder="1" applyFont="1" applyNumberFormat="1">
      <alignment vertical="bottom"/>
    </xf>
    <xf borderId="0" fillId="27" fontId="10" numFmtId="0" xfId="0" applyAlignment="1" applyFont="1">
      <alignment horizontal="right" readingOrder="0" shrinkToFit="0" vertical="bottom" wrapText="0"/>
    </xf>
    <xf borderId="4" fillId="0" fontId="3" numFmtId="3" xfId="0" applyAlignment="1" applyBorder="1" applyFont="1" applyNumberFormat="1">
      <alignment vertical="bottom"/>
    </xf>
    <xf borderId="4" fillId="30" fontId="20" numFmtId="0" xfId="0" applyAlignment="1" applyBorder="1" applyFont="1">
      <alignment shrinkToFit="0" vertical="bottom" wrapText="1"/>
    </xf>
    <xf borderId="4" fillId="2" fontId="19" numFmtId="0" xfId="0" applyAlignment="1" applyBorder="1" applyFont="1">
      <alignment vertical="bottom"/>
    </xf>
    <xf borderId="4" fillId="2" fontId="19" numFmtId="1" xfId="0" applyAlignment="1" applyBorder="1" applyFont="1" applyNumberFormat="1">
      <alignment vertical="bottom"/>
    </xf>
    <xf borderId="4" fillId="2" fontId="19" numFmtId="3" xfId="0" applyAlignment="1" applyBorder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4" fillId="0" fontId="23" numFmtId="0" xfId="0" applyAlignment="1" applyBorder="1" applyFont="1">
      <alignment shrinkToFit="0" vertical="bottom" wrapText="1"/>
    </xf>
    <xf borderId="4" fillId="0" fontId="17" numFmtId="3" xfId="0" applyAlignment="1" applyBorder="1" applyFont="1" applyNumberFormat="1">
      <alignment horizontal="right" vertical="bottom"/>
    </xf>
    <xf borderId="0" fillId="0" fontId="19" numFmtId="0" xfId="0" applyAlignment="1" applyFont="1">
      <alignment vertical="bottom"/>
    </xf>
    <xf borderId="4" fillId="0" fontId="17" numFmtId="0" xfId="0" applyAlignment="1" applyBorder="1" applyFont="1">
      <alignment horizontal="right" vertical="bottom"/>
    </xf>
    <xf borderId="0" fillId="31" fontId="24" numFmtId="0" xfId="0" applyAlignment="1" applyFill="1" applyFont="1">
      <alignment readingOrder="0" vertical="bottom"/>
    </xf>
    <xf borderId="34" fillId="32" fontId="3" numFmtId="0" xfId="0" applyAlignment="1" applyBorder="1" applyFill="1" applyFont="1">
      <alignment vertical="bottom"/>
    </xf>
    <xf borderId="35" fillId="33" fontId="20" numFmtId="0" xfId="0" applyAlignment="1" applyBorder="1" applyFill="1" applyFont="1">
      <alignment horizontal="center" shrinkToFit="0" vertical="bottom" wrapText="1"/>
    </xf>
    <xf borderId="35" fillId="33" fontId="3" numFmtId="0" xfId="0" applyAlignment="1" applyBorder="1" applyFont="1">
      <alignment vertical="bottom"/>
    </xf>
    <xf borderId="35" fillId="34" fontId="20" numFmtId="3" xfId="0" applyAlignment="1" applyBorder="1" applyFill="1" applyFont="1" applyNumberFormat="1">
      <alignment horizontal="center" shrinkToFit="0" vertical="bottom" wrapText="1"/>
    </xf>
    <xf borderId="0" fillId="35" fontId="3" numFmtId="0" xfId="0" applyAlignment="1" applyFill="1" applyFont="1">
      <alignment vertical="bottom"/>
    </xf>
    <xf borderId="35" fillId="33" fontId="3" numFmtId="1" xfId="0" applyAlignment="1" applyBorder="1" applyFont="1" applyNumberFormat="1">
      <alignment vertical="bottom"/>
    </xf>
    <xf borderId="0" fillId="33" fontId="3" numFmtId="0" xfId="0" applyAlignment="1" applyFont="1">
      <alignment vertical="bottom"/>
    </xf>
    <xf borderId="36" fillId="0" fontId="3" numFmtId="0" xfId="0" applyAlignment="1" applyBorder="1" applyFont="1">
      <alignment vertical="bottom"/>
    </xf>
    <xf borderId="36" fillId="0" fontId="3" numFmtId="3" xfId="0" applyAlignment="1" applyBorder="1" applyFont="1" applyNumberFormat="1">
      <alignment vertical="bottom"/>
    </xf>
    <xf borderId="37" fillId="32" fontId="3" numFmtId="0" xfId="0" applyAlignment="1" applyBorder="1" applyFont="1">
      <alignment vertical="bottom"/>
    </xf>
    <xf borderId="35" fillId="30" fontId="21" numFmtId="0" xfId="0" applyAlignment="1" applyBorder="1" applyFont="1">
      <alignment shrinkToFit="0" vertical="bottom" wrapText="1"/>
    </xf>
    <xf borderId="35" fillId="30" fontId="3" numFmtId="0" xfId="0" applyAlignment="1" applyBorder="1" applyFont="1">
      <alignment shrinkToFit="0" vertical="bottom" wrapText="1"/>
    </xf>
    <xf borderId="35" fillId="30" fontId="3" numFmtId="3" xfId="0" applyAlignment="1" applyBorder="1" applyFont="1" applyNumberFormat="1">
      <alignment shrinkToFit="0" vertical="bottom" wrapText="1"/>
    </xf>
    <xf borderId="35" fillId="0" fontId="3" numFmtId="0" xfId="0" applyAlignment="1" applyBorder="1" applyFont="1">
      <alignment shrinkToFit="0" vertical="bottom" wrapText="1"/>
    </xf>
    <xf borderId="35" fillId="0" fontId="3" numFmtId="3" xfId="0" applyAlignment="1" applyBorder="1" applyFont="1" applyNumberFormat="1">
      <alignment shrinkToFit="0" vertical="bottom" wrapText="1"/>
    </xf>
    <xf borderId="35" fillId="30" fontId="21" numFmtId="1" xfId="0" applyAlignment="1" applyBorder="1" applyFont="1" applyNumberFormat="1">
      <alignment shrinkToFit="0" vertical="bottom" wrapText="1"/>
    </xf>
    <xf borderId="35" fillId="30" fontId="21" numFmtId="3" xfId="0" applyAlignment="1" applyBorder="1" applyFont="1" applyNumberFormat="1">
      <alignment shrinkToFit="0" vertical="bottom" wrapText="1"/>
    </xf>
    <xf borderId="4" fillId="0" fontId="21" numFmtId="0" xfId="0" applyAlignment="1" applyBorder="1" applyFont="1">
      <alignment vertical="bottom"/>
    </xf>
    <xf borderId="35" fillId="0" fontId="5" numFmtId="0" xfId="0" applyAlignment="1" applyBorder="1" applyFont="1">
      <alignment vertical="bottom"/>
    </xf>
    <xf borderId="35" fillId="0" fontId="3" numFmtId="0" xfId="0" applyAlignment="1" applyBorder="1" applyFont="1">
      <alignment horizontal="right" shrinkToFit="0" vertical="bottom" wrapText="1"/>
    </xf>
    <xf borderId="35" fillId="0" fontId="3" numFmtId="3" xfId="0" applyAlignment="1" applyBorder="1" applyFont="1" applyNumberFormat="1">
      <alignment horizontal="right" shrinkToFit="0" vertical="bottom" wrapText="1"/>
    </xf>
    <xf borderId="35" fillId="0" fontId="3" numFmtId="0" xfId="0" applyAlignment="1" applyBorder="1" applyFont="1">
      <alignment vertical="bottom"/>
    </xf>
    <xf borderId="0" fillId="0" fontId="21" numFmtId="0" xfId="0" applyAlignment="1" applyFont="1">
      <alignment shrinkToFit="0" vertical="bottom" wrapText="1"/>
    </xf>
    <xf borderId="35" fillId="0" fontId="3" numFmtId="0" xfId="0" applyAlignment="1" applyBorder="1" applyFont="1">
      <alignment shrinkToFit="0" vertical="bottom" wrapText="1"/>
    </xf>
    <xf borderId="35" fillId="0" fontId="3" numFmtId="1" xfId="0" applyAlignment="1" applyBorder="1" applyFont="1" applyNumberFormat="1">
      <alignment horizontal="right" shrinkToFit="0" vertical="bottom" wrapText="1"/>
    </xf>
    <xf borderId="4" fillId="0" fontId="21" numFmtId="0" xfId="0" applyAlignment="1" applyBorder="1" applyFont="1">
      <alignment shrinkToFit="0" vertical="bottom" wrapText="1"/>
    </xf>
    <xf borderId="4" fillId="0" fontId="3" numFmtId="3" xfId="0" applyAlignment="1" applyBorder="1" applyFont="1" applyNumberFormat="1">
      <alignment horizontal="right" shrinkToFit="0" vertical="bottom" wrapText="1"/>
    </xf>
    <xf borderId="0" fillId="0" fontId="21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35" fillId="2" fontId="5" numFmtId="0" xfId="0" applyAlignment="1" applyBorder="1" applyFont="1">
      <alignment vertical="bottom"/>
    </xf>
    <xf borderId="35" fillId="0" fontId="6" numFmtId="0" xfId="0" applyAlignment="1" applyBorder="1" applyFont="1">
      <alignment readingOrder="0" vertical="bottom"/>
    </xf>
    <xf borderId="4" fillId="34" fontId="21" numFmtId="0" xfId="0" applyAlignment="1" applyBorder="1" applyFont="1">
      <alignment shrinkToFit="0" vertical="bottom" wrapText="1"/>
    </xf>
    <xf borderId="4" fillId="34" fontId="21" numFmtId="3" xfId="0" applyAlignment="1" applyBorder="1" applyFont="1" applyNumberFormat="1">
      <alignment horizontal="right" shrinkToFit="0" vertical="bottom" wrapText="1"/>
    </xf>
    <xf borderId="5" fillId="0" fontId="21" numFmtId="0" xfId="0" applyAlignment="1" applyBorder="1" applyFont="1">
      <alignment shrinkToFit="0" vertical="bottom" wrapText="1"/>
    </xf>
    <xf borderId="1" fillId="32" fontId="21" numFmtId="0" xfId="0" applyAlignment="1" applyBorder="1" applyFont="1">
      <alignment horizontal="center" shrinkToFit="0" vertical="bottom" wrapText="1"/>
    </xf>
    <xf borderId="35" fillId="0" fontId="5" numFmtId="0" xfId="0" applyAlignment="1" applyBorder="1" applyFont="1">
      <alignment readingOrder="0" vertical="bottom"/>
    </xf>
    <xf borderId="0" fillId="36" fontId="25" numFmtId="3" xfId="0" applyAlignment="1" applyFill="1" applyFont="1" applyNumberFormat="1">
      <alignment horizontal="center" readingOrder="0" vertical="bottom"/>
    </xf>
    <xf borderId="4" fillId="0" fontId="3" numFmtId="3" xfId="0" applyAlignment="1" applyBorder="1" applyFont="1" applyNumberFormat="1">
      <alignment horizontal="center" shrinkToFit="0" vertical="bottom" wrapText="1"/>
    </xf>
    <xf borderId="4" fillId="37" fontId="3" numFmtId="3" xfId="0" applyAlignment="1" applyBorder="1" applyFill="1" applyFont="1" applyNumberFormat="1">
      <alignment horizontal="center" readingOrder="0" vertical="bottom"/>
    </xf>
    <xf borderId="4" fillId="38" fontId="3" numFmtId="3" xfId="0" applyAlignment="1" applyBorder="1" applyFill="1" applyFont="1" applyNumberFormat="1">
      <alignment horizontal="center" shrinkToFit="0" vertical="bottom" wrapText="1"/>
    </xf>
    <xf borderId="0" fillId="0" fontId="3" numFmtId="9" xfId="0" applyAlignment="1" applyFont="1" applyNumberFormat="1">
      <alignment vertical="bottom"/>
    </xf>
    <xf borderId="4" fillId="34" fontId="21" numFmtId="10" xfId="0" applyAlignment="1" applyBorder="1" applyFont="1" applyNumberFormat="1">
      <alignment horizontal="center" shrinkToFit="0" vertical="bottom" wrapText="1"/>
    </xf>
    <xf borderId="0" fillId="0" fontId="3" numFmtId="10" xfId="0" applyAlignment="1" applyFont="1" applyNumberFormat="1">
      <alignment vertical="bottom"/>
    </xf>
    <xf borderId="4" fillId="0" fontId="3" numFmtId="10" xfId="0" applyAlignment="1" applyBorder="1" applyFont="1" applyNumberFormat="1">
      <alignment horizontal="center" shrinkToFit="0" vertical="bottom" wrapText="1"/>
    </xf>
    <xf borderId="4" fillId="33" fontId="3" numFmtId="3" xfId="0" applyAlignment="1" applyBorder="1" applyFont="1" applyNumberFormat="1">
      <alignment horizontal="center" shrinkToFit="0" vertical="bottom" wrapText="1"/>
    </xf>
    <xf borderId="35" fillId="2" fontId="3" numFmtId="0" xfId="0" applyAlignment="1" applyBorder="1" applyFont="1">
      <alignment vertical="bottom"/>
    </xf>
    <xf borderId="5" fillId="0" fontId="21" numFmtId="0" xfId="0" applyAlignment="1" applyBorder="1" applyFont="1">
      <alignment readingOrder="0" vertical="bottom"/>
    </xf>
    <xf borderId="0" fillId="0" fontId="3" numFmtId="10" xfId="0" applyAlignment="1" applyFont="1" applyNumberFormat="1">
      <alignment horizontal="right" shrinkToFit="0" vertical="bottom" wrapText="1"/>
    </xf>
    <xf borderId="4" fillId="33" fontId="21" numFmtId="0" xfId="0" applyAlignment="1" applyBorder="1" applyFont="1">
      <alignment shrinkToFit="0" vertical="bottom" wrapText="1"/>
    </xf>
    <xf borderId="4" fillId="33" fontId="21" numFmtId="3" xfId="0" applyAlignment="1" applyBorder="1" applyFont="1" applyNumberFormat="1">
      <alignment shrinkToFit="0" vertical="bottom" wrapText="1"/>
    </xf>
    <xf borderId="4" fillId="2" fontId="3" numFmtId="1" xfId="0" applyAlignment="1" applyBorder="1" applyFont="1" applyNumberFormat="1">
      <alignment vertical="bottom"/>
    </xf>
    <xf borderId="4" fillId="2" fontId="3" numFmtId="3" xfId="0" applyAlignment="1" applyBorder="1" applyFont="1" applyNumberFormat="1">
      <alignment vertical="bottom"/>
    </xf>
    <xf borderId="0" fillId="0" fontId="21" numFmtId="0" xfId="0" applyAlignment="1" applyFont="1">
      <alignment readingOrder="0" vertical="bottom"/>
    </xf>
    <xf borderId="5" fillId="0" fontId="21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35" fillId="0" fontId="6" numFmtId="0" xfId="0" applyAlignment="1" applyBorder="1" applyFont="1">
      <alignment vertical="bottom"/>
    </xf>
    <xf borderId="35" fillId="0" fontId="3" numFmtId="0" xfId="0" applyAlignment="1" applyBorder="1" applyFont="1">
      <alignment readingOrder="0" vertical="bottom"/>
    </xf>
    <xf borderId="4" fillId="2" fontId="21" numFmtId="0" xfId="0" applyAlignment="1" applyBorder="1" applyFont="1">
      <alignment shrinkToFit="0" vertical="bottom" wrapText="1"/>
    </xf>
    <xf borderId="0" fillId="0" fontId="21" numFmtId="10" xfId="0" applyAlignment="1" applyFont="1" applyNumberFormat="1">
      <alignment horizontal="right" shrinkToFit="0" vertical="bottom" wrapText="1"/>
    </xf>
    <xf borderId="0" fillId="2" fontId="3" numFmtId="3" xfId="0" applyAlignment="1" applyFont="1" applyNumberFormat="1">
      <alignment vertical="bottom"/>
    </xf>
    <xf borderId="38" fillId="35" fontId="3" numFmtId="0" xfId="0" applyAlignment="1" applyBorder="1" applyFont="1">
      <alignment vertical="bottom"/>
    </xf>
    <xf borderId="39" fillId="0" fontId="3" numFmtId="0" xfId="0" applyAlignment="1" applyBorder="1" applyFont="1">
      <alignment shrinkToFit="0" vertical="bottom" wrapText="1"/>
    </xf>
    <xf borderId="4" fillId="2" fontId="3" numFmtId="10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39" fillId="0" fontId="3" numFmtId="0" xfId="0" applyAlignment="1" applyBorder="1" applyFont="1">
      <alignment vertical="bottom"/>
    </xf>
    <xf borderId="40" fillId="0" fontId="3" numFmtId="3" xfId="0" applyAlignment="1" applyBorder="1" applyFont="1" applyNumberFormat="1">
      <alignment vertical="bottom"/>
    </xf>
    <xf borderId="38" fillId="0" fontId="3" numFmtId="3" xfId="0" applyAlignment="1" applyBorder="1" applyFont="1" applyNumberFormat="1">
      <alignment vertical="bottom"/>
    </xf>
    <xf borderId="35" fillId="3" fontId="4" numFmtId="0" xfId="0" applyAlignment="1" applyBorder="1" applyFont="1">
      <alignment vertical="bottom"/>
    </xf>
    <xf borderId="35" fillId="0" fontId="5" numFmtId="0" xfId="0" applyAlignment="1" applyBorder="1" applyFont="1">
      <alignment shrinkToFit="0" vertical="bottom" wrapText="1"/>
    </xf>
    <xf borderId="35" fillId="0" fontId="5" numFmtId="0" xfId="0" applyAlignment="1" applyBorder="1" applyFont="1">
      <alignment vertical="bottom"/>
    </xf>
    <xf borderId="35" fillId="0" fontId="5" numFmtId="164" xfId="0" applyAlignment="1" applyBorder="1" applyFont="1" applyNumberFormat="1">
      <alignment vertical="bottom"/>
    </xf>
    <xf borderId="35" fillId="2" fontId="5" numFmtId="164" xfId="0" applyAlignment="1" applyBorder="1" applyFont="1" applyNumberFormat="1">
      <alignment vertical="bottom"/>
    </xf>
    <xf borderId="35" fillId="2" fontId="5" numFmtId="0" xfId="0" applyAlignment="1" applyBorder="1" applyFont="1">
      <alignment readingOrder="0" vertical="bottom"/>
    </xf>
    <xf borderId="35" fillId="0" fontId="5" numFmtId="0" xfId="0" applyAlignment="1" applyBorder="1" applyFont="1">
      <alignment shrinkToFit="0" vertical="top" wrapText="1"/>
    </xf>
    <xf borderId="40" fillId="32" fontId="3" numFmtId="0" xfId="0" applyAlignment="1" applyBorder="1" applyFont="1">
      <alignment vertical="bottom"/>
    </xf>
    <xf borderId="39" fillId="3" fontId="4" numFmtId="0" xfId="0" applyAlignment="1" applyBorder="1" applyFont="1">
      <alignment vertical="bottom"/>
    </xf>
    <xf borderId="41" fillId="0" fontId="3" numFmtId="0" xfId="0" applyAlignment="1" applyBorder="1" applyFont="1">
      <alignment vertical="bottom"/>
    </xf>
    <xf borderId="39" fillId="0" fontId="5" numFmtId="0" xfId="0" applyAlignment="1" applyBorder="1" applyFont="1">
      <alignment vertical="bottom"/>
    </xf>
    <xf borderId="41" fillId="0" fontId="6" numFmtId="0" xfId="0" applyAlignment="1" applyBorder="1" applyFont="1">
      <alignment vertical="bottom"/>
    </xf>
    <xf borderId="42" fillId="0" fontId="3" numFmtId="0" xfId="0" applyAlignment="1" applyBorder="1" applyFont="1">
      <alignment vertical="bottom"/>
    </xf>
    <xf borderId="43" fillId="0" fontId="3" numFmtId="0" xfId="0" applyAlignment="1" applyBorder="1" applyFont="1">
      <alignment vertical="bottom"/>
    </xf>
    <xf borderId="1" fillId="33" fontId="3" numFmtId="0" xfId="0" applyAlignment="1" applyBorder="1" applyFont="1">
      <alignment vertical="bottom"/>
    </xf>
    <xf borderId="4" fillId="39" fontId="3" numFmtId="0" xfId="0" applyAlignment="1" applyBorder="1" applyFill="1" applyFont="1">
      <alignment vertical="bottom"/>
    </xf>
    <xf borderId="5" fillId="39" fontId="3" numFmtId="0" xfId="0" applyAlignment="1" applyBorder="1" applyFont="1">
      <alignment horizontal="center" vertical="bottom"/>
    </xf>
    <xf borderId="5" fillId="0" fontId="2" numFmtId="0" xfId="0" applyBorder="1" applyFont="1"/>
    <xf borderId="39" fillId="0" fontId="2" numFmtId="0" xfId="0" applyBorder="1" applyFont="1"/>
    <xf borderId="44" fillId="39" fontId="21" numFmtId="0" xfId="0" applyAlignment="1" applyBorder="1" applyFont="1">
      <alignment horizontal="center" vertical="bottom"/>
    </xf>
    <xf borderId="44" fillId="0" fontId="2" numFmtId="0" xfId="0" applyBorder="1" applyFont="1"/>
    <xf borderId="45" fillId="0" fontId="2" numFmtId="0" xfId="0" applyBorder="1" applyFont="1"/>
    <xf borderId="4" fillId="0" fontId="21" numFmtId="0" xfId="0" applyAlignment="1" applyBorder="1" applyFont="1">
      <alignment shrinkToFit="0" vertical="bottom" wrapText="1"/>
    </xf>
    <xf borderId="46" fillId="0" fontId="3" numFmtId="0" xfId="0" applyAlignment="1" applyBorder="1" applyFont="1">
      <alignment shrinkToFit="0" vertical="bottom" wrapText="1"/>
    </xf>
    <xf borderId="47" fillId="0" fontId="3" numFmtId="0" xfId="0" applyAlignment="1" applyBorder="1" applyFont="1">
      <alignment shrinkToFit="0" vertical="bottom" wrapText="1"/>
    </xf>
    <xf borderId="48" fillId="0" fontId="3" numFmtId="0" xfId="0" applyAlignment="1" applyBorder="1" applyFont="1">
      <alignment shrinkToFit="0" vertical="bottom" wrapText="1"/>
    </xf>
    <xf borderId="49" fillId="0" fontId="3" numFmtId="0" xfId="0" applyAlignment="1" applyBorder="1" applyFont="1">
      <alignment shrinkToFit="0" vertical="bottom" wrapText="1"/>
    </xf>
    <xf borderId="50" fillId="0" fontId="3" numFmtId="0" xfId="0" applyAlignment="1" applyBorder="1" applyFont="1">
      <alignment shrinkToFit="0" vertical="bottom" wrapText="1"/>
    </xf>
    <xf borderId="4" fillId="3" fontId="21" numFmtId="0" xfId="0" applyAlignment="1" applyBorder="1" applyFont="1">
      <alignment shrinkToFit="0" vertical="bottom" wrapText="1"/>
    </xf>
    <xf borderId="51" fillId="0" fontId="3" numFmtId="0" xfId="0" applyAlignment="1" applyBorder="1" applyFont="1">
      <alignment vertical="bottom"/>
    </xf>
    <xf borderId="52" fillId="0" fontId="3" numFmtId="0" xfId="0" applyAlignment="1" applyBorder="1" applyFont="1">
      <alignment vertical="bottom"/>
    </xf>
    <xf borderId="53" fillId="0" fontId="3" numFmtId="0" xfId="0" applyAlignment="1" applyBorder="1" applyFont="1">
      <alignment vertical="bottom"/>
    </xf>
    <xf borderId="54" fillId="0" fontId="3" numFmtId="0" xfId="0" applyAlignment="1" applyBorder="1" applyFont="1">
      <alignment vertical="bottom"/>
    </xf>
    <xf borderId="51" fillId="0" fontId="3" numFmtId="0" xfId="0" applyAlignment="1" applyBorder="1" applyFont="1">
      <alignment readingOrder="0" vertical="bottom"/>
    </xf>
    <xf borderId="52" fillId="0" fontId="3" numFmtId="0" xfId="0" applyAlignment="1" applyBorder="1" applyFont="1">
      <alignment readingOrder="0" vertical="bottom"/>
    </xf>
    <xf borderId="53" fillId="0" fontId="3" numFmtId="0" xfId="0" applyAlignment="1" applyBorder="1" applyFont="1">
      <alignment readingOrder="0" vertical="bottom"/>
    </xf>
    <xf borderId="39" fillId="0" fontId="3" numFmtId="0" xfId="0" applyAlignment="1" applyBorder="1" applyFont="1">
      <alignment horizontal="right" vertical="bottom"/>
    </xf>
    <xf borderId="4" fillId="0" fontId="21" numFmtId="0" xfId="0" applyAlignment="1" applyBorder="1" applyFont="1">
      <alignment vertical="bottom"/>
    </xf>
    <xf borderId="4" fillId="0" fontId="21" numFmtId="0" xfId="0" applyAlignment="1" applyBorder="1" applyFont="1">
      <alignment readingOrder="0" vertical="bottom"/>
    </xf>
    <xf borderId="4" fillId="34" fontId="21" numFmtId="0" xfId="0" applyAlignment="1" applyBorder="1" applyFont="1">
      <alignment shrinkToFit="0" vertical="bottom" wrapText="1"/>
    </xf>
    <xf borderId="52" fillId="0" fontId="3" numFmtId="0" xfId="0" applyAlignment="1" applyBorder="1" applyFont="1">
      <alignment horizontal="right" vertical="bottom"/>
    </xf>
    <xf borderId="53" fillId="0" fontId="3" numFmtId="0" xfId="0" applyAlignment="1" applyBorder="1" applyFont="1">
      <alignment horizontal="right" vertical="bottom"/>
    </xf>
    <xf borderId="41" fillId="0" fontId="3" numFmtId="0" xfId="0" applyAlignment="1" applyBorder="1" applyFont="1">
      <alignment readingOrder="0" vertical="bottom"/>
    </xf>
    <xf borderId="52" fillId="0" fontId="3" numFmtId="0" xfId="0" applyAlignment="1" applyBorder="1" applyFont="1">
      <alignment horizontal="right" readingOrder="0" vertical="bottom"/>
    </xf>
    <xf borderId="55" fillId="0" fontId="3" numFmtId="0" xfId="0" applyAlignment="1" applyBorder="1" applyFont="1">
      <alignment readingOrder="0" vertical="bottom"/>
    </xf>
    <xf borderId="53" fillId="0" fontId="3" numFmtId="0" xfId="0" applyAlignment="1" applyBorder="1" applyFont="1">
      <alignment horizontal="right" readingOrder="0" vertical="bottom"/>
    </xf>
    <xf borderId="55" fillId="0" fontId="3" numFmtId="0" xfId="0" applyAlignment="1" applyBorder="1" applyFont="1">
      <alignment vertical="bottom"/>
    </xf>
    <xf borderId="39" fillId="0" fontId="3" numFmtId="0" xfId="0" applyAlignment="1" applyBorder="1" applyFont="1">
      <alignment readingOrder="0" vertical="bottom"/>
    </xf>
    <xf borderId="4" fillId="0" fontId="5" numFmtId="0" xfId="0" applyAlignment="1" applyBorder="1" applyFont="1">
      <alignment shrinkToFit="0" vertical="bottom" wrapText="1"/>
    </xf>
    <xf borderId="35" fillId="2" fontId="3" numFmtId="0" xfId="0" applyAlignment="1" applyBorder="1" applyFont="1">
      <alignment readingOrder="0" vertical="bottom"/>
    </xf>
    <xf borderId="41" fillId="2" fontId="3" numFmtId="0" xfId="0" applyAlignment="1" applyBorder="1" applyFont="1">
      <alignment readingOrder="0" vertical="bottom"/>
    </xf>
    <xf borderId="39" fillId="2" fontId="3" numFmtId="0" xfId="0" applyAlignment="1" applyBorder="1" applyFont="1">
      <alignment vertical="bottom"/>
    </xf>
    <xf borderId="52" fillId="2" fontId="3" numFmtId="0" xfId="0" applyAlignment="1" applyBorder="1" applyFont="1">
      <alignment readingOrder="0" vertical="bottom"/>
    </xf>
    <xf borderId="55" fillId="2" fontId="3" numFmtId="0" xfId="0" applyAlignment="1" applyBorder="1" applyFont="1">
      <alignment vertical="bottom"/>
    </xf>
    <xf borderId="41" fillId="2" fontId="3" numFmtId="0" xfId="0" applyAlignment="1" applyBorder="1" applyFont="1">
      <alignment vertical="bottom"/>
    </xf>
    <xf borderId="52" fillId="0" fontId="3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35" fillId="0" fontId="3" numFmtId="0" xfId="0" applyAlignment="1" applyBorder="1" applyFont="1">
      <alignment horizontal="right" vertical="bottom"/>
    </xf>
    <xf borderId="56" fillId="0" fontId="3" numFmtId="0" xfId="0" applyAlignment="1" applyBorder="1" applyFont="1">
      <alignment vertical="bottom"/>
    </xf>
    <xf borderId="56" fillId="0" fontId="3" numFmtId="0" xfId="0" applyAlignment="1" applyBorder="1" applyFont="1">
      <alignment readingOrder="0" vertical="bottom"/>
    </xf>
    <xf borderId="56" fillId="0" fontId="3" numFmtId="0" xfId="0" applyAlignment="1" applyBorder="1" applyFont="1">
      <alignment horizontal="right" vertical="bottom"/>
    </xf>
    <xf borderId="57" fillId="0" fontId="3" numFmtId="0" xfId="0" applyAlignment="1" applyBorder="1" applyFont="1">
      <alignment vertical="bottom"/>
    </xf>
    <xf borderId="4" fillId="0" fontId="18" numFmtId="0" xfId="0" applyBorder="1" applyFont="1"/>
    <xf borderId="55" fillId="2" fontId="3" numFmtId="0" xfId="0" applyAlignment="1" applyBorder="1" applyFont="1">
      <alignment readingOrder="0" vertical="bottom"/>
    </xf>
    <xf borderId="58" fillId="33" fontId="3" numFmtId="0" xfId="0" applyAlignment="1" applyBorder="1" applyFont="1">
      <alignment vertical="bottom"/>
    </xf>
    <xf borderId="59" fillId="39" fontId="3" numFmtId="0" xfId="0" applyAlignment="1" applyBorder="1" applyFont="1">
      <alignment vertical="bottom"/>
    </xf>
    <xf borderId="55" fillId="39" fontId="3" numFmtId="0" xfId="0" applyAlignment="1" applyBorder="1" applyFont="1">
      <alignment horizontal="center" vertical="bottom"/>
    </xf>
    <xf borderId="36" fillId="0" fontId="21" numFmtId="0" xfId="0" applyAlignment="1" applyBorder="1" applyFont="1">
      <alignment shrinkToFit="0" vertical="bottom" wrapText="1"/>
    </xf>
    <xf borderId="0" fillId="3" fontId="21" numFmtId="0" xfId="0" applyAlignment="1" applyFont="1">
      <alignment shrinkToFit="0" vertical="bottom" wrapText="1"/>
    </xf>
    <xf borderId="0" fillId="34" fontId="21" numFmtId="0" xfId="0" applyAlignment="1" applyFont="1">
      <alignment shrinkToFit="0" vertical="bottom" wrapText="1"/>
    </xf>
    <xf borderId="1" fillId="39" fontId="3" numFmtId="0" xfId="0" applyAlignment="1" applyBorder="1" applyFont="1">
      <alignment horizontal="center" vertical="bottom"/>
    </xf>
    <xf borderId="52" fillId="0" fontId="3" numFmtId="0" xfId="0" applyAlignment="1" applyBorder="1" applyFont="1">
      <alignment readingOrder="0" shrinkToFit="0" vertical="bottom" wrapText="1"/>
    </xf>
    <xf borderId="55" fillId="33" fontId="3" numFmtId="0" xfId="0" applyAlignment="1" applyBorder="1" applyFont="1">
      <alignment vertical="bottom"/>
    </xf>
    <xf borderId="35" fillId="39" fontId="3" numFmtId="0" xfId="0" applyAlignment="1" applyBorder="1" applyFont="1">
      <alignment vertical="bottom"/>
    </xf>
    <xf borderId="55" fillId="39" fontId="21" numFmtId="0" xfId="0" applyAlignment="1" applyBorder="1" applyFont="1">
      <alignment horizontal="center" vertical="bottom"/>
    </xf>
    <xf borderId="35" fillId="0" fontId="21" numFmtId="0" xfId="0" applyAlignment="1" applyBorder="1" applyFont="1">
      <alignment shrinkToFit="0" vertical="bottom" wrapText="1"/>
    </xf>
    <xf borderId="35" fillId="3" fontId="21" numFmtId="0" xfId="0" applyAlignment="1" applyBorder="1" applyFont="1">
      <alignment shrinkToFit="0" vertical="bottom" wrapText="1"/>
    </xf>
    <xf borderId="35" fillId="0" fontId="21" numFmtId="0" xfId="0" applyAlignment="1" applyBorder="1" applyFont="1">
      <alignment vertical="bottom"/>
    </xf>
    <xf borderId="35" fillId="0" fontId="21" numFmtId="0" xfId="0" applyAlignment="1" applyBorder="1" applyFont="1">
      <alignment readingOrder="0" vertical="bottom"/>
    </xf>
    <xf borderId="35" fillId="34" fontId="21" numFmtId="0" xfId="0" applyAlignment="1" applyBorder="1" applyFont="1">
      <alignment shrinkToFit="0" vertical="bottom" wrapText="1"/>
    </xf>
    <xf borderId="35" fillId="0" fontId="3" numFmtId="0" xfId="0" applyAlignment="1" applyBorder="1" applyFont="1">
      <alignment horizontal="right" readingOrder="0" vertical="bottom"/>
    </xf>
    <xf borderId="35" fillId="0" fontId="3" numFmtId="0" xfId="0" applyAlignment="1" applyBorder="1" applyFont="1">
      <alignment vertical="bottom"/>
    </xf>
    <xf borderId="35" fillId="0" fontId="1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0.13"/>
    <col customWidth="1" min="2" max="2" width="24.88"/>
    <col customWidth="1" min="3" max="3" width="27.5"/>
    <col customWidth="1" min="4" max="4" width="20.38"/>
    <col customWidth="1" min="5" max="5" width="16.25"/>
    <col customWidth="1" min="6" max="6" width="18.0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6" t="s">
        <v>3</v>
      </c>
      <c r="E2" s="3"/>
      <c r="F2" s="7" t="s">
        <v>4</v>
      </c>
    </row>
    <row r="3">
      <c r="A3" s="8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</row>
    <row r="4">
      <c r="A4" s="10" t="s">
        <v>11</v>
      </c>
      <c r="B4" s="11"/>
      <c r="C4" s="11"/>
      <c r="D4" s="11"/>
      <c r="E4" s="11"/>
      <c r="F4" s="11"/>
    </row>
    <row r="5">
      <c r="A5" s="12" t="s">
        <v>12</v>
      </c>
      <c r="B5" s="13" t="s">
        <v>13</v>
      </c>
      <c r="C5" s="12" t="s">
        <v>14</v>
      </c>
      <c r="D5" s="12" t="s">
        <v>15</v>
      </c>
      <c r="E5" s="14">
        <v>1.0</v>
      </c>
      <c r="F5" s="11"/>
    </row>
    <row r="6">
      <c r="A6" s="12" t="s">
        <v>16</v>
      </c>
      <c r="B6" s="13" t="s">
        <v>17</v>
      </c>
      <c r="C6" s="12" t="s">
        <v>17</v>
      </c>
      <c r="D6" s="12" t="s">
        <v>18</v>
      </c>
      <c r="E6" s="14">
        <v>1.0</v>
      </c>
      <c r="F6" s="11"/>
    </row>
    <row r="7">
      <c r="A7" s="15" t="s">
        <v>19</v>
      </c>
      <c r="B7" s="13" t="s">
        <v>17</v>
      </c>
      <c r="C7" s="12" t="s">
        <v>17</v>
      </c>
      <c r="D7" s="12" t="s">
        <v>18</v>
      </c>
      <c r="E7" s="14">
        <v>1.0</v>
      </c>
      <c r="F7" s="11"/>
    </row>
    <row r="8">
      <c r="A8" s="12" t="s">
        <v>20</v>
      </c>
      <c r="B8" s="13" t="s">
        <v>17</v>
      </c>
      <c r="C8" s="12" t="s">
        <v>17</v>
      </c>
      <c r="D8" s="12" t="s">
        <v>18</v>
      </c>
      <c r="E8" s="14">
        <v>1.0</v>
      </c>
      <c r="F8" s="11"/>
    </row>
    <row r="9">
      <c r="A9" s="12" t="s">
        <v>21</v>
      </c>
      <c r="B9" s="13" t="s">
        <v>17</v>
      </c>
      <c r="C9" s="12" t="s">
        <v>17</v>
      </c>
      <c r="D9" s="12" t="s">
        <v>18</v>
      </c>
      <c r="E9" s="14">
        <v>1.0</v>
      </c>
      <c r="F9" s="11"/>
    </row>
    <row r="10">
      <c r="A10" s="12" t="s">
        <v>22</v>
      </c>
      <c r="B10" s="13" t="s">
        <v>17</v>
      </c>
      <c r="C10" s="12" t="s">
        <v>17</v>
      </c>
      <c r="D10" s="12" t="s">
        <v>18</v>
      </c>
      <c r="E10" s="14">
        <v>1.0</v>
      </c>
      <c r="F10" s="11"/>
    </row>
    <row r="11">
      <c r="A11" s="12" t="s">
        <v>23</v>
      </c>
      <c r="B11" s="12" t="s">
        <v>24</v>
      </c>
      <c r="C11" s="12" t="s">
        <v>25</v>
      </c>
      <c r="D11" s="12" t="s">
        <v>26</v>
      </c>
      <c r="E11" s="14">
        <v>0.7</v>
      </c>
      <c r="F11" s="14">
        <v>0.006</v>
      </c>
    </row>
    <row r="12">
      <c r="A12" s="12" t="s">
        <v>27</v>
      </c>
      <c r="B12" s="12" t="s">
        <v>24</v>
      </c>
      <c r="C12" s="12" t="s">
        <v>24</v>
      </c>
      <c r="D12" s="12" t="s">
        <v>28</v>
      </c>
      <c r="E12" s="14">
        <v>0.305</v>
      </c>
      <c r="F12" s="14">
        <v>0.195</v>
      </c>
    </row>
    <row r="13">
      <c r="A13" s="12" t="s">
        <v>29</v>
      </c>
      <c r="B13" s="12" t="s">
        <v>17</v>
      </c>
      <c r="C13" s="12" t="s">
        <v>14</v>
      </c>
      <c r="D13" s="12" t="s">
        <v>26</v>
      </c>
      <c r="E13" s="14">
        <v>0.473</v>
      </c>
      <c r="F13" s="14">
        <v>0.037</v>
      </c>
    </row>
    <row r="14">
      <c r="A14" s="16" t="s">
        <v>30</v>
      </c>
      <c r="B14" s="12" t="s">
        <v>24</v>
      </c>
      <c r="C14" s="15" t="s">
        <v>31</v>
      </c>
      <c r="D14" s="15" t="s">
        <v>32</v>
      </c>
      <c r="E14" s="14">
        <v>0.5</v>
      </c>
      <c r="F14" s="14">
        <v>0.4</v>
      </c>
    </row>
    <row r="15">
      <c r="A15" s="12" t="s">
        <v>33</v>
      </c>
      <c r="B15" s="12" t="s">
        <v>34</v>
      </c>
      <c r="C15" s="12" t="s">
        <v>35</v>
      </c>
      <c r="D15" s="12" t="s">
        <v>36</v>
      </c>
      <c r="E15" s="14">
        <v>0.4</v>
      </c>
      <c r="F15" s="14">
        <v>0.063</v>
      </c>
    </row>
    <row r="16">
      <c r="A16" s="12" t="s">
        <v>37</v>
      </c>
      <c r="B16" s="12" t="s">
        <v>17</v>
      </c>
      <c r="C16" s="15" t="s">
        <v>31</v>
      </c>
      <c r="D16" s="12" t="s">
        <v>38</v>
      </c>
      <c r="E16" s="14">
        <v>0.06</v>
      </c>
      <c r="F16" s="14">
        <v>0.086</v>
      </c>
    </row>
    <row r="17">
      <c r="A17" s="12" t="s">
        <v>39</v>
      </c>
      <c r="B17" s="12" t="s">
        <v>40</v>
      </c>
      <c r="C17" s="12" t="s">
        <v>17</v>
      </c>
      <c r="D17" s="12" t="s">
        <v>41</v>
      </c>
      <c r="E17" s="14">
        <v>100.0</v>
      </c>
      <c r="F17" s="14">
        <v>0.0</v>
      </c>
    </row>
    <row r="18">
      <c r="A18" s="12" t="s">
        <v>42</v>
      </c>
      <c r="B18" s="12" t="s">
        <v>24</v>
      </c>
      <c r="C18" s="12" t="s">
        <v>35</v>
      </c>
      <c r="D18" s="12" t="s">
        <v>43</v>
      </c>
      <c r="E18" s="14">
        <v>0.397</v>
      </c>
      <c r="F18" s="14">
        <v>0.032</v>
      </c>
    </row>
    <row r="19">
      <c r="A19" s="12" t="s">
        <v>44</v>
      </c>
      <c r="B19" s="12" t="s">
        <v>24</v>
      </c>
      <c r="C19" s="12" t="s">
        <v>25</v>
      </c>
      <c r="D19" s="12" t="s">
        <v>26</v>
      </c>
      <c r="E19" s="14">
        <v>0.71</v>
      </c>
      <c r="F19" s="14">
        <v>0.293</v>
      </c>
    </row>
    <row r="20">
      <c r="A20" s="12" t="s">
        <v>45</v>
      </c>
      <c r="B20" s="12" t="s">
        <v>24</v>
      </c>
      <c r="C20" s="12" t="s">
        <v>25</v>
      </c>
      <c r="D20" s="12" t="s">
        <v>26</v>
      </c>
      <c r="E20" s="14">
        <v>1.0</v>
      </c>
      <c r="F20" s="14">
        <v>0.056</v>
      </c>
    </row>
    <row r="21">
      <c r="A21" s="17" t="s">
        <v>46</v>
      </c>
      <c r="B21" s="12" t="s">
        <v>47</v>
      </c>
      <c r="C21" s="12" t="s">
        <v>48</v>
      </c>
      <c r="D21" s="12" t="s">
        <v>49</v>
      </c>
      <c r="E21" s="18">
        <v>0.623</v>
      </c>
      <c r="F21" s="19">
        <v>0.057</v>
      </c>
    </row>
    <row r="22">
      <c r="A22" s="12" t="s">
        <v>50</v>
      </c>
      <c r="B22" s="12" t="s">
        <v>47</v>
      </c>
      <c r="C22" s="12" t="s">
        <v>51</v>
      </c>
      <c r="D22" s="12" t="s">
        <v>49</v>
      </c>
      <c r="E22" s="18">
        <v>0.623</v>
      </c>
      <c r="F22" s="19">
        <v>0.057</v>
      </c>
    </row>
    <row r="23">
      <c r="A23" s="12" t="s">
        <v>52</v>
      </c>
      <c r="B23" s="12" t="s">
        <v>47</v>
      </c>
      <c r="C23" s="12" t="s">
        <v>51</v>
      </c>
      <c r="D23" s="12" t="s">
        <v>49</v>
      </c>
      <c r="E23" s="18">
        <v>0.623</v>
      </c>
      <c r="F23" s="19">
        <v>0.057</v>
      </c>
    </row>
    <row r="24">
      <c r="A24" s="12" t="s">
        <v>53</v>
      </c>
      <c r="B24" s="12" t="s">
        <v>35</v>
      </c>
      <c r="C24" s="12" t="s">
        <v>35</v>
      </c>
      <c r="D24" s="12" t="s">
        <v>54</v>
      </c>
      <c r="E24" s="18">
        <v>1.0</v>
      </c>
      <c r="F24" s="19">
        <v>0.2</v>
      </c>
    </row>
    <row r="25">
      <c r="A25" s="11" t="s">
        <v>55</v>
      </c>
      <c r="B25" s="11" t="s">
        <v>56</v>
      </c>
      <c r="C25" s="11" t="s">
        <v>14</v>
      </c>
      <c r="D25" s="11" t="s">
        <v>26</v>
      </c>
      <c r="E25" s="19">
        <v>5.0</v>
      </c>
      <c r="F25" s="19">
        <v>0.3</v>
      </c>
    </row>
    <row r="26">
      <c r="A26" s="10" t="s">
        <v>57</v>
      </c>
      <c r="B26" s="11"/>
      <c r="C26" s="11"/>
      <c r="D26" s="11"/>
      <c r="E26" s="11"/>
      <c r="F26" s="11"/>
    </row>
    <row r="27">
      <c r="A27" s="12" t="s">
        <v>58</v>
      </c>
      <c r="B27" s="12" t="s">
        <v>59</v>
      </c>
      <c r="C27" s="12" t="s">
        <v>35</v>
      </c>
      <c r="D27" s="12" t="s">
        <v>60</v>
      </c>
      <c r="E27" s="14">
        <v>2.0</v>
      </c>
      <c r="F27" s="14">
        <v>0.05</v>
      </c>
    </row>
    <row r="28">
      <c r="A28" s="12" t="s">
        <v>61</v>
      </c>
      <c r="B28" s="12" t="s">
        <v>59</v>
      </c>
      <c r="C28" s="12" t="s">
        <v>35</v>
      </c>
      <c r="D28" s="12" t="s">
        <v>60</v>
      </c>
      <c r="E28" s="14">
        <v>0.1</v>
      </c>
      <c r="F28" s="14">
        <v>0.01</v>
      </c>
    </row>
    <row r="29">
      <c r="A29" s="12" t="s">
        <v>62</v>
      </c>
      <c r="B29" s="12" t="s">
        <v>35</v>
      </c>
      <c r="C29" s="12" t="s">
        <v>35</v>
      </c>
      <c r="D29" s="12" t="s">
        <v>63</v>
      </c>
      <c r="E29" s="14">
        <v>1.0</v>
      </c>
      <c r="F29" s="14">
        <v>0.1</v>
      </c>
    </row>
    <row r="30">
      <c r="A30" s="12" t="s">
        <v>64</v>
      </c>
      <c r="B30" s="12" t="s">
        <v>59</v>
      </c>
      <c r="C30" s="12" t="s">
        <v>35</v>
      </c>
      <c r="D30" s="12" t="s">
        <v>60</v>
      </c>
      <c r="E30" s="14">
        <v>0.4</v>
      </c>
      <c r="F30" s="14">
        <v>0.05</v>
      </c>
    </row>
    <row r="31">
      <c r="A31" s="10" t="s">
        <v>65</v>
      </c>
      <c r="B31" s="11"/>
      <c r="C31" s="11"/>
      <c r="D31" s="11"/>
      <c r="E31" s="11"/>
      <c r="F31" s="11"/>
    </row>
    <row r="32">
      <c r="A32" s="12" t="s">
        <v>66</v>
      </c>
      <c r="B32" s="12" t="s">
        <v>56</v>
      </c>
      <c r="C32" s="12" t="s">
        <v>25</v>
      </c>
      <c r="D32" s="12" t="s">
        <v>67</v>
      </c>
      <c r="E32" s="14">
        <v>18.4</v>
      </c>
      <c r="F32" s="14">
        <v>0.81</v>
      </c>
    </row>
    <row r="33">
      <c r="A33" s="12" t="s">
        <v>68</v>
      </c>
      <c r="B33" s="12" t="s">
        <v>35</v>
      </c>
      <c r="C33" s="12" t="s">
        <v>35</v>
      </c>
      <c r="D33" s="12" t="s">
        <v>69</v>
      </c>
      <c r="E33" s="14">
        <v>1.0</v>
      </c>
      <c r="F33" s="11"/>
    </row>
    <row r="34">
      <c r="A34" s="12" t="s">
        <v>70</v>
      </c>
      <c r="B34" s="12" t="s">
        <v>35</v>
      </c>
      <c r="C34" s="12" t="s">
        <v>35</v>
      </c>
      <c r="D34" s="12" t="s">
        <v>63</v>
      </c>
      <c r="E34" s="14">
        <v>1.0</v>
      </c>
      <c r="F34" s="11"/>
    </row>
    <row r="35">
      <c r="A35" s="12" t="s">
        <v>71</v>
      </c>
      <c r="B35" s="12" t="s">
        <v>72</v>
      </c>
      <c r="C35" s="12" t="s">
        <v>25</v>
      </c>
      <c r="D35" s="12" t="s">
        <v>73</v>
      </c>
      <c r="E35" s="14">
        <v>1.0</v>
      </c>
      <c r="F35" s="14">
        <v>0.062</v>
      </c>
    </row>
    <row r="36">
      <c r="A36" s="12" t="s">
        <v>74</v>
      </c>
      <c r="B36" s="12" t="s">
        <v>17</v>
      </c>
      <c r="C36" s="12" t="s">
        <v>25</v>
      </c>
      <c r="D36" s="12" t="s">
        <v>75</v>
      </c>
      <c r="E36" s="14">
        <v>5.0</v>
      </c>
      <c r="F36" s="14">
        <v>0.18</v>
      </c>
    </row>
    <row r="37">
      <c r="A37" s="12" t="s">
        <v>76</v>
      </c>
      <c r="B37" s="12" t="s">
        <v>72</v>
      </c>
      <c r="C37" s="12" t="s">
        <v>35</v>
      </c>
      <c r="D37" s="12" t="s">
        <v>73</v>
      </c>
      <c r="E37" s="14">
        <v>1.0</v>
      </c>
      <c r="F37" s="14">
        <v>0.062</v>
      </c>
    </row>
    <row r="38">
      <c r="A38" s="12" t="s">
        <v>77</v>
      </c>
      <c r="B38" s="12" t="s">
        <v>78</v>
      </c>
      <c r="C38" s="12" t="s">
        <v>25</v>
      </c>
      <c r="D38" s="12" t="s">
        <v>79</v>
      </c>
      <c r="E38" s="14">
        <v>4.0</v>
      </c>
      <c r="F38" s="14">
        <v>0.08</v>
      </c>
    </row>
    <row r="39">
      <c r="A39" s="12" t="s">
        <v>80</v>
      </c>
      <c r="B39" s="12" t="s">
        <v>56</v>
      </c>
      <c r="C39" s="12" t="s">
        <v>35</v>
      </c>
      <c r="D39" s="12" t="s">
        <v>81</v>
      </c>
      <c r="E39" s="11"/>
      <c r="F39" s="14">
        <v>0.06</v>
      </c>
    </row>
    <row r="40">
      <c r="A40" s="12" t="s">
        <v>82</v>
      </c>
      <c r="B40" s="12" t="s">
        <v>83</v>
      </c>
      <c r="C40" s="12" t="s">
        <v>35</v>
      </c>
      <c r="D40" s="12" t="s">
        <v>84</v>
      </c>
      <c r="E40" s="14">
        <v>0.5</v>
      </c>
      <c r="F40" s="14">
        <v>0.18</v>
      </c>
    </row>
    <row r="41">
      <c r="A41" s="10" t="s">
        <v>85</v>
      </c>
      <c r="B41" s="11"/>
      <c r="C41" s="11"/>
      <c r="D41" s="11"/>
      <c r="E41" s="11"/>
      <c r="F41" s="11"/>
    </row>
    <row r="42">
      <c r="A42" s="12" t="s">
        <v>86</v>
      </c>
      <c r="B42" s="12" t="s">
        <v>83</v>
      </c>
      <c r="C42" s="12" t="s">
        <v>25</v>
      </c>
      <c r="D42" s="12" t="s">
        <v>26</v>
      </c>
      <c r="E42" s="14">
        <v>0.5</v>
      </c>
      <c r="F42" s="14">
        <v>0.412</v>
      </c>
    </row>
    <row r="43">
      <c r="A43" s="12" t="s">
        <v>87</v>
      </c>
      <c r="B43" s="12" t="s">
        <v>83</v>
      </c>
      <c r="C43" s="12" t="s">
        <v>25</v>
      </c>
      <c r="D43" s="12" t="s">
        <v>26</v>
      </c>
      <c r="E43" s="14">
        <v>0.5</v>
      </c>
      <c r="F43" s="14">
        <v>0.477</v>
      </c>
    </row>
    <row r="44">
      <c r="A44" s="12" t="s">
        <v>88</v>
      </c>
      <c r="B44" s="12" t="s">
        <v>83</v>
      </c>
      <c r="C44" s="12" t="s">
        <v>25</v>
      </c>
      <c r="D44" s="12" t="s">
        <v>26</v>
      </c>
      <c r="E44" s="14">
        <v>0.81</v>
      </c>
      <c r="F44" s="14">
        <v>0.5</v>
      </c>
    </row>
    <row r="45">
      <c r="A45" s="12" t="s">
        <v>89</v>
      </c>
      <c r="B45" s="12" t="s">
        <v>83</v>
      </c>
      <c r="C45" s="12" t="s">
        <v>25</v>
      </c>
      <c r="D45" s="12" t="s">
        <v>26</v>
      </c>
      <c r="E45" s="14">
        <v>0.51</v>
      </c>
      <c r="F45" s="14">
        <v>0.293</v>
      </c>
    </row>
    <row r="46">
      <c r="A46" s="12" t="s">
        <v>90</v>
      </c>
      <c r="B46" s="12" t="s">
        <v>24</v>
      </c>
      <c r="C46" s="12" t="s">
        <v>25</v>
      </c>
      <c r="D46" s="12" t="s">
        <v>26</v>
      </c>
      <c r="E46" s="14">
        <v>0.295</v>
      </c>
      <c r="F46" s="14">
        <v>0.062</v>
      </c>
    </row>
    <row r="47">
      <c r="A47" s="12" t="s">
        <v>91</v>
      </c>
      <c r="B47" s="12" t="s">
        <v>56</v>
      </c>
      <c r="C47" s="12" t="s">
        <v>25</v>
      </c>
      <c r="D47" s="12" t="s">
        <v>73</v>
      </c>
      <c r="E47" s="14">
        <v>5.0</v>
      </c>
      <c r="F47" s="14">
        <v>0.12</v>
      </c>
    </row>
    <row r="48">
      <c r="A48" s="12" t="s">
        <v>92</v>
      </c>
      <c r="B48" s="12" t="s">
        <v>83</v>
      </c>
      <c r="C48" s="12" t="s">
        <v>25</v>
      </c>
      <c r="D48" s="12" t="s">
        <v>26</v>
      </c>
      <c r="E48" s="14">
        <v>0.75</v>
      </c>
      <c r="F48" s="14">
        <v>0.7</v>
      </c>
    </row>
    <row r="49">
      <c r="A49" s="12" t="s">
        <v>93</v>
      </c>
      <c r="B49" s="12" t="s">
        <v>83</v>
      </c>
      <c r="C49" s="12" t="s">
        <v>25</v>
      </c>
      <c r="D49" s="12" t="s">
        <v>94</v>
      </c>
      <c r="E49" s="14">
        <v>0.75</v>
      </c>
      <c r="F49" s="14">
        <v>0.42</v>
      </c>
    </row>
    <row r="50">
      <c r="A50" s="12" t="s">
        <v>95</v>
      </c>
      <c r="B50" s="12" t="s">
        <v>83</v>
      </c>
      <c r="C50" s="12" t="s">
        <v>25</v>
      </c>
      <c r="D50" s="12" t="s">
        <v>94</v>
      </c>
      <c r="E50" s="14">
        <v>0.75</v>
      </c>
      <c r="F50" s="14">
        <v>0.42</v>
      </c>
    </row>
    <row r="51">
      <c r="A51" s="10" t="s">
        <v>96</v>
      </c>
      <c r="B51" s="11"/>
      <c r="C51" s="11"/>
      <c r="D51" s="11"/>
      <c r="E51" s="11"/>
      <c r="F51" s="11"/>
    </row>
    <row r="52">
      <c r="A52" s="12" t="s">
        <v>97</v>
      </c>
      <c r="B52" s="12" t="s">
        <v>40</v>
      </c>
      <c r="C52" s="12" t="s">
        <v>35</v>
      </c>
      <c r="D52" s="12" t="s">
        <v>98</v>
      </c>
      <c r="E52" s="20">
        <v>1.0</v>
      </c>
      <c r="F52" s="14">
        <v>0.011</v>
      </c>
    </row>
    <row r="53">
      <c r="A53" s="12" t="s">
        <v>99</v>
      </c>
      <c r="B53" s="12" t="s">
        <v>40</v>
      </c>
      <c r="C53" s="12" t="s">
        <v>35</v>
      </c>
      <c r="D53" s="12" t="s">
        <v>98</v>
      </c>
      <c r="E53" s="20">
        <v>1.0</v>
      </c>
      <c r="F53" s="14">
        <v>0.006</v>
      </c>
    </row>
    <row r="54">
      <c r="A54" s="12" t="s">
        <v>100</v>
      </c>
      <c r="B54" s="12" t="s">
        <v>40</v>
      </c>
      <c r="C54" s="12" t="s">
        <v>35</v>
      </c>
      <c r="D54" s="12" t="s">
        <v>98</v>
      </c>
      <c r="E54" s="14">
        <v>0.25</v>
      </c>
      <c r="F54" s="14">
        <v>0.017</v>
      </c>
    </row>
    <row r="55">
      <c r="A55" s="12" t="s">
        <v>101</v>
      </c>
      <c r="B55" s="12" t="s">
        <v>40</v>
      </c>
      <c r="C55" s="12" t="s">
        <v>35</v>
      </c>
      <c r="D55" s="12" t="s">
        <v>98</v>
      </c>
      <c r="E55" s="20">
        <v>1.0</v>
      </c>
      <c r="F55" s="14">
        <v>0.004</v>
      </c>
    </row>
    <row r="56">
      <c r="A56" s="12" t="s">
        <v>102</v>
      </c>
      <c r="B56" s="12" t="s">
        <v>40</v>
      </c>
      <c r="C56" s="12" t="s">
        <v>35</v>
      </c>
      <c r="D56" s="12" t="s">
        <v>98</v>
      </c>
      <c r="E56" s="20">
        <v>1.0</v>
      </c>
      <c r="F56" s="14">
        <v>0.004</v>
      </c>
    </row>
    <row r="57">
      <c r="A57" s="12" t="s">
        <v>103</v>
      </c>
      <c r="B57" s="12" t="s">
        <v>40</v>
      </c>
      <c r="C57" s="12" t="s">
        <v>35</v>
      </c>
      <c r="D57" s="12" t="s">
        <v>98</v>
      </c>
      <c r="E57" s="20">
        <v>1.0</v>
      </c>
      <c r="F57" s="14">
        <v>0.004</v>
      </c>
    </row>
    <row r="58">
      <c r="A58" s="12" t="s">
        <v>104</v>
      </c>
      <c r="B58" s="12" t="s">
        <v>40</v>
      </c>
      <c r="C58" s="12" t="s">
        <v>35</v>
      </c>
      <c r="D58" s="12" t="s">
        <v>98</v>
      </c>
      <c r="E58" s="14">
        <v>0.5</v>
      </c>
      <c r="F58" s="14">
        <v>0.017</v>
      </c>
    </row>
    <row r="59">
      <c r="A59" s="12" t="s">
        <v>105</v>
      </c>
      <c r="B59" s="12" t="s">
        <v>106</v>
      </c>
      <c r="C59" s="12" t="s">
        <v>35</v>
      </c>
      <c r="D59" s="12" t="s">
        <v>107</v>
      </c>
      <c r="E59" s="20">
        <v>1.0</v>
      </c>
      <c r="F59" s="14">
        <v>0.107</v>
      </c>
    </row>
    <row r="60">
      <c r="A60" s="12" t="s">
        <v>108</v>
      </c>
      <c r="B60" s="12" t="s">
        <v>40</v>
      </c>
      <c r="C60" s="12" t="s">
        <v>35</v>
      </c>
      <c r="D60" s="12" t="s">
        <v>98</v>
      </c>
      <c r="E60" s="20">
        <v>1.0</v>
      </c>
      <c r="F60" s="14">
        <v>0.004</v>
      </c>
    </row>
    <row r="61">
      <c r="A61" s="12" t="s">
        <v>109</v>
      </c>
      <c r="B61" s="12" t="s">
        <v>40</v>
      </c>
      <c r="C61" s="12" t="s">
        <v>35</v>
      </c>
      <c r="D61" s="12" t="s">
        <v>98</v>
      </c>
      <c r="E61" s="20">
        <v>1.0</v>
      </c>
      <c r="F61" s="14">
        <v>0.011</v>
      </c>
    </row>
    <row r="62">
      <c r="A62" s="15" t="s">
        <v>110</v>
      </c>
      <c r="B62" s="12" t="s">
        <v>40</v>
      </c>
      <c r="C62" s="12" t="s">
        <v>35</v>
      </c>
      <c r="D62" s="12" t="s">
        <v>98</v>
      </c>
      <c r="E62" s="20">
        <v>1.0</v>
      </c>
      <c r="F62" s="14">
        <v>0.006</v>
      </c>
    </row>
    <row r="63">
      <c r="A63" s="12" t="s">
        <v>111</v>
      </c>
      <c r="B63" s="12" t="s">
        <v>40</v>
      </c>
      <c r="C63" s="12" t="s">
        <v>35</v>
      </c>
      <c r="D63" s="12" t="s">
        <v>98</v>
      </c>
      <c r="E63" s="14">
        <v>0.5</v>
      </c>
      <c r="F63" s="14">
        <v>0.013</v>
      </c>
    </row>
    <row r="64">
      <c r="A64" s="12" t="s">
        <v>112</v>
      </c>
      <c r="B64" s="12" t="s">
        <v>40</v>
      </c>
      <c r="C64" s="12" t="s">
        <v>35</v>
      </c>
      <c r="D64" s="12" t="s">
        <v>113</v>
      </c>
      <c r="E64" s="14">
        <v>0.5</v>
      </c>
      <c r="F64" s="14">
        <v>0.013</v>
      </c>
    </row>
    <row r="65">
      <c r="A65" s="12" t="s">
        <v>114</v>
      </c>
      <c r="B65" s="12" t="s">
        <v>40</v>
      </c>
      <c r="C65" s="12" t="s">
        <v>35</v>
      </c>
      <c r="D65" s="12" t="s">
        <v>115</v>
      </c>
      <c r="E65" s="14">
        <v>0.5</v>
      </c>
      <c r="F65" s="14">
        <v>0.013</v>
      </c>
    </row>
    <row r="66">
      <c r="A66" s="12" t="s">
        <v>116</v>
      </c>
      <c r="B66" s="12" t="s">
        <v>40</v>
      </c>
      <c r="C66" s="12" t="s">
        <v>35</v>
      </c>
      <c r="D66" s="12" t="s">
        <v>115</v>
      </c>
      <c r="E66" s="14">
        <v>0.5</v>
      </c>
      <c r="F66" s="14">
        <v>0.013</v>
      </c>
    </row>
    <row r="67">
      <c r="A67" s="12" t="s">
        <v>117</v>
      </c>
      <c r="B67" s="12" t="s">
        <v>40</v>
      </c>
      <c r="C67" s="12" t="s">
        <v>35</v>
      </c>
      <c r="D67" s="12" t="s">
        <v>115</v>
      </c>
      <c r="E67" s="20">
        <v>1.0</v>
      </c>
      <c r="F67" s="14">
        <v>0.013</v>
      </c>
    </row>
    <row r="68">
      <c r="A68" s="12" t="s">
        <v>118</v>
      </c>
      <c r="B68" s="12" t="s">
        <v>40</v>
      </c>
      <c r="C68" s="12" t="s">
        <v>35</v>
      </c>
      <c r="D68" s="12" t="s">
        <v>115</v>
      </c>
      <c r="E68" s="14">
        <v>0.5</v>
      </c>
      <c r="F68" s="14">
        <v>0.013</v>
      </c>
    </row>
    <row r="69">
      <c r="A69" s="12" t="s">
        <v>119</v>
      </c>
      <c r="B69" s="12" t="s">
        <v>40</v>
      </c>
      <c r="C69" s="12" t="s">
        <v>35</v>
      </c>
      <c r="D69" s="12" t="s">
        <v>115</v>
      </c>
      <c r="E69" s="14">
        <v>0.5</v>
      </c>
      <c r="F69" s="14">
        <v>0.013</v>
      </c>
    </row>
    <row r="70">
      <c r="A70" s="12" t="s">
        <v>120</v>
      </c>
      <c r="B70" s="12" t="s">
        <v>40</v>
      </c>
      <c r="C70" s="12" t="s">
        <v>35</v>
      </c>
      <c r="D70" s="12" t="s">
        <v>115</v>
      </c>
      <c r="E70" s="20">
        <v>1.0</v>
      </c>
      <c r="F70" s="14">
        <v>0.013</v>
      </c>
    </row>
    <row r="71">
      <c r="A71" s="12" t="s">
        <v>121</v>
      </c>
      <c r="B71" s="12" t="s">
        <v>40</v>
      </c>
      <c r="C71" s="12" t="s">
        <v>35</v>
      </c>
      <c r="D71" s="12" t="s">
        <v>115</v>
      </c>
      <c r="E71" s="20">
        <v>1.0</v>
      </c>
      <c r="F71" s="14">
        <v>0.013</v>
      </c>
    </row>
    <row r="72">
      <c r="A72" s="12" t="s">
        <v>122</v>
      </c>
      <c r="B72" s="12" t="s">
        <v>40</v>
      </c>
      <c r="C72" s="12" t="s">
        <v>35</v>
      </c>
      <c r="D72" s="12" t="s">
        <v>115</v>
      </c>
      <c r="E72" s="20">
        <v>1.0</v>
      </c>
      <c r="F72" s="14">
        <v>0.013</v>
      </c>
    </row>
    <row r="73">
      <c r="A73" s="12" t="s">
        <v>123</v>
      </c>
      <c r="B73" s="12" t="s">
        <v>40</v>
      </c>
      <c r="C73" s="12" t="s">
        <v>35</v>
      </c>
      <c r="D73" s="12" t="s">
        <v>115</v>
      </c>
      <c r="E73" s="20">
        <v>1.0</v>
      </c>
      <c r="F73" s="14">
        <v>0.013</v>
      </c>
    </row>
    <row r="74">
      <c r="A74" s="12" t="s">
        <v>124</v>
      </c>
      <c r="B74" s="12" t="s">
        <v>40</v>
      </c>
      <c r="C74" s="12" t="s">
        <v>35</v>
      </c>
      <c r="D74" s="12" t="s">
        <v>115</v>
      </c>
      <c r="E74" s="20">
        <v>1.0</v>
      </c>
      <c r="F74" s="14">
        <v>0.013</v>
      </c>
    </row>
    <row r="75">
      <c r="A75" s="12" t="s">
        <v>125</v>
      </c>
      <c r="B75" s="12" t="s">
        <v>40</v>
      </c>
      <c r="C75" s="12" t="s">
        <v>35</v>
      </c>
      <c r="D75" s="12" t="s">
        <v>115</v>
      </c>
      <c r="E75" s="20">
        <v>1.0</v>
      </c>
      <c r="F75" s="14">
        <v>0.013</v>
      </c>
    </row>
    <row r="76">
      <c r="A76" s="12" t="s">
        <v>126</v>
      </c>
      <c r="B76" s="12" t="s">
        <v>40</v>
      </c>
      <c r="C76" s="12" t="s">
        <v>35</v>
      </c>
      <c r="D76" s="12" t="s">
        <v>115</v>
      </c>
      <c r="E76" s="20">
        <v>1.0</v>
      </c>
      <c r="F76" s="14">
        <v>0.013</v>
      </c>
    </row>
    <row r="77">
      <c r="A77" s="12" t="s">
        <v>127</v>
      </c>
      <c r="B77" s="12" t="s">
        <v>40</v>
      </c>
      <c r="C77" s="12" t="s">
        <v>35</v>
      </c>
      <c r="D77" s="12" t="s">
        <v>115</v>
      </c>
      <c r="E77" s="14">
        <v>0.5</v>
      </c>
      <c r="F77" s="14">
        <v>0.013</v>
      </c>
    </row>
    <row r="78">
      <c r="A78" s="12" t="s">
        <v>128</v>
      </c>
      <c r="B78" s="12" t="s">
        <v>40</v>
      </c>
      <c r="C78" s="12" t="s">
        <v>35</v>
      </c>
      <c r="D78" s="12" t="s">
        <v>115</v>
      </c>
      <c r="E78" s="14">
        <v>0.05</v>
      </c>
      <c r="F78" s="14">
        <v>0.013</v>
      </c>
    </row>
    <row r="79">
      <c r="A79" s="12" t="s">
        <v>129</v>
      </c>
      <c r="B79" s="12" t="s">
        <v>40</v>
      </c>
      <c r="C79" s="12" t="s">
        <v>35</v>
      </c>
      <c r="D79" s="12" t="s">
        <v>115</v>
      </c>
      <c r="E79" s="14">
        <v>0.5</v>
      </c>
      <c r="F79" s="14">
        <v>0.011</v>
      </c>
    </row>
    <row r="80">
      <c r="A80" s="12" t="s">
        <v>130</v>
      </c>
      <c r="B80" s="12" t="s">
        <v>40</v>
      </c>
      <c r="C80" s="12" t="s">
        <v>35</v>
      </c>
      <c r="D80" s="12" t="s">
        <v>115</v>
      </c>
      <c r="E80" s="14">
        <v>0.5</v>
      </c>
      <c r="F80" s="14">
        <v>0.011</v>
      </c>
    </row>
    <row r="81">
      <c r="A81" s="12" t="s">
        <v>131</v>
      </c>
      <c r="B81" s="12" t="s">
        <v>40</v>
      </c>
      <c r="C81" s="12" t="s">
        <v>35</v>
      </c>
      <c r="D81" s="12" t="s">
        <v>115</v>
      </c>
      <c r="E81" s="14">
        <v>0.5</v>
      </c>
      <c r="F81" s="14">
        <v>0.011</v>
      </c>
    </row>
    <row r="82">
      <c r="A82" s="12" t="s">
        <v>132</v>
      </c>
      <c r="B82" s="12" t="s">
        <v>40</v>
      </c>
      <c r="C82" s="12" t="s">
        <v>35</v>
      </c>
      <c r="D82" s="12" t="s">
        <v>115</v>
      </c>
      <c r="E82" s="14">
        <v>0.5</v>
      </c>
      <c r="F82" s="14">
        <v>0.011</v>
      </c>
    </row>
    <row r="83">
      <c r="A83" s="12" t="s">
        <v>133</v>
      </c>
      <c r="B83" s="12" t="s">
        <v>40</v>
      </c>
      <c r="C83" s="12" t="s">
        <v>35</v>
      </c>
      <c r="D83" s="12" t="s">
        <v>115</v>
      </c>
      <c r="E83" s="14">
        <v>0.1</v>
      </c>
      <c r="F83" s="14">
        <v>0.01</v>
      </c>
    </row>
    <row r="84">
      <c r="A84" s="12" t="s">
        <v>134</v>
      </c>
      <c r="B84" s="12" t="s">
        <v>40</v>
      </c>
      <c r="C84" s="12" t="s">
        <v>35</v>
      </c>
      <c r="D84" s="12" t="s">
        <v>115</v>
      </c>
      <c r="E84" s="20">
        <v>0.5</v>
      </c>
      <c r="F84" s="14">
        <v>0.01</v>
      </c>
    </row>
    <row r="85">
      <c r="A85" s="12" t="s">
        <v>135</v>
      </c>
      <c r="B85" s="12" t="s">
        <v>136</v>
      </c>
      <c r="C85" s="12" t="s">
        <v>35</v>
      </c>
      <c r="D85" s="12" t="s">
        <v>137</v>
      </c>
      <c r="E85" s="14">
        <v>0.1</v>
      </c>
      <c r="F85" s="14">
        <v>0.05</v>
      </c>
    </row>
    <row r="86">
      <c r="A86" s="15" t="s">
        <v>138</v>
      </c>
      <c r="B86" s="15" t="s">
        <v>139</v>
      </c>
      <c r="C86" s="15" t="s">
        <v>35</v>
      </c>
      <c r="D86" s="15" t="s">
        <v>140</v>
      </c>
      <c r="E86" s="20">
        <v>0.48</v>
      </c>
      <c r="F86" s="14"/>
    </row>
    <row r="87">
      <c r="A87" s="15" t="s">
        <v>141</v>
      </c>
      <c r="B87" s="15" t="s">
        <v>40</v>
      </c>
      <c r="C87" s="15" t="s">
        <v>35</v>
      </c>
      <c r="D87" s="15" t="s">
        <v>142</v>
      </c>
      <c r="E87" s="20">
        <v>0.1</v>
      </c>
      <c r="F87" s="20">
        <v>0.02</v>
      </c>
    </row>
    <row r="88">
      <c r="A88" s="21" t="s">
        <v>143</v>
      </c>
      <c r="B88" s="15" t="s">
        <v>40</v>
      </c>
      <c r="C88" s="15" t="s">
        <v>35</v>
      </c>
      <c r="D88" s="15" t="s">
        <v>144</v>
      </c>
      <c r="E88" s="20">
        <v>1.0</v>
      </c>
      <c r="F88" s="20">
        <v>0.02</v>
      </c>
    </row>
    <row r="89">
      <c r="A89" s="21" t="s">
        <v>145</v>
      </c>
      <c r="B89" s="15" t="s">
        <v>40</v>
      </c>
      <c r="C89" s="15" t="s">
        <v>35</v>
      </c>
      <c r="D89" s="15" t="s">
        <v>144</v>
      </c>
      <c r="E89" s="20">
        <v>1.0</v>
      </c>
      <c r="F89" s="20"/>
    </row>
    <row r="90">
      <c r="A90" s="10" t="s">
        <v>146</v>
      </c>
      <c r="B90" s="11"/>
      <c r="C90" s="11"/>
      <c r="D90" s="11"/>
      <c r="E90" s="11"/>
      <c r="F90" s="11"/>
    </row>
    <row r="91">
      <c r="A91" s="12" t="s">
        <v>147</v>
      </c>
      <c r="B91" s="12" t="s">
        <v>40</v>
      </c>
      <c r="C91" s="12" t="s">
        <v>35</v>
      </c>
      <c r="D91" s="12" t="s">
        <v>98</v>
      </c>
      <c r="E91" s="14">
        <v>1.0</v>
      </c>
      <c r="F91" s="14">
        <v>0.012</v>
      </c>
    </row>
    <row r="92">
      <c r="A92" s="12" t="s">
        <v>148</v>
      </c>
      <c r="B92" s="12" t="s">
        <v>35</v>
      </c>
      <c r="C92" s="12" t="s">
        <v>35</v>
      </c>
      <c r="D92" s="12" t="s">
        <v>63</v>
      </c>
      <c r="E92" s="20">
        <v>1.0</v>
      </c>
      <c r="F92" s="11"/>
    </row>
    <row r="93">
      <c r="A93" s="12" t="s">
        <v>149</v>
      </c>
      <c r="B93" s="12" t="s">
        <v>40</v>
      </c>
      <c r="C93" s="12" t="s">
        <v>35</v>
      </c>
      <c r="D93" s="12" t="s">
        <v>98</v>
      </c>
      <c r="E93" s="14">
        <v>0.5</v>
      </c>
      <c r="F93" s="14">
        <v>0.1</v>
      </c>
    </row>
    <row r="94">
      <c r="A94" s="12" t="s">
        <v>150</v>
      </c>
      <c r="B94" s="12" t="s">
        <v>24</v>
      </c>
      <c r="C94" s="12" t="s">
        <v>25</v>
      </c>
      <c r="D94" s="12" t="s">
        <v>26</v>
      </c>
      <c r="E94" s="14">
        <v>0.51</v>
      </c>
      <c r="F94" s="14">
        <v>0.052</v>
      </c>
    </row>
    <row r="95">
      <c r="A95" s="10" t="s">
        <v>151</v>
      </c>
      <c r="B95" s="11"/>
      <c r="C95" s="11"/>
      <c r="D95" s="11"/>
      <c r="E95" s="11"/>
      <c r="F95" s="11"/>
    </row>
    <row r="96">
      <c r="A96" s="12" t="s">
        <v>152</v>
      </c>
      <c r="B96" s="12" t="s">
        <v>106</v>
      </c>
      <c r="C96" s="12" t="s">
        <v>35</v>
      </c>
      <c r="D96" s="12" t="s">
        <v>153</v>
      </c>
      <c r="E96" s="14">
        <v>0.2</v>
      </c>
      <c r="F96" s="14">
        <v>0.036</v>
      </c>
    </row>
    <row r="97">
      <c r="A97" s="12" t="s">
        <v>154</v>
      </c>
      <c r="B97" s="12" t="s">
        <v>155</v>
      </c>
      <c r="C97" s="12" t="s">
        <v>35</v>
      </c>
      <c r="D97" s="12" t="s">
        <v>156</v>
      </c>
      <c r="E97" s="14">
        <v>0.5</v>
      </c>
      <c r="F97" s="14">
        <v>0.012</v>
      </c>
    </row>
    <row r="98">
      <c r="A98" s="12" t="s">
        <v>157</v>
      </c>
      <c r="B98" s="12" t="s">
        <v>34</v>
      </c>
      <c r="C98" s="12" t="s">
        <v>35</v>
      </c>
      <c r="D98" s="12" t="s">
        <v>36</v>
      </c>
      <c r="E98" s="14">
        <v>0.425</v>
      </c>
      <c r="F98" s="14">
        <v>0.055</v>
      </c>
    </row>
    <row r="99">
      <c r="A99" s="12" t="s">
        <v>158</v>
      </c>
      <c r="B99" s="12" t="s">
        <v>34</v>
      </c>
      <c r="C99" s="12" t="s">
        <v>35</v>
      </c>
      <c r="D99" s="12" t="s">
        <v>36</v>
      </c>
      <c r="E99" s="14">
        <v>0.425</v>
      </c>
      <c r="F99" s="14">
        <v>0.056</v>
      </c>
    </row>
    <row r="100">
      <c r="A100" s="12" t="s">
        <v>159</v>
      </c>
      <c r="B100" s="12" t="s">
        <v>34</v>
      </c>
      <c r="C100" s="12" t="s">
        <v>35</v>
      </c>
      <c r="D100" s="12" t="s">
        <v>36</v>
      </c>
      <c r="E100" s="14">
        <v>0.454</v>
      </c>
      <c r="F100" s="14">
        <v>0.04</v>
      </c>
    </row>
    <row r="101">
      <c r="A101" s="12" t="s">
        <v>160</v>
      </c>
      <c r="B101" s="12" t="s">
        <v>34</v>
      </c>
      <c r="C101" s="12" t="s">
        <v>35</v>
      </c>
      <c r="D101" s="12" t="s">
        <v>36</v>
      </c>
      <c r="E101" s="14">
        <v>0.335</v>
      </c>
      <c r="F101" s="14">
        <v>0.234</v>
      </c>
    </row>
    <row r="102">
      <c r="A102" s="12" t="s">
        <v>161</v>
      </c>
      <c r="B102" s="12" t="s">
        <v>34</v>
      </c>
      <c r="C102" s="12" t="s">
        <v>35</v>
      </c>
      <c r="D102" s="12" t="s">
        <v>36</v>
      </c>
      <c r="E102" s="14">
        <v>0.34</v>
      </c>
      <c r="F102" s="14">
        <v>0.228</v>
      </c>
    </row>
    <row r="103">
      <c r="A103" s="12" t="s">
        <v>162</v>
      </c>
      <c r="B103" s="12" t="s">
        <v>34</v>
      </c>
      <c r="C103" s="12" t="s">
        <v>35</v>
      </c>
      <c r="D103" s="12" t="s">
        <v>36</v>
      </c>
      <c r="E103" s="14">
        <v>0.4</v>
      </c>
      <c r="F103" s="19">
        <v>0.12</v>
      </c>
    </row>
    <row r="104">
      <c r="A104" s="12" t="s">
        <v>163</v>
      </c>
      <c r="B104" s="12" t="s">
        <v>34</v>
      </c>
      <c r="C104" s="12" t="s">
        <v>35</v>
      </c>
      <c r="D104" s="12" t="s">
        <v>36</v>
      </c>
      <c r="E104" s="14">
        <v>0.37</v>
      </c>
      <c r="F104" s="14">
        <v>0.31</v>
      </c>
    </row>
    <row r="105">
      <c r="A105" s="12" t="s">
        <v>164</v>
      </c>
      <c r="B105" s="12" t="s">
        <v>155</v>
      </c>
      <c r="C105" s="12" t="s">
        <v>35</v>
      </c>
      <c r="D105" s="12" t="s">
        <v>142</v>
      </c>
      <c r="E105" s="14">
        <v>0.5</v>
      </c>
      <c r="F105" s="14">
        <v>0.104</v>
      </c>
    </row>
    <row r="106">
      <c r="A106" s="12" t="s">
        <v>165</v>
      </c>
      <c r="B106" s="12" t="s">
        <v>155</v>
      </c>
      <c r="C106" s="12" t="s">
        <v>35</v>
      </c>
      <c r="D106" s="12" t="s">
        <v>142</v>
      </c>
      <c r="E106" s="14">
        <v>0.5</v>
      </c>
      <c r="F106" s="14">
        <v>0.014</v>
      </c>
    </row>
    <row r="107">
      <c r="A107" s="12" t="s">
        <v>166</v>
      </c>
      <c r="B107" s="12" t="s">
        <v>106</v>
      </c>
      <c r="C107" s="12" t="s">
        <v>35</v>
      </c>
      <c r="D107" s="12" t="s">
        <v>36</v>
      </c>
      <c r="E107" s="14">
        <v>3.78</v>
      </c>
      <c r="F107" s="14">
        <v>0.2</v>
      </c>
    </row>
    <row r="108">
      <c r="A108" s="12" t="s">
        <v>167</v>
      </c>
      <c r="B108" s="12" t="s">
        <v>106</v>
      </c>
      <c r="C108" s="12" t="s">
        <v>35</v>
      </c>
      <c r="D108" s="12" t="s">
        <v>36</v>
      </c>
      <c r="E108" s="14">
        <v>0.415</v>
      </c>
      <c r="F108" s="19">
        <v>0.055</v>
      </c>
    </row>
    <row r="109">
      <c r="A109" s="12" t="s">
        <v>168</v>
      </c>
      <c r="B109" s="12" t="s">
        <v>17</v>
      </c>
      <c r="C109" s="12" t="s">
        <v>35</v>
      </c>
      <c r="D109" s="12" t="s">
        <v>36</v>
      </c>
      <c r="E109" s="14">
        <v>0.5</v>
      </c>
      <c r="F109" s="14">
        <v>0.015</v>
      </c>
    </row>
    <row r="110">
      <c r="A110" s="12" t="s">
        <v>169</v>
      </c>
      <c r="B110" s="12" t="s">
        <v>106</v>
      </c>
      <c r="C110" s="12" t="s">
        <v>35</v>
      </c>
      <c r="D110" s="12" t="s">
        <v>36</v>
      </c>
      <c r="E110" s="14">
        <v>0.5</v>
      </c>
      <c r="F110" s="14">
        <v>0.015</v>
      </c>
    </row>
    <row r="111">
      <c r="A111" s="12" t="s">
        <v>170</v>
      </c>
      <c r="B111" s="12" t="s">
        <v>106</v>
      </c>
      <c r="C111" s="12" t="s">
        <v>35</v>
      </c>
      <c r="D111" s="12" t="s">
        <v>36</v>
      </c>
      <c r="E111" s="14">
        <v>0.5</v>
      </c>
      <c r="F111" s="14">
        <v>0.013</v>
      </c>
    </row>
    <row r="112">
      <c r="A112" s="12" t="s">
        <v>171</v>
      </c>
      <c r="B112" s="12" t="s">
        <v>155</v>
      </c>
      <c r="C112" s="12" t="s">
        <v>14</v>
      </c>
      <c r="D112" s="12" t="s">
        <v>172</v>
      </c>
      <c r="E112" s="14">
        <v>0.375</v>
      </c>
      <c r="F112" s="14">
        <v>0.06</v>
      </c>
    </row>
    <row r="113">
      <c r="A113" s="11" t="s">
        <v>173</v>
      </c>
      <c r="B113" s="11" t="s">
        <v>106</v>
      </c>
      <c r="C113" s="11" t="s">
        <v>14</v>
      </c>
      <c r="D113" s="11" t="s">
        <v>36</v>
      </c>
      <c r="E113" s="19">
        <v>0.885</v>
      </c>
      <c r="F113" s="19">
        <v>0.015</v>
      </c>
    </row>
    <row r="114">
      <c r="A114" s="22" t="s">
        <v>174</v>
      </c>
      <c r="B114" s="23" t="s">
        <v>106</v>
      </c>
      <c r="C114" s="23" t="s">
        <v>35</v>
      </c>
      <c r="D114" s="11" t="s">
        <v>36</v>
      </c>
      <c r="E114" s="24">
        <v>0.5</v>
      </c>
      <c r="F114" s="24">
        <v>0.115</v>
      </c>
    </row>
    <row r="115">
      <c r="A115" s="10" t="s">
        <v>175</v>
      </c>
      <c r="B115" s="11"/>
      <c r="C115" s="11"/>
      <c r="D115" s="11"/>
      <c r="E115" s="11"/>
      <c r="F115" s="11"/>
    </row>
    <row r="116">
      <c r="A116" s="12" t="s">
        <v>176</v>
      </c>
      <c r="B116" s="12" t="s">
        <v>25</v>
      </c>
      <c r="C116" s="12" t="s">
        <v>25</v>
      </c>
      <c r="D116" s="12" t="s">
        <v>177</v>
      </c>
      <c r="E116" s="14">
        <v>1.0</v>
      </c>
      <c r="F116" s="11"/>
    </row>
    <row r="117">
      <c r="A117" s="12" t="s">
        <v>178</v>
      </c>
      <c r="B117" s="12" t="s">
        <v>35</v>
      </c>
      <c r="C117" s="12" t="s">
        <v>35</v>
      </c>
      <c r="D117" s="12" t="s">
        <v>179</v>
      </c>
      <c r="E117" s="14">
        <v>0.5</v>
      </c>
      <c r="F117" s="14">
        <v>0.012</v>
      </c>
    </row>
    <row r="118">
      <c r="A118" s="12" t="s">
        <v>180</v>
      </c>
      <c r="B118" s="12" t="s">
        <v>35</v>
      </c>
      <c r="C118" s="12" t="s">
        <v>35</v>
      </c>
      <c r="D118" s="12" t="s">
        <v>179</v>
      </c>
      <c r="E118" s="14">
        <v>1.1</v>
      </c>
      <c r="F118" s="14">
        <v>0.012</v>
      </c>
    </row>
    <row r="119">
      <c r="A119" s="12" t="s">
        <v>181</v>
      </c>
      <c r="B119" s="12" t="s">
        <v>35</v>
      </c>
      <c r="C119" s="12" t="s">
        <v>35</v>
      </c>
      <c r="D119" s="12" t="s">
        <v>179</v>
      </c>
      <c r="E119" s="14">
        <v>1.188</v>
      </c>
      <c r="F119" s="14">
        <v>0.012</v>
      </c>
    </row>
    <row r="120">
      <c r="A120" s="12" t="s">
        <v>182</v>
      </c>
      <c r="B120" s="12" t="s">
        <v>35</v>
      </c>
      <c r="C120" s="12" t="s">
        <v>35</v>
      </c>
      <c r="D120" s="12" t="s">
        <v>38</v>
      </c>
      <c r="E120" s="14">
        <v>0.48</v>
      </c>
      <c r="F120" s="14">
        <v>0.02</v>
      </c>
    </row>
    <row r="121">
      <c r="A121" s="12" t="s">
        <v>183</v>
      </c>
      <c r="B121" s="12" t="s">
        <v>35</v>
      </c>
      <c r="C121" s="12" t="s">
        <v>14</v>
      </c>
      <c r="D121" s="12" t="s">
        <v>107</v>
      </c>
      <c r="E121" s="14">
        <v>0.5</v>
      </c>
      <c r="F121" s="14">
        <v>0.096</v>
      </c>
    </row>
    <row r="122">
      <c r="A122" s="10" t="s">
        <v>184</v>
      </c>
      <c r="B122" s="11"/>
      <c r="C122" s="11"/>
      <c r="D122" s="11"/>
      <c r="E122" s="11"/>
      <c r="F122" s="11"/>
    </row>
    <row r="123">
      <c r="A123" s="12" t="s">
        <v>185</v>
      </c>
      <c r="B123" s="12" t="s">
        <v>17</v>
      </c>
      <c r="C123" s="12" t="s">
        <v>17</v>
      </c>
      <c r="D123" s="12" t="s">
        <v>186</v>
      </c>
      <c r="E123" s="14">
        <v>1.0</v>
      </c>
      <c r="F123" s="14">
        <v>0.0</v>
      </c>
    </row>
    <row r="124">
      <c r="A124" s="12" t="s">
        <v>187</v>
      </c>
      <c r="B124" s="12" t="s">
        <v>17</v>
      </c>
      <c r="C124" s="12" t="s">
        <v>17</v>
      </c>
      <c r="D124" s="12" t="s">
        <v>186</v>
      </c>
      <c r="E124" s="14">
        <v>1.0</v>
      </c>
      <c r="F124" s="14">
        <v>0.0</v>
      </c>
    </row>
    <row r="125">
      <c r="A125" s="12" t="s">
        <v>188</v>
      </c>
      <c r="B125" s="12" t="s">
        <v>35</v>
      </c>
      <c r="C125" s="12" t="s">
        <v>35</v>
      </c>
      <c r="D125" s="12" t="s">
        <v>63</v>
      </c>
      <c r="E125" s="14">
        <v>1.0</v>
      </c>
      <c r="F125" s="14">
        <v>0.0</v>
      </c>
    </row>
    <row r="126">
      <c r="A126" s="12" t="s">
        <v>189</v>
      </c>
      <c r="B126" s="12" t="s">
        <v>17</v>
      </c>
      <c r="C126" s="12" t="s">
        <v>17</v>
      </c>
      <c r="D126" s="12" t="s">
        <v>186</v>
      </c>
      <c r="E126" s="14">
        <v>1.0</v>
      </c>
      <c r="F126" s="14">
        <v>0.0</v>
      </c>
    </row>
    <row r="127">
      <c r="A127" s="12" t="s">
        <v>190</v>
      </c>
      <c r="B127" s="12" t="s">
        <v>17</v>
      </c>
      <c r="C127" s="12" t="s">
        <v>17</v>
      </c>
      <c r="D127" s="12" t="s">
        <v>186</v>
      </c>
      <c r="E127" s="14">
        <v>1.0</v>
      </c>
      <c r="F127" s="14">
        <v>0.0</v>
      </c>
    </row>
    <row r="128">
      <c r="A128" s="12" t="s">
        <v>191</v>
      </c>
      <c r="B128" s="12" t="s">
        <v>35</v>
      </c>
      <c r="C128" s="12" t="s">
        <v>35</v>
      </c>
      <c r="D128" s="12" t="s">
        <v>63</v>
      </c>
      <c r="E128" s="14">
        <v>1.0</v>
      </c>
      <c r="F128" s="14">
        <v>0.0</v>
      </c>
    </row>
    <row r="129">
      <c r="A129" s="12" t="s">
        <v>192</v>
      </c>
      <c r="B129" s="12" t="s">
        <v>35</v>
      </c>
      <c r="C129" s="12" t="s">
        <v>35</v>
      </c>
      <c r="D129" s="12" t="s">
        <v>63</v>
      </c>
      <c r="E129" s="14">
        <v>1.0</v>
      </c>
      <c r="F129" s="14">
        <v>0.0</v>
      </c>
    </row>
    <row r="130">
      <c r="A130" s="12" t="s">
        <v>193</v>
      </c>
      <c r="B130" s="12" t="s">
        <v>35</v>
      </c>
      <c r="C130" s="12" t="s">
        <v>35</v>
      </c>
      <c r="D130" s="12" t="s">
        <v>63</v>
      </c>
      <c r="E130" s="14">
        <v>1.0</v>
      </c>
      <c r="F130" s="14">
        <v>0.0</v>
      </c>
    </row>
    <row r="131">
      <c r="A131" s="12" t="s">
        <v>194</v>
      </c>
      <c r="B131" s="12" t="s">
        <v>17</v>
      </c>
      <c r="C131" s="12" t="s">
        <v>17</v>
      </c>
      <c r="D131" s="12" t="s">
        <v>186</v>
      </c>
      <c r="E131" s="14">
        <v>1.0</v>
      </c>
      <c r="F131" s="14">
        <v>0.0</v>
      </c>
    </row>
    <row r="132">
      <c r="A132" s="12" t="s">
        <v>195</v>
      </c>
      <c r="B132" s="12" t="s">
        <v>35</v>
      </c>
      <c r="C132" s="12" t="s">
        <v>35</v>
      </c>
      <c r="D132" s="12" t="s">
        <v>63</v>
      </c>
      <c r="E132" s="14">
        <v>1.0</v>
      </c>
      <c r="F132" s="14">
        <v>0.0</v>
      </c>
    </row>
    <row r="133">
      <c r="A133" s="12" t="s">
        <v>196</v>
      </c>
      <c r="B133" s="12" t="s">
        <v>35</v>
      </c>
      <c r="C133" s="12" t="s">
        <v>35</v>
      </c>
      <c r="D133" s="12" t="s">
        <v>63</v>
      </c>
      <c r="E133" s="14">
        <v>1.0</v>
      </c>
      <c r="F133" s="14">
        <v>0.0</v>
      </c>
    </row>
    <row r="134">
      <c r="A134" s="12" t="s">
        <v>197</v>
      </c>
      <c r="B134" s="12" t="s">
        <v>35</v>
      </c>
      <c r="C134" s="12" t="s">
        <v>35</v>
      </c>
      <c r="D134" s="12" t="s">
        <v>63</v>
      </c>
      <c r="E134" s="14">
        <v>1.0</v>
      </c>
      <c r="F134" s="14">
        <v>0.0</v>
      </c>
    </row>
    <row r="135">
      <c r="A135" s="12" t="s">
        <v>198</v>
      </c>
      <c r="B135" s="12" t="s">
        <v>35</v>
      </c>
      <c r="C135" s="12" t="s">
        <v>35</v>
      </c>
      <c r="D135" s="12" t="s">
        <v>63</v>
      </c>
      <c r="E135" s="14">
        <v>1.0</v>
      </c>
      <c r="F135" s="14">
        <v>0.0</v>
      </c>
    </row>
    <row r="136">
      <c r="A136" s="12" t="s">
        <v>199</v>
      </c>
      <c r="B136" s="12" t="s">
        <v>35</v>
      </c>
      <c r="C136" s="12" t="s">
        <v>35</v>
      </c>
      <c r="D136" s="12" t="s">
        <v>63</v>
      </c>
      <c r="E136" s="14">
        <v>1.0</v>
      </c>
      <c r="F136" s="14">
        <v>0.0</v>
      </c>
    </row>
    <row r="137">
      <c r="A137" s="12" t="s">
        <v>200</v>
      </c>
      <c r="B137" s="12" t="s">
        <v>35</v>
      </c>
      <c r="C137" s="12" t="s">
        <v>35</v>
      </c>
      <c r="D137" s="12" t="s">
        <v>63</v>
      </c>
      <c r="E137" s="14">
        <v>1.0</v>
      </c>
      <c r="F137" s="14">
        <v>0.0</v>
      </c>
    </row>
    <row r="138">
      <c r="A138" s="12" t="s">
        <v>201</v>
      </c>
      <c r="B138" s="12" t="s">
        <v>202</v>
      </c>
      <c r="C138" s="12" t="s">
        <v>202</v>
      </c>
      <c r="D138" s="12" t="s">
        <v>203</v>
      </c>
      <c r="E138" s="14">
        <v>1.0</v>
      </c>
      <c r="F138" s="14">
        <v>0.0</v>
      </c>
    </row>
    <row r="139">
      <c r="A139" s="12" t="s">
        <v>204</v>
      </c>
      <c r="B139" s="12" t="s">
        <v>202</v>
      </c>
      <c r="C139" s="12" t="s">
        <v>202</v>
      </c>
      <c r="D139" s="12" t="s">
        <v>203</v>
      </c>
      <c r="E139" s="14">
        <v>1.0</v>
      </c>
      <c r="F139" s="14">
        <v>0.0</v>
      </c>
    </row>
    <row r="140">
      <c r="A140" s="12" t="s">
        <v>205</v>
      </c>
      <c r="B140" s="12" t="s">
        <v>202</v>
      </c>
      <c r="C140" s="12" t="s">
        <v>202</v>
      </c>
      <c r="D140" s="12" t="s">
        <v>203</v>
      </c>
      <c r="E140" s="14">
        <v>1.0</v>
      </c>
      <c r="F140" s="14">
        <v>0.0</v>
      </c>
    </row>
    <row r="141">
      <c r="A141" s="12" t="s">
        <v>206</v>
      </c>
      <c r="B141" s="12" t="s">
        <v>207</v>
      </c>
      <c r="C141" s="12" t="s">
        <v>17</v>
      </c>
      <c r="D141" s="12" t="s">
        <v>208</v>
      </c>
      <c r="E141" s="14">
        <v>30.0</v>
      </c>
      <c r="F141" s="14">
        <v>0.0</v>
      </c>
    </row>
    <row r="142">
      <c r="A142" s="12" t="s">
        <v>209</v>
      </c>
      <c r="B142" s="12" t="s">
        <v>17</v>
      </c>
      <c r="C142" s="12" t="s">
        <v>17</v>
      </c>
      <c r="D142" s="12" t="s">
        <v>186</v>
      </c>
      <c r="E142" s="14">
        <v>1.0</v>
      </c>
      <c r="F142" s="14">
        <v>0.0</v>
      </c>
    </row>
    <row r="143">
      <c r="A143" s="12" t="s">
        <v>210</v>
      </c>
      <c r="B143" s="12" t="s">
        <v>202</v>
      </c>
      <c r="C143" s="12" t="s">
        <v>202</v>
      </c>
      <c r="D143" s="12" t="s">
        <v>203</v>
      </c>
      <c r="E143" s="14">
        <v>1.0</v>
      </c>
      <c r="F143" s="14">
        <v>0.0</v>
      </c>
    </row>
    <row r="144">
      <c r="A144" s="12" t="s">
        <v>211</v>
      </c>
      <c r="B144" s="12" t="s">
        <v>202</v>
      </c>
      <c r="C144" s="12" t="s">
        <v>202</v>
      </c>
      <c r="D144" s="12" t="s">
        <v>203</v>
      </c>
      <c r="E144" s="14">
        <v>1.0</v>
      </c>
      <c r="F144" s="14">
        <v>0.0</v>
      </c>
    </row>
    <row r="145">
      <c r="A145" s="12" t="s">
        <v>212</v>
      </c>
      <c r="B145" s="12" t="s">
        <v>202</v>
      </c>
      <c r="C145" s="12" t="s">
        <v>202</v>
      </c>
      <c r="D145" s="12" t="s">
        <v>203</v>
      </c>
      <c r="E145" s="14">
        <v>1.0</v>
      </c>
      <c r="F145" s="14">
        <v>0.0</v>
      </c>
    </row>
    <row r="146">
      <c r="A146" s="12" t="s">
        <v>213</v>
      </c>
      <c r="B146" s="12" t="s">
        <v>35</v>
      </c>
      <c r="C146" s="12" t="s">
        <v>35</v>
      </c>
      <c r="D146" s="12" t="s">
        <v>63</v>
      </c>
      <c r="E146" s="14">
        <v>1.0</v>
      </c>
      <c r="F146" s="14">
        <v>0.0</v>
      </c>
    </row>
    <row r="147">
      <c r="A147" s="12" t="s">
        <v>214</v>
      </c>
      <c r="B147" s="12" t="s">
        <v>40</v>
      </c>
      <c r="C147" s="12" t="s">
        <v>35</v>
      </c>
      <c r="D147" s="12" t="s">
        <v>142</v>
      </c>
      <c r="E147" s="14">
        <v>0.25</v>
      </c>
      <c r="F147" s="14">
        <v>0.08</v>
      </c>
    </row>
    <row r="148">
      <c r="A148" s="12" t="s">
        <v>215</v>
      </c>
      <c r="B148" s="12" t="s">
        <v>35</v>
      </c>
      <c r="C148" s="12" t="s">
        <v>35</v>
      </c>
      <c r="D148" s="12" t="s">
        <v>63</v>
      </c>
      <c r="E148" s="14">
        <v>1.0</v>
      </c>
      <c r="F148" s="14">
        <v>0.0</v>
      </c>
    </row>
    <row r="149">
      <c r="A149" s="12" t="s">
        <v>216</v>
      </c>
      <c r="B149" s="12" t="s">
        <v>17</v>
      </c>
      <c r="C149" s="12" t="s">
        <v>17</v>
      </c>
      <c r="D149" s="12" t="s">
        <v>186</v>
      </c>
      <c r="E149" s="14">
        <v>1.0</v>
      </c>
      <c r="F149" s="14">
        <v>0.0</v>
      </c>
    </row>
    <row r="150">
      <c r="A150" s="12" t="s">
        <v>217</v>
      </c>
      <c r="B150" s="12" t="s">
        <v>35</v>
      </c>
      <c r="C150" s="12" t="s">
        <v>35</v>
      </c>
      <c r="D150" s="12" t="s">
        <v>63</v>
      </c>
      <c r="E150" s="14">
        <v>1.0</v>
      </c>
      <c r="F150" s="14">
        <v>0.0</v>
      </c>
    </row>
    <row r="151">
      <c r="A151" s="12" t="s">
        <v>218</v>
      </c>
      <c r="B151" s="12" t="s">
        <v>17</v>
      </c>
      <c r="C151" s="12" t="s">
        <v>17</v>
      </c>
      <c r="D151" s="12" t="s">
        <v>219</v>
      </c>
      <c r="E151" s="14">
        <v>1.0</v>
      </c>
      <c r="F151" s="14">
        <v>0.0</v>
      </c>
    </row>
    <row r="152">
      <c r="A152" s="12" t="s">
        <v>220</v>
      </c>
      <c r="B152" s="12" t="s">
        <v>35</v>
      </c>
      <c r="C152" s="12" t="s">
        <v>35</v>
      </c>
      <c r="D152" s="12" t="s">
        <v>63</v>
      </c>
      <c r="E152" s="14">
        <v>1.0</v>
      </c>
      <c r="F152" s="14">
        <v>0.0</v>
      </c>
    </row>
    <row r="153">
      <c r="A153" s="12" t="s">
        <v>221</v>
      </c>
      <c r="B153" s="12" t="s">
        <v>17</v>
      </c>
      <c r="C153" s="12" t="s">
        <v>17</v>
      </c>
      <c r="D153" s="12" t="s">
        <v>186</v>
      </c>
      <c r="E153" s="14">
        <v>1.0</v>
      </c>
      <c r="F153" s="14">
        <v>0.0</v>
      </c>
    </row>
    <row r="154">
      <c r="A154" s="12" t="s">
        <v>222</v>
      </c>
      <c r="B154" s="12" t="s">
        <v>17</v>
      </c>
      <c r="C154" s="12" t="s">
        <v>17</v>
      </c>
      <c r="D154" s="12" t="s">
        <v>186</v>
      </c>
      <c r="E154" s="14">
        <v>1.0</v>
      </c>
      <c r="F154" s="14">
        <v>0.0</v>
      </c>
    </row>
    <row r="155">
      <c r="A155" s="12" t="s">
        <v>223</v>
      </c>
      <c r="B155" s="12" t="s">
        <v>17</v>
      </c>
      <c r="C155" s="12" t="s">
        <v>17</v>
      </c>
      <c r="D155" s="12" t="s">
        <v>186</v>
      </c>
      <c r="E155" s="14">
        <v>1.0</v>
      </c>
      <c r="F155" s="14">
        <v>0.0</v>
      </c>
    </row>
    <row r="156">
      <c r="A156" s="12" t="s">
        <v>224</v>
      </c>
      <c r="B156" s="12" t="s">
        <v>202</v>
      </c>
      <c r="C156" s="12" t="s">
        <v>202</v>
      </c>
      <c r="D156" s="12" t="s">
        <v>203</v>
      </c>
      <c r="E156" s="14">
        <v>1.0</v>
      </c>
      <c r="F156" s="14">
        <v>0.0</v>
      </c>
    </row>
    <row r="157">
      <c r="A157" s="12" t="s">
        <v>225</v>
      </c>
      <c r="B157" s="12" t="s">
        <v>35</v>
      </c>
      <c r="C157" s="12" t="s">
        <v>35</v>
      </c>
      <c r="D157" s="12" t="s">
        <v>226</v>
      </c>
      <c r="E157" s="14">
        <v>1.0</v>
      </c>
      <c r="F157" s="14">
        <v>0.0</v>
      </c>
    </row>
    <row r="158">
      <c r="A158" s="12" t="s">
        <v>227</v>
      </c>
      <c r="B158" s="12" t="s">
        <v>35</v>
      </c>
      <c r="C158" s="12" t="s">
        <v>35</v>
      </c>
      <c r="D158" s="12" t="s">
        <v>226</v>
      </c>
      <c r="E158" s="14">
        <v>1.0</v>
      </c>
      <c r="F158" s="14">
        <v>0.0</v>
      </c>
    </row>
    <row r="159">
      <c r="A159" s="12" t="s">
        <v>228</v>
      </c>
      <c r="B159" s="12" t="s">
        <v>155</v>
      </c>
      <c r="C159" s="12" t="s">
        <v>35</v>
      </c>
      <c r="D159" s="12" t="s">
        <v>142</v>
      </c>
      <c r="E159" s="14">
        <v>0.5</v>
      </c>
      <c r="F159" s="14">
        <v>0.012</v>
      </c>
    </row>
    <row r="160">
      <c r="A160" s="12" t="s">
        <v>229</v>
      </c>
      <c r="B160" s="12" t="s">
        <v>17</v>
      </c>
      <c r="C160" s="12" t="s">
        <v>17</v>
      </c>
      <c r="D160" s="12" t="s">
        <v>230</v>
      </c>
      <c r="E160" s="14">
        <v>1.0</v>
      </c>
      <c r="F160" s="14">
        <v>0.0</v>
      </c>
    </row>
    <row r="161">
      <c r="A161" s="12" t="s">
        <v>231</v>
      </c>
      <c r="B161" s="12" t="s">
        <v>35</v>
      </c>
      <c r="C161" s="12" t="s">
        <v>35</v>
      </c>
      <c r="D161" s="12" t="s">
        <v>63</v>
      </c>
      <c r="E161" s="14">
        <v>1.0</v>
      </c>
      <c r="F161" s="11"/>
    </row>
    <row r="162">
      <c r="A162" s="12" t="s">
        <v>232</v>
      </c>
      <c r="B162" s="12" t="s">
        <v>202</v>
      </c>
      <c r="C162" s="12" t="s">
        <v>202</v>
      </c>
      <c r="D162" s="12" t="s">
        <v>203</v>
      </c>
      <c r="E162" s="14">
        <v>1.0</v>
      </c>
      <c r="F162" s="11"/>
    </row>
    <row r="163">
      <c r="A163" s="12" t="s">
        <v>233</v>
      </c>
      <c r="B163" s="12" t="s">
        <v>17</v>
      </c>
      <c r="C163" s="12" t="s">
        <v>234</v>
      </c>
      <c r="D163" s="12" t="s">
        <v>230</v>
      </c>
      <c r="E163" s="14">
        <v>1.0</v>
      </c>
      <c r="F163" s="11"/>
    </row>
    <row r="164">
      <c r="A164" s="25" t="s">
        <v>235</v>
      </c>
      <c r="B164" s="26" t="s">
        <v>202</v>
      </c>
      <c r="C164" s="12" t="s">
        <v>202</v>
      </c>
      <c r="D164" s="12" t="s">
        <v>203</v>
      </c>
      <c r="E164" s="14">
        <v>1.0</v>
      </c>
      <c r="F164" s="11"/>
    </row>
    <row r="165">
      <c r="A165" s="25" t="s">
        <v>236</v>
      </c>
      <c r="B165" s="26" t="s">
        <v>237</v>
      </c>
      <c r="C165" s="12" t="s">
        <v>35</v>
      </c>
      <c r="D165" s="12" t="s">
        <v>54</v>
      </c>
      <c r="E165" s="14">
        <v>1.0</v>
      </c>
      <c r="F165" s="11"/>
    </row>
    <row r="166">
      <c r="A166" s="25" t="s">
        <v>238</v>
      </c>
      <c r="B166" s="26" t="s">
        <v>202</v>
      </c>
      <c r="C166" s="12" t="s">
        <v>202</v>
      </c>
      <c r="D166" s="12" t="s">
        <v>203</v>
      </c>
      <c r="E166" s="14">
        <v>1.0</v>
      </c>
      <c r="F166" s="11"/>
    </row>
    <row r="167">
      <c r="A167" s="25" t="s">
        <v>239</v>
      </c>
      <c r="B167" s="26" t="s">
        <v>35</v>
      </c>
      <c r="C167" s="12" t="s">
        <v>35</v>
      </c>
      <c r="D167" s="12" t="s">
        <v>54</v>
      </c>
      <c r="E167" s="14">
        <v>1.0</v>
      </c>
      <c r="F167" s="11"/>
    </row>
    <row r="168">
      <c r="A168" s="12" t="s">
        <v>240</v>
      </c>
      <c r="B168" s="12" t="s">
        <v>241</v>
      </c>
      <c r="C168" s="12" t="s">
        <v>17</v>
      </c>
      <c r="D168" s="12" t="s">
        <v>186</v>
      </c>
      <c r="E168" s="14">
        <v>1.0</v>
      </c>
      <c r="F168" s="14">
        <v>0.0</v>
      </c>
    </row>
    <row r="169">
      <c r="A169" s="12" t="s">
        <v>242</v>
      </c>
      <c r="B169" s="12" t="s">
        <v>35</v>
      </c>
      <c r="C169" s="12" t="s">
        <v>35</v>
      </c>
      <c r="D169" s="12" t="s">
        <v>63</v>
      </c>
      <c r="E169" s="14">
        <v>1.0</v>
      </c>
      <c r="F169" s="14">
        <v>0.0</v>
      </c>
    </row>
    <row r="170">
      <c r="A170" s="12" t="s">
        <v>243</v>
      </c>
      <c r="B170" s="12" t="s">
        <v>241</v>
      </c>
      <c r="C170" s="12" t="s">
        <v>241</v>
      </c>
      <c r="D170" s="15" t="s">
        <v>244</v>
      </c>
      <c r="E170" s="20">
        <v>1.0</v>
      </c>
      <c r="F170" s="14">
        <v>0.0</v>
      </c>
    </row>
    <row r="171">
      <c r="A171" s="10" t="s">
        <v>245</v>
      </c>
      <c r="B171" s="11"/>
      <c r="C171" s="11"/>
      <c r="D171" s="11"/>
      <c r="E171" s="11"/>
      <c r="F171" s="11"/>
    </row>
    <row r="172">
      <c r="A172" s="12" t="s">
        <v>154</v>
      </c>
      <c r="B172" s="12" t="s">
        <v>59</v>
      </c>
      <c r="C172" s="12" t="s">
        <v>155</v>
      </c>
      <c r="D172" s="12" t="s">
        <v>246</v>
      </c>
      <c r="E172" s="14">
        <v>0.5</v>
      </c>
      <c r="F172" s="14">
        <v>0.005</v>
      </c>
    </row>
    <row r="173">
      <c r="A173" s="12" t="s">
        <v>247</v>
      </c>
      <c r="B173" s="13" t="s">
        <v>59</v>
      </c>
      <c r="C173" s="13" t="s">
        <v>35</v>
      </c>
      <c r="D173" s="13" t="s">
        <v>60</v>
      </c>
      <c r="E173" s="14">
        <v>0.5</v>
      </c>
      <c r="F173" s="14">
        <v>0.011</v>
      </c>
    </row>
    <row r="174">
      <c r="A174" s="12" t="s">
        <v>248</v>
      </c>
      <c r="B174" s="13" t="s">
        <v>59</v>
      </c>
      <c r="C174" s="13" t="s">
        <v>35</v>
      </c>
      <c r="D174" s="13" t="s">
        <v>249</v>
      </c>
      <c r="E174" s="14">
        <v>0.45</v>
      </c>
      <c r="F174" s="14">
        <v>0.003</v>
      </c>
    </row>
    <row r="175">
      <c r="A175" s="12" t="s">
        <v>250</v>
      </c>
      <c r="B175" s="13" t="s">
        <v>59</v>
      </c>
      <c r="C175" s="27" t="s">
        <v>35</v>
      </c>
      <c r="D175" s="27" t="s">
        <v>249</v>
      </c>
      <c r="E175" s="14">
        <v>0.45</v>
      </c>
      <c r="F175" s="14">
        <v>0.01</v>
      </c>
    </row>
    <row r="176">
      <c r="A176" s="12" t="s">
        <v>251</v>
      </c>
      <c r="B176" s="13" t="s">
        <v>34</v>
      </c>
      <c r="C176" s="27" t="s">
        <v>35</v>
      </c>
      <c r="D176" s="27" t="s">
        <v>36</v>
      </c>
      <c r="E176" s="14">
        <v>0.7</v>
      </c>
      <c r="F176" s="14">
        <v>0.1</v>
      </c>
    </row>
    <row r="177">
      <c r="A177" s="10" t="s">
        <v>252</v>
      </c>
      <c r="B177" s="11"/>
      <c r="C177" s="11"/>
      <c r="D177" s="11"/>
      <c r="E177" s="11"/>
      <c r="F177" s="11"/>
    </row>
    <row r="178">
      <c r="A178" s="12" t="s">
        <v>253</v>
      </c>
      <c r="B178" s="12" t="s">
        <v>40</v>
      </c>
      <c r="C178" s="12" t="s">
        <v>254</v>
      </c>
      <c r="D178" s="12" t="s">
        <v>255</v>
      </c>
      <c r="E178" s="14">
        <v>1.0</v>
      </c>
      <c r="F178" s="14">
        <v>0.0</v>
      </c>
    </row>
    <row r="179">
      <c r="A179" s="12" t="s">
        <v>256</v>
      </c>
      <c r="B179" s="12" t="s">
        <v>40</v>
      </c>
      <c r="C179" s="12" t="s">
        <v>234</v>
      </c>
      <c r="D179" s="12" t="s">
        <v>257</v>
      </c>
      <c r="E179" s="14">
        <v>50.0</v>
      </c>
      <c r="F179" s="11"/>
    </row>
    <row r="180">
      <c r="A180" s="12" t="s">
        <v>258</v>
      </c>
      <c r="B180" s="12" t="s">
        <v>259</v>
      </c>
      <c r="C180" s="12" t="s">
        <v>17</v>
      </c>
      <c r="D180" s="12" t="s">
        <v>186</v>
      </c>
      <c r="E180" s="14">
        <v>1.0</v>
      </c>
      <c r="F180" s="14">
        <v>0.0</v>
      </c>
    </row>
    <row r="181">
      <c r="A181" s="12" t="s">
        <v>260</v>
      </c>
      <c r="B181" s="12" t="s">
        <v>261</v>
      </c>
      <c r="C181" s="12" t="s">
        <v>35</v>
      </c>
      <c r="D181" s="12" t="s">
        <v>262</v>
      </c>
      <c r="E181" s="14">
        <v>5.75</v>
      </c>
      <c r="F181" s="14">
        <v>1.22</v>
      </c>
    </row>
    <row r="182">
      <c r="A182" s="12" t="s">
        <v>263</v>
      </c>
      <c r="B182" s="12" t="s">
        <v>17</v>
      </c>
      <c r="C182" s="12" t="s">
        <v>17</v>
      </c>
      <c r="D182" s="12" t="s">
        <v>186</v>
      </c>
      <c r="E182" s="14">
        <v>1.0</v>
      </c>
      <c r="F182" s="11"/>
    </row>
    <row r="183">
      <c r="A183" s="12" t="s">
        <v>264</v>
      </c>
      <c r="B183" s="12" t="s">
        <v>261</v>
      </c>
      <c r="C183" s="12" t="s">
        <v>35</v>
      </c>
      <c r="D183" s="12" t="s">
        <v>262</v>
      </c>
      <c r="E183" s="14">
        <v>2.5</v>
      </c>
      <c r="F183" s="14">
        <v>0.5</v>
      </c>
    </row>
    <row r="184">
      <c r="A184" s="12" t="s">
        <v>265</v>
      </c>
      <c r="B184" s="12" t="s">
        <v>40</v>
      </c>
      <c r="C184" s="12" t="s">
        <v>17</v>
      </c>
      <c r="D184" s="12" t="s">
        <v>257</v>
      </c>
      <c r="E184" s="14">
        <v>25.0</v>
      </c>
      <c r="F184" s="14">
        <v>0.0</v>
      </c>
    </row>
    <row r="185">
      <c r="A185" s="12" t="s">
        <v>266</v>
      </c>
      <c r="B185" s="12" t="s">
        <v>267</v>
      </c>
      <c r="C185" s="12" t="s">
        <v>17</v>
      </c>
      <c r="D185" s="12" t="s">
        <v>257</v>
      </c>
      <c r="E185" s="14">
        <v>50.0</v>
      </c>
      <c r="F185" s="14">
        <v>0.0</v>
      </c>
    </row>
    <row r="186">
      <c r="A186" s="12" t="s">
        <v>268</v>
      </c>
      <c r="B186" s="12" t="s">
        <v>40</v>
      </c>
      <c r="C186" s="12" t="s">
        <v>17</v>
      </c>
      <c r="D186" s="12" t="s">
        <v>257</v>
      </c>
      <c r="E186" s="14">
        <v>25.0</v>
      </c>
      <c r="F186" s="14">
        <v>0.0</v>
      </c>
    </row>
    <row r="187">
      <c r="A187" s="12" t="s">
        <v>269</v>
      </c>
      <c r="B187" s="12" t="s">
        <v>40</v>
      </c>
      <c r="C187" s="12" t="s">
        <v>17</v>
      </c>
      <c r="D187" s="12" t="s">
        <v>257</v>
      </c>
      <c r="E187" s="14">
        <v>50.0</v>
      </c>
      <c r="F187" s="14">
        <v>0.0</v>
      </c>
    </row>
    <row r="188">
      <c r="A188" s="12" t="s">
        <v>270</v>
      </c>
      <c r="B188" s="12" t="s">
        <v>40</v>
      </c>
      <c r="C188" s="12" t="s">
        <v>17</v>
      </c>
      <c r="D188" s="12" t="s">
        <v>257</v>
      </c>
      <c r="E188" s="14">
        <v>50.0</v>
      </c>
      <c r="F188" s="14">
        <v>0.0</v>
      </c>
    </row>
    <row r="189">
      <c r="A189" s="12" t="s">
        <v>271</v>
      </c>
      <c r="B189" s="12" t="s">
        <v>40</v>
      </c>
      <c r="C189" s="12" t="s">
        <v>17</v>
      </c>
      <c r="D189" s="12" t="s">
        <v>257</v>
      </c>
      <c r="E189" s="14">
        <v>50.0</v>
      </c>
      <c r="F189" s="14">
        <v>0.0</v>
      </c>
    </row>
    <row r="190">
      <c r="A190" s="12" t="s">
        <v>272</v>
      </c>
      <c r="B190" s="12" t="s">
        <v>40</v>
      </c>
      <c r="C190" s="12" t="s">
        <v>17</v>
      </c>
      <c r="D190" s="12" t="s">
        <v>257</v>
      </c>
      <c r="E190" s="14">
        <v>1.0</v>
      </c>
      <c r="F190" s="14">
        <v>0.0</v>
      </c>
    </row>
    <row r="191">
      <c r="A191" s="28"/>
      <c r="B191" s="28"/>
      <c r="C191" s="28"/>
      <c r="D191" s="28"/>
      <c r="E191" s="28"/>
      <c r="F191" s="28"/>
    </row>
    <row r="192">
      <c r="A192" s="28"/>
      <c r="B192" s="28"/>
      <c r="C192" s="28"/>
      <c r="D192" s="28"/>
      <c r="E192" s="28"/>
      <c r="F192" s="28"/>
    </row>
    <row r="193">
      <c r="A193" s="28"/>
      <c r="B193" s="28"/>
      <c r="C193" s="28"/>
      <c r="D193" s="28"/>
      <c r="E193" s="28"/>
      <c r="F193" s="28"/>
    </row>
    <row r="194">
      <c r="A194" s="28"/>
      <c r="B194" s="28"/>
      <c r="C194" s="28"/>
      <c r="D194" s="28"/>
      <c r="E194" s="28"/>
      <c r="F194" s="28"/>
    </row>
    <row r="195">
      <c r="A195" s="28"/>
      <c r="B195" s="28"/>
      <c r="C195" s="28"/>
      <c r="D195" s="28"/>
      <c r="E195" s="28"/>
      <c r="F195" s="28"/>
    </row>
    <row r="196">
      <c r="A196" s="28"/>
      <c r="B196" s="28"/>
      <c r="C196" s="28"/>
      <c r="D196" s="28"/>
      <c r="E196" s="28"/>
      <c r="F196" s="28"/>
    </row>
    <row r="197">
      <c r="A197" s="28"/>
      <c r="B197" s="28"/>
      <c r="C197" s="28"/>
      <c r="D197" s="28"/>
      <c r="E197" s="28"/>
      <c r="F197" s="28"/>
    </row>
    <row r="198">
      <c r="A198" s="28"/>
      <c r="B198" s="28"/>
      <c r="C198" s="28"/>
      <c r="D198" s="28"/>
      <c r="E198" s="28"/>
      <c r="F198" s="28"/>
    </row>
    <row r="199">
      <c r="A199" s="28"/>
      <c r="B199" s="28"/>
      <c r="C199" s="28"/>
      <c r="D199" s="28"/>
      <c r="E199" s="28"/>
      <c r="F199" s="28"/>
    </row>
    <row r="200">
      <c r="A200" s="28"/>
      <c r="B200" s="28"/>
      <c r="C200" s="28"/>
      <c r="D200" s="28"/>
      <c r="E200" s="28"/>
      <c r="F200" s="28"/>
    </row>
    <row r="201">
      <c r="A201" s="28"/>
      <c r="B201" s="28"/>
      <c r="C201" s="28"/>
      <c r="D201" s="28"/>
      <c r="E201" s="28"/>
      <c r="F201" s="28"/>
    </row>
    <row r="202">
      <c r="A202" s="28"/>
      <c r="B202" s="28"/>
      <c r="C202" s="28"/>
      <c r="D202" s="28"/>
      <c r="E202" s="28"/>
      <c r="F202" s="28"/>
    </row>
    <row r="203">
      <c r="A203" s="28"/>
      <c r="B203" s="28"/>
      <c r="C203" s="28"/>
      <c r="D203" s="28"/>
      <c r="E203" s="28"/>
      <c r="F203" s="28"/>
    </row>
    <row r="204">
      <c r="A204" s="28"/>
      <c r="B204" s="28"/>
      <c r="C204" s="28"/>
      <c r="D204" s="28"/>
      <c r="E204" s="28"/>
      <c r="F204" s="28"/>
    </row>
    <row r="205">
      <c r="A205" s="28"/>
      <c r="B205" s="28"/>
      <c r="C205" s="28"/>
      <c r="D205" s="28"/>
      <c r="E205" s="28"/>
      <c r="F205" s="28"/>
    </row>
    <row r="206">
      <c r="A206" s="28"/>
      <c r="B206" s="28"/>
      <c r="C206" s="28"/>
      <c r="D206" s="28"/>
      <c r="E206" s="28"/>
      <c r="F206" s="28"/>
    </row>
    <row r="207">
      <c r="A207" s="28"/>
      <c r="B207" s="28"/>
      <c r="C207" s="28"/>
      <c r="D207" s="28"/>
      <c r="E207" s="28"/>
      <c r="F207" s="28"/>
    </row>
    <row r="208">
      <c r="A208" s="28"/>
      <c r="B208" s="28"/>
      <c r="C208" s="28"/>
      <c r="D208" s="28"/>
      <c r="E208" s="28"/>
      <c r="F208" s="28"/>
    </row>
    <row r="209">
      <c r="A209" s="28"/>
      <c r="B209" s="28"/>
      <c r="C209" s="28"/>
      <c r="D209" s="28"/>
      <c r="E209" s="28"/>
      <c r="F209" s="28"/>
    </row>
    <row r="210">
      <c r="A210" s="28"/>
      <c r="B210" s="28"/>
      <c r="C210" s="28"/>
      <c r="D210" s="28"/>
      <c r="E210" s="28"/>
      <c r="F210" s="28"/>
    </row>
    <row r="211">
      <c r="A211" s="28"/>
      <c r="B211" s="28"/>
      <c r="C211" s="28"/>
      <c r="D211" s="28"/>
      <c r="E211" s="28"/>
      <c r="F211" s="28"/>
    </row>
    <row r="212">
      <c r="A212" s="28"/>
      <c r="B212" s="28"/>
      <c r="C212" s="28"/>
      <c r="D212" s="28"/>
      <c r="E212" s="28"/>
      <c r="F212" s="28"/>
    </row>
    <row r="213">
      <c r="A213" s="28"/>
      <c r="B213" s="28"/>
      <c r="C213" s="28"/>
      <c r="D213" s="28"/>
      <c r="E213" s="28"/>
      <c r="F213" s="28"/>
    </row>
    <row r="214">
      <c r="A214" s="28"/>
      <c r="B214" s="28"/>
      <c r="C214" s="28"/>
      <c r="D214" s="28"/>
      <c r="E214" s="28"/>
      <c r="F214" s="28"/>
    </row>
    <row r="215">
      <c r="A215" s="28"/>
      <c r="B215" s="28"/>
      <c r="C215" s="28"/>
      <c r="D215" s="28"/>
      <c r="E215" s="28"/>
      <c r="F215" s="28"/>
    </row>
    <row r="216">
      <c r="A216" s="28"/>
      <c r="B216" s="28"/>
      <c r="C216" s="28"/>
      <c r="D216" s="28"/>
      <c r="E216" s="28"/>
      <c r="F216" s="28"/>
    </row>
    <row r="217">
      <c r="A217" s="28"/>
      <c r="B217" s="28"/>
      <c r="C217" s="28"/>
      <c r="D217" s="28"/>
      <c r="E217" s="28"/>
      <c r="F217" s="28"/>
    </row>
    <row r="218">
      <c r="A218" s="28"/>
      <c r="B218" s="28"/>
      <c r="C218" s="28"/>
      <c r="D218" s="28"/>
      <c r="E218" s="28"/>
      <c r="F218" s="28"/>
    </row>
    <row r="219">
      <c r="A219" s="28"/>
      <c r="B219" s="28"/>
      <c r="C219" s="28"/>
      <c r="D219" s="28"/>
      <c r="E219" s="28"/>
      <c r="F219" s="28"/>
    </row>
    <row r="220">
      <c r="A220" s="28"/>
      <c r="B220" s="28"/>
      <c r="C220" s="28"/>
      <c r="D220" s="28"/>
      <c r="E220" s="28"/>
      <c r="F220" s="28"/>
    </row>
    <row r="221">
      <c r="A221" s="28"/>
      <c r="B221" s="28"/>
      <c r="C221" s="28"/>
      <c r="D221" s="28"/>
      <c r="E221" s="28"/>
      <c r="F221" s="28"/>
    </row>
    <row r="222">
      <c r="A222" s="28"/>
      <c r="B222" s="28"/>
      <c r="C222" s="28"/>
      <c r="D222" s="28"/>
      <c r="E222" s="28"/>
      <c r="F222" s="28"/>
    </row>
    <row r="223">
      <c r="A223" s="28"/>
      <c r="B223" s="28"/>
      <c r="C223" s="28"/>
      <c r="D223" s="28"/>
      <c r="E223" s="28"/>
      <c r="F223" s="28"/>
    </row>
    <row r="224">
      <c r="A224" s="28"/>
      <c r="B224" s="28"/>
      <c r="C224" s="28"/>
      <c r="D224" s="28"/>
      <c r="E224" s="28"/>
      <c r="F224" s="28"/>
    </row>
    <row r="225">
      <c r="A225" s="28"/>
      <c r="B225" s="28"/>
      <c r="C225" s="28"/>
      <c r="D225" s="28"/>
      <c r="E225" s="28"/>
      <c r="F225" s="28"/>
    </row>
    <row r="226">
      <c r="A226" s="28"/>
      <c r="B226" s="28"/>
      <c r="C226" s="28"/>
      <c r="D226" s="28"/>
      <c r="E226" s="28"/>
      <c r="F226" s="28"/>
    </row>
    <row r="227">
      <c r="A227" s="28"/>
      <c r="B227" s="28"/>
      <c r="C227" s="28"/>
      <c r="D227" s="28"/>
      <c r="E227" s="28"/>
      <c r="F227" s="28"/>
    </row>
    <row r="228">
      <c r="A228" s="28"/>
      <c r="B228" s="28"/>
      <c r="C228" s="28"/>
      <c r="D228" s="28"/>
      <c r="E228" s="28"/>
      <c r="F228" s="28"/>
    </row>
    <row r="229">
      <c r="A229" s="28"/>
      <c r="B229" s="28"/>
      <c r="C229" s="28"/>
      <c r="D229" s="28"/>
      <c r="E229" s="28"/>
      <c r="F229" s="28"/>
    </row>
    <row r="230">
      <c r="A230" s="28"/>
      <c r="B230" s="28"/>
      <c r="C230" s="28"/>
      <c r="D230" s="28"/>
      <c r="E230" s="28"/>
      <c r="F230" s="28"/>
    </row>
    <row r="231">
      <c r="A231" s="28"/>
      <c r="B231" s="28"/>
      <c r="C231" s="28"/>
      <c r="D231" s="28"/>
      <c r="E231" s="28"/>
      <c r="F231" s="28"/>
    </row>
    <row r="232">
      <c r="A232" s="28"/>
      <c r="B232" s="28"/>
      <c r="C232" s="28"/>
      <c r="D232" s="28"/>
      <c r="E232" s="28"/>
      <c r="F232" s="28"/>
    </row>
    <row r="233">
      <c r="A233" s="28"/>
      <c r="B233" s="28"/>
      <c r="C233" s="28"/>
      <c r="D233" s="28"/>
      <c r="E233" s="28"/>
      <c r="F233" s="28"/>
    </row>
    <row r="234">
      <c r="A234" s="28"/>
      <c r="B234" s="28"/>
      <c r="C234" s="28"/>
      <c r="D234" s="28"/>
      <c r="E234" s="28"/>
      <c r="F234" s="28"/>
    </row>
    <row r="235">
      <c r="A235" s="28"/>
      <c r="B235" s="28"/>
      <c r="C235" s="28"/>
      <c r="D235" s="28"/>
      <c r="E235" s="28"/>
      <c r="F235" s="28"/>
    </row>
    <row r="236">
      <c r="A236" s="28"/>
      <c r="B236" s="28"/>
      <c r="C236" s="28"/>
      <c r="D236" s="28"/>
      <c r="E236" s="28"/>
      <c r="F236" s="28"/>
    </row>
    <row r="237">
      <c r="A237" s="28"/>
      <c r="B237" s="28"/>
      <c r="C237" s="28"/>
      <c r="D237" s="28"/>
      <c r="E237" s="28"/>
      <c r="F237" s="28"/>
    </row>
    <row r="238">
      <c r="A238" s="28"/>
      <c r="B238" s="28"/>
      <c r="C238" s="28"/>
      <c r="D238" s="28"/>
      <c r="E238" s="28"/>
      <c r="F238" s="28"/>
    </row>
    <row r="239">
      <c r="A239" s="28"/>
      <c r="B239" s="28"/>
      <c r="C239" s="28"/>
      <c r="D239" s="28"/>
      <c r="E239" s="28"/>
      <c r="F239" s="28"/>
    </row>
    <row r="240">
      <c r="A240" s="28"/>
      <c r="B240" s="28"/>
      <c r="C240" s="28"/>
      <c r="D240" s="28"/>
      <c r="E240" s="28"/>
      <c r="F240" s="28"/>
    </row>
    <row r="241">
      <c r="A241" s="28"/>
      <c r="B241" s="28"/>
      <c r="C241" s="28"/>
      <c r="D241" s="28"/>
      <c r="E241" s="28"/>
      <c r="F241" s="28"/>
    </row>
    <row r="242">
      <c r="A242" s="28"/>
      <c r="B242" s="28"/>
      <c r="C242" s="28"/>
      <c r="D242" s="28"/>
      <c r="E242" s="28"/>
      <c r="F242" s="28"/>
    </row>
    <row r="243">
      <c r="A243" s="28"/>
      <c r="B243" s="28"/>
      <c r="C243" s="28"/>
      <c r="D243" s="28"/>
      <c r="E243" s="28"/>
      <c r="F243" s="28"/>
    </row>
    <row r="244">
      <c r="A244" s="28"/>
      <c r="B244" s="28"/>
      <c r="C244" s="28"/>
      <c r="D244" s="28"/>
      <c r="E244" s="28"/>
      <c r="F244" s="28"/>
    </row>
    <row r="245">
      <c r="A245" s="28"/>
      <c r="B245" s="28"/>
      <c r="C245" s="28"/>
      <c r="D245" s="28"/>
      <c r="E245" s="28"/>
      <c r="F245" s="28"/>
    </row>
    <row r="246">
      <c r="A246" s="28"/>
      <c r="B246" s="28"/>
      <c r="C246" s="28"/>
      <c r="D246" s="28"/>
      <c r="E246" s="28"/>
      <c r="F246" s="28"/>
    </row>
    <row r="247">
      <c r="A247" s="28"/>
      <c r="B247" s="28"/>
      <c r="C247" s="28"/>
      <c r="D247" s="28"/>
      <c r="E247" s="28"/>
      <c r="F247" s="28"/>
    </row>
    <row r="248">
      <c r="A248" s="28"/>
      <c r="B248" s="28"/>
      <c r="C248" s="28"/>
      <c r="D248" s="28"/>
      <c r="E248" s="28"/>
      <c r="F248" s="28"/>
    </row>
    <row r="249">
      <c r="A249" s="28"/>
      <c r="B249" s="28"/>
      <c r="C249" s="28"/>
      <c r="D249" s="28"/>
      <c r="E249" s="28"/>
      <c r="F249" s="28"/>
    </row>
    <row r="250">
      <c r="A250" s="28"/>
      <c r="B250" s="28"/>
      <c r="C250" s="28"/>
      <c r="D250" s="28"/>
      <c r="E250" s="28"/>
      <c r="F250" s="28"/>
    </row>
    <row r="251">
      <c r="A251" s="28"/>
      <c r="B251" s="28"/>
      <c r="C251" s="28"/>
      <c r="D251" s="28"/>
      <c r="E251" s="28"/>
      <c r="F251" s="28"/>
    </row>
    <row r="252">
      <c r="A252" s="28"/>
      <c r="B252" s="28"/>
      <c r="C252" s="28"/>
      <c r="D252" s="28"/>
      <c r="E252" s="28"/>
      <c r="F252" s="28"/>
    </row>
    <row r="253">
      <c r="A253" s="28"/>
      <c r="B253" s="28"/>
      <c r="C253" s="28"/>
      <c r="D253" s="28"/>
      <c r="E253" s="28"/>
      <c r="F253" s="28"/>
    </row>
    <row r="254">
      <c r="A254" s="28"/>
      <c r="B254" s="28"/>
      <c r="C254" s="28"/>
      <c r="D254" s="28"/>
      <c r="E254" s="28"/>
      <c r="F254" s="28"/>
    </row>
    <row r="255">
      <c r="A255" s="28"/>
      <c r="B255" s="28"/>
      <c r="C255" s="28"/>
      <c r="D255" s="28"/>
      <c r="E255" s="28"/>
      <c r="F255" s="28"/>
    </row>
    <row r="256">
      <c r="A256" s="28"/>
      <c r="B256" s="28"/>
      <c r="C256" s="28"/>
      <c r="D256" s="28"/>
      <c r="E256" s="28"/>
      <c r="F256" s="28"/>
    </row>
    <row r="257">
      <c r="A257" s="28"/>
      <c r="B257" s="28"/>
      <c r="C257" s="28"/>
      <c r="D257" s="28"/>
      <c r="E257" s="28"/>
      <c r="F257" s="28"/>
    </row>
    <row r="258">
      <c r="A258" s="28"/>
      <c r="B258" s="28"/>
      <c r="C258" s="28"/>
      <c r="D258" s="28"/>
      <c r="E258" s="28"/>
      <c r="F258" s="28"/>
    </row>
    <row r="259">
      <c r="A259" s="28"/>
      <c r="B259" s="28"/>
      <c r="C259" s="28"/>
      <c r="D259" s="28"/>
      <c r="E259" s="28"/>
      <c r="F259" s="28"/>
    </row>
    <row r="260">
      <c r="A260" s="28"/>
      <c r="B260" s="28"/>
      <c r="C260" s="28"/>
      <c r="D260" s="28"/>
      <c r="E260" s="28"/>
      <c r="F260" s="28"/>
    </row>
    <row r="261">
      <c r="A261" s="28"/>
      <c r="B261" s="28"/>
      <c r="C261" s="28"/>
      <c r="D261" s="28"/>
      <c r="E261" s="28"/>
      <c r="F261" s="28"/>
    </row>
    <row r="262">
      <c r="A262" s="28"/>
      <c r="B262" s="28"/>
      <c r="C262" s="28"/>
      <c r="D262" s="28"/>
      <c r="E262" s="28"/>
      <c r="F262" s="28"/>
    </row>
    <row r="263">
      <c r="A263" s="28"/>
      <c r="B263" s="28"/>
      <c r="C263" s="28"/>
      <c r="D263" s="28"/>
      <c r="E263" s="28"/>
      <c r="F263" s="28"/>
    </row>
    <row r="264">
      <c r="A264" s="28"/>
      <c r="B264" s="28"/>
      <c r="C264" s="28"/>
      <c r="D264" s="28"/>
      <c r="E264" s="28"/>
      <c r="F264" s="28"/>
    </row>
    <row r="265">
      <c r="A265" s="28"/>
      <c r="B265" s="28"/>
      <c r="C265" s="28"/>
      <c r="D265" s="28"/>
      <c r="E265" s="28"/>
      <c r="F265" s="28"/>
    </row>
    <row r="266">
      <c r="A266" s="28"/>
      <c r="B266" s="28"/>
      <c r="C266" s="28"/>
      <c r="D266" s="28"/>
      <c r="E266" s="28"/>
      <c r="F266" s="28"/>
    </row>
    <row r="267">
      <c r="A267" s="28"/>
      <c r="B267" s="28"/>
      <c r="C267" s="28"/>
      <c r="D267" s="28"/>
      <c r="E267" s="28"/>
      <c r="F267" s="28"/>
    </row>
    <row r="268">
      <c r="A268" s="28"/>
      <c r="B268" s="28"/>
      <c r="C268" s="28"/>
      <c r="D268" s="28"/>
      <c r="E268" s="28"/>
      <c r="F268" s="28"/>
    </row>
    <row r="269">
      <c r="A269" s="28"/>
      <c r="B269" s="28"/>
      <c r="C269" s="28"/>
      <c r="D269" s="28"/>
      <c r="E269" s="28"/>
      <c r="F269" s="28"/>
    </row>
    <row r="270">
      <c r="A270" s="28"/>
      <c r="B270" s="28"/>
      <c r="C270" s="28"/>
      <c r="D270" s="28"/>
      <c r="E270" s="28"/>
      <c r="F270" s="28"/>
    </row>
    <row r="271">
      <c r="A271" s="28"/>
      <c r="B271" s="28"/>
      <c r="C271" s="28"/>
      <c r="D271" s="28"/>
      <c r="E271" s="28"/>
      <c r="F271" s="28"/>
    </row>
    <row r="272">
      <c r="A272" s="28"/>
      <c r="B272" s="28"/>
      <c r="C272" s="28"/>
      <c r="D272" s="28"/>
      <c r="E272" s="28"/>
      <c r="F272" s="28"/>
    </row>
    <row r="273">
      <c r="A273" s="28"/>
      <c r="B273" s="28"/>
      <c r="C273" s="28"/>
      <c r="D273" s="28"/>
      <c r="E273" s="28"/>
      <c r="F273" s="28"/>
    </row>
    <row r="274">
      <c r="A274" s="28"/>
      <c r="B274" s="28"/>
      <c r="C274" s="28"/>
      <c r="D274" s="28"/>
      <c r="E274" s="28"/>
      <c r="F274" s="28"/>
    </row>
    <row r="275">
      <c r="A275" s="28"/>
      <c r="B275" s="28"/>
      <c r="C275" s="28"/>
      <c r="D275" s="28"/>
      <c r="E275" s="28"/>
      <c r="F275" s="28"/>
    </row>
    <row r="276">
      <c r="A276" s="28"/>
      <c r="B276" s="28"/>
      <c r="C276" s="28"/>
      <c r="D276" s="28"/>
      <c r="E276" s="28"/>
      <c r="F276" s="28"/>
    </row>
    <row r="277">
      <c r="A277" s="28"/>
      <c r="B277" s="28"/>
      <c r="C277" s="28"/>
      <c r="D277" s="28"/>
      <c r="E277" s="28"/>
      <c r="F277" s="28"/>
    </row>
    <row r="278">
      <c r="A278" s="28"/>
      <c r="B278" s="28"/>
      <c r="C278" s="28"/>
      <c r="D278" s="28"/>
      <c r="E278" s="28"/>
      <c r="F278" s="28"/>
    </row>
    <row r="279">
      <c r="A279" s="28"/>
      <c r="B279" s="28"/>
      <c r="C279" s="28"/>
      <c r="D279" s="28"/>
      <c r="E279" s="28"/>
      <c r="F279" s="28"/>
    </row>
    <row r="280">
      <c r="A280" s="28"/>
      <c r="B280" s="28"/>
      <c r="C280" s="28"/>
      <c r="D280" s="28"/>
      <c r="E280" s="28"/>
      <c r="F280" s="28"/>
    </row>
    <row r="281">
      <c r="A281" s="28"/>
      <c r="B281" s="28"/>
      <c r="C281" s="28"/>
      <c r="D281" s="28"/>
      <c r="E281" s="28"/>
      <c r="F281" s="28"/>
    </row>
    <row r="282">
      <c r="A282" s="28"/>
      <c r="B282" s="28"/>
      <c r="C282" s="28"/>
      <c r="D282" s="28"/>
      <c r="E282" s="28"/>
      <c r="F282" s="28"/>
    </row>
    <row r="283">
      <c r="A283" s="28"/>
      <c r="B283" s="28"/>
      <c r="C283" s="28"/>
      <c r="D283" s="28"/>
      <c r="E283" s="28"/>
      <c r="F283" s="28"/>
    </row>
    <row r="284">
      <c r="A284" s="28"/>
      <c r="B284" s="28"/>
      <c r="C284" s="28"/>
      <c r="D284" s="28"/>
      <c r="E284" s="28"/>
      <c r="F284" s="28"/>
    </row>
    <row r="285">
      <c r="A285" s="28"/>
      <c r="B285" s="28"/>
      <c r="C285" s="28"/>
      <c r="D285" s="28"/>
      <c r="E285" s="28"/>
      <c r="F285" s="28"/>
    </row>
    <row r="286">
      <c r="A286" s="28"/>
      <c r="B286" s="28"/>
      <c r="C286" s="28"/>
      <c r="D286" s="28"/>
      <c r="E286" s="28"/>
      <c r="F286" s="28"/>
    </row>
    <row r="287">
      <c r="A287" s="28"/>
      <c r="B287" s="28"/>
      <c r="C287" s="28"/>
      <c r="D287" s="28"/>
      <c r="E287" s="28"/>
      <c r="F287" s="28"/>
    </row>
    <row r="288">
      <c r="A288" s="28"/>
      <c r="B288" s="28"/>
      <c r="C288" s="28"/>
      <c r="D288" s="28"/>
      <c r="E288" s="28"/>
      <c r="F288" s="28"/>
    </row>
    <row r="289">
      <c r="A289" s="28"/>
      <c r="B289" s="28"/>
      <c r="C289" s="28"/>
      <c r="D289" s="28"/>
      <c r="E289" s="28"/>
      <c r="F289" s="28"/>
    </row>
    <row r="290">
      <c r="A290" s="28"/>
      <c r="B290" s="28"/>
      <c r="C290" s="28"/>
      <c r="D290" s="28"/>
      <c r="E290" s="28"/>
      <c r="F290" s="28"/>
    </row>
    <row r="291">
      <c r="A291" s="28"/>
      <c r="B291" s="28"/>
      <c r="C291" s="28"/>
      <c r="D291" s="28"/>
      <c r="E291" s="28"/>
      <c r="F291" s="28"/>
    </row>
    <row r="292">
      <c r="A292" s="28"/>
      <c r="B292" s="28"/>
      <c r="C292" s="28"/>
      <c r="D292" s="28"/>
      <c r="E292" s="28"/>
      <c r="F292" s="28"/>
    </row>
    <row r="293">
      <c r="A293" s="28"/>
      <c r="B293" s="28"/>
      <c r="C293" s="28"/>
      <c r="D293" s="28"/>
      <c r="E293" s="28"/>
      <c r="F293" s="28"/>
    </row>
    <row r="294">
      <c r="A294" s="28"/>
      <c r="B294" s="28"/>
      <c r="C294" s="28"/>
      <c r="D294" s="28"/>
      <c r="E294" s="28"/>
      <c r="F294" s="28"/>
    </row>
    <row r="295">
      <c r="A295" s="28"/>
      <c r="B295" s="28"/>
      <c r="C295" s="28"/>
      <c r="D295" s="28"/>
      <c r="E295" s="28"/>
      <c r="F295" s="28"/>
    </row>
    <row r="296">
      <c r="A296" s="28"/>
      <c r="B296" s="28"/>
      <c r="C296" s="28"/>
      <c r="D296" s="28"/>
      <c r="E296" s="28"/>
      <c r="F296" s="28"/>
    </row>
    <row r="297">
      <c r="A297" s="28"/>
      <c r="B297" s="28"/>
      <c r="C297" s="28"/>
      <c r="D297" s="28"/>
      <c r="E297" s="28"/>
      <c r="F297" s="28"/>
    </row>
    <row r="298">
      <c r="A298" s="28"/>
      <c r="B298" s="28"/>
      <c r="C298" s="28"/>
      <c r="D298" s="28"/>
      <c r="E298" s="28"/>
      <c r="F298" s="28"/>
    </row>
    <row r="299">
      <c r="A299" s="28"/>
      <c r="B299" s="28"/>
      <c r="C299" s="28"/>
      <c r="D299" s="28"/>
      <c r="E299" s="28"/>
      <c r="F299" s="28"/>
    </row>
    <row r="300">
      <c r="A300" s="28"/>
      <c r="B300" s="28"/>
      <c r="C300" s="28"/>
      <c r="D300" s="28"/>
      <c r="E300" s="28"/>
      <c r="F300" s="28"/>
    </row>
    <row r="301">
      <c r="A301" s="28"/>
      <c r="B301" s="28"/>
      <c r="C301" s="28"/>
      <c r="D301" s="28"/>
      <c r="E301" s="28"/>
      <c r="F301" s="28"/>
    </row>
    <row r="302">
      <c r="A302" s="28"/>
      <c r="B302" s="28"/>
      <c r="C302" s="28"/>
      <c r="D302" s="28"/>
      <c r="E302" s="28"/>
      <c r="F302" s="28"/>
    </row>
    <row r="303">
      <c r="A303" s="28"/>
      <c r="B303" s="28"/>
      <c r="C303" s="28"/>
      <c r="D303" s="28"/>
      <c r="E303" s="28"/>
      <c r="F303" s="28"/>
    </row>
    <row r="304">
      <c r="A304" s="28"/>
      <c r="B304" s="28"/>
      <c r="C304" s="28"/>
      <c r="D304" s="28"/>
      <c r="E304" s="28"/>
      <c r="F304" s="28"/>
    </row>
    <row r="305">
      <c r="A305" s="28"/>
      <c r="B305" s="28"/>
      <c r="C305" s="28"/>
      <c r="D305" s="28"/>
      <c r="E305" s="28"/>
      <c r="F305" s="28"/>
    </row>
    <row r="306">
      <c r="A306" s="28"/>
      <c r="B306" s="28"/>
      <c r="C306" s="28"/>
      <c r="D306" s="28"/>
      <c r="E306" s="28"/>
      <c r="F306" s="28"/>
    </row>
    <row r="307">
      <c r="A307" s="28"/>
      <c r="B307" s="28"/>
      <c r="C307" s="28"/>
      <c r="D307" s="28"/>
      <c r="E307" s="28"/>
      <c r="F307" s="28"/>
    </row>
    <row r="308">
      <c r="A308" s="28"/>
      <c r="B308" s="28"/>
      <c r="C308" s="28"/>
      <c r="D308" s="28"/>
      <c r="E308" s="28"/>
      <c r="F308" s="28"/>
    </row>
    <row r="309">
      <c r="A309" s="28"/>
      <c r="B309" s="28"/>
      <c r="C309" s="28"/>
      <c r="D309" s="28"/>
      <c r="E309" s="28"/>
      <c r="F309" s="28"/>
    </row>
    <row r="310">
      <c r="A310" s="28"/>
      <c r="B310" s="28"/>
      <c r="C310" s="28"/>
      <c r="D310" s="28"/>
      <c r="E310" s="28"/>
      <c r="F310" s="28"/>
    </row>
    <row r="311">
      <c r="A311" s="28"/>
      <c r="B311" s="28"/>
      <c r="C311" s="28"/>
      <c r="D311" s="28"/>
      <c r="E311" s="28"/>
      <c r="F311" s="28"/>
    </row>
    <row r="312">
      <c r="A312" s="28"/>
      <c r="B312" s="28"/>
      <c r="C312" s="28"/>
      <c r="D312" s="28"/>
      <c r="E312" s="28"/>
      <c r="F312" s="28"/>
    </row>
    <row r="313">
      <c r="A313" s="28"/>
      <c r="B313" s="28"/>
      <c r="C313" s="28"/>
      <c r="D313" s="28"/>
      <c r="E313" s="28"/>
      <c r="F313" s="28"/>
    </row>
    <row r="314">
      <c r="A314" s="28"/>
      <c r="B314" s="28"/>
      <c r="C314" s="28"/>
      <c r="D314" s="28"/>
      <c r="E314" s="28"/>
      <c r="F314" s="28"/>
    </row>
    <row r="315">
      <c r="A315" s="28"/>
      <c r="B315" s="28"/>
      <c r="C315" s="28"/>
      <c r="D315" s="28"/>
      <c r="E315" s="28"/>
      <c r="F315" s="28"/>
    </row>
    <row r="316">
      <c r="A316" s="28"/>
      <c r="B316" s="28"/>
      <c r="C316" s="28"/>
      <c r="D316" s="28"/>
      <c r="E316" s="28"/>
      <c r="F316" s="28"/>
    </row>
    <row r="317">
      <c r="A317" s="28"/>
      <c r="B317" s="28"/>
      <c r="C317" s="28"/>
      <c r="D317" s="28"/>
      <c r="E317" s="28"/>
      <c r="F317" s="28"/>
    </row>
    <row r="318">
      <c r="A318" s="28"/>
      <c r="B318" s="28"/>
      <c r="C318" s="28"/>
      <c r="D318" s="28"/>
      <c r="E318" s="28"/>
      <c r="F318" s="28"/>
    </row>
    <row r="319">
      <c r="A319" s="28"/>
      <c r="B319" s="28"/>
      <c r="C319" s="28"/>
      <c r="D319" s="28"/>
      <c r="E319" s="28"/>
      <c r="F319" s="28"/>
    </row>
    <row r="320">
      <c r="A320" s="28"/>
      <c r="B320" s="28"/>
      <c r="C320" s="28"/>
      <c r="D320" s="28"/>
      <c r="E320" s="28"/>
      <c r="F320" s="28"/>
    </row>
    <row r="321">
      <c r="A321" s="28"/>
      <c r="B321" s="28"/>
      <c r="C321" s="28"/>
      <c r="D321" s="28"/>
      <c r="E321" s="28"/>
      <c r="F321" s="28"/>
    </row>
    <row r="322">
      <c r="A322" s="28"/>
      <c r="B322" s="28"/>
      <c r="C322" s="28"/>
      <c r="D322" s="28"/>
      <c r="E322" s="28"/>
      <c r="F322" s="28"/>
    </row>
    <row r="323">
      <c r="A323" s="28"/>
      <c r="B323" s="28"/>
      <c r="C323" s="28"/>
      <c r="D323" s="28"/>
      <c r="E323" s="28"/>
      <c r="F323" s="28"/>
    </row>
    <row r="324">
      <c r="A324" s="28"/>
      <c r="B324" s="28"/>
      <c r="C324" s="28"/>
      <c r="D324" s="28"/>
      <c r="E324" s="28"/>
      <c r="F324" s="28"/>
    </row>
    <row r="325">
      <c r="A325" s="28"/>
      <c r="B325" s="28"/>
      <c r="C325" s="28"/>
      <c r="D325" s="28"/>
      <c r="E325" s="28"/>
      <c r="F325" s="28"/>
    </row>
    <row r="326">
      <c r="A326" s="28"/>
      <c r="B326" s="28"/>
      <c r="C326" s="28"/>
      <c r="D326" s="28"/>
      <c r="E326" s="28"/>
      <c r="F326" s="28"/>
    </row>
    <row r="327">
      <c r="A327" s="28"/>
      <c r="B327" s="28"/>
      <c r="C327" s="28"/>
      <c r="D327" s="28"/>
      <c r="E327" s="28"/>
      <c r="F327" s="28"/>
    </row>
    <row r="328">
      <c r="A328" s="28"/>
      <c r="B328" s="28"/>
      <c r="C328" s="28"/>
      <c r="D328" s="28"/>
      <c r="E328" s="28"/>
      <c r="F328" s="28"/>
    </row>
    <row r="329">
      <c r="A329" s="28"/>
      <c r="B329" s="28"/>
      <c r="C329" s="28"/>
      <c r="D329" s="28"/>
      <c r="E329" s="28"/>
      <c r="F329" s="28"/>
    </row>
    <row r="330">
      <c r="A330" s="28"/>
      <c r="B330" s="28"/>
      <c r="C330" s="28"/>
      <c r="D330" s="28"/>
      <c r="E330" s="28"/>
      <c r="F330" s="28"/>
    </row>
    <row r="331">
      <c r="A331" s="28"/>
      <c r="B331" s="28"/>
      <c r="C331" s="28"/>
      <c r="D331" s="28"/>
      <c r="E331" s="28"/>
      <c r="F331" s="28"/>
    </row>
    <row r="332">
      <c r="A332" s="28"/>
      <c r="B332" s="28"/>
      <c r="C332" s="28"/>
      <c r="D332" s="28"/>
      <c r="E332" s="28"/>
      <c r="F332" s="28"/>
    </row>
    <row r="333">
      <c r="A333" s="28"/>
      <c r="B333" s="28"/>
      <c r="C333" s="28"/>
      <c r="D333" s="28"/>
      <c r="E333" s="28"/>
      <c r="F333" s="28"/>
    </row>
    <row r="334">
      <c r="A334" s="28"/>
      <c r="B334" s="28"/>
      <c r="C334" s="28"/>
      <c r="D334" s="28"/>
      <c r="E334" s="28"/>
      <c r="F334" s="28"/>
    </row>
    <row r="335">
      <c r="A335" s="28"/>
      <c r="B335" s="28"/>
      <c r="C335" s="28"/>
      <c r="D335" s="28"/>
      <c r="E335" s="28"/>
      <c r="F335" s="28"/>
    </row>
    <row r="336">
      <c r="A336" s="28"/>
      <c r="B336" s="28"/>
      <c r="C336" s="28"/>
      <c r="D336" s="28"/>
      <c r="E336" s="28"/>
      <c r="F336" s="28"/>
    </row>
    <row r="337">
      <c r="A337" s="28"/>
      <c r="B337" s="28"/>
      <c r="C337" s="28"/>
      <c r="D337" s="28"/>
      <c r="E337" s="28"/>
      <c r="F337" s="28"/>
    </row>
    <row r="338">
      <c r="A338" s="28"/>
      <c r="B338" s="28"/>
      <c r="C338" s="28"/>
      <c r="D338" s="28"/>
      <c r="E338" s="28"/>
      <c r="F338" s="28"/>
    </row>
    <row r="339">
      <c r="A339" s="28"/>
      <c r="B339" s="28"/>
      <c r="C339" s="28"/>
      <c r="D339" s="28"/>
      <c r="E339" s="28"/>
      <c r="F339" s="28"/>
    </row>
    <row r="340">
      <c r="A340" s="28"/>
      <c r="B340" s="28"/>
      <c r="C340" s="28"/>
      <c r="D340" s="28"/>
      <c r="E340" s="28"/>
      <c r="F340" s="28"/>
    </row>
    <row r="341">
      <c r="A341" s="28"/>
      <c r="B341" s="28"/>
      <c r="C341" s="28"/>
      <c r="D341" s="28"/>
      <c r="E341" s="28"/>
      <c r="F341" s="28"/>
    </row>
    <row r="342">
      <c r="A342" s="28"/>
      <c r="B342" s="28"/>
      <c r="C342" s="28"/>
      <c r="D342" s="28"/>
      <c r="E342" s="28"/>
      <c r="F342" s="28"/>
    </row>
    <row r="343">
      <c r="A343" s="28"/>
      <c r="B343" s="28"/>
      <c r="C343" s="28"/>
      <c r="D343" s="28"/>
      <c r="E343" s="28"/>
      <c r="F343" s="28"/>
    </row>
    <row r="344">
      <c r="A344" s="28"/>
      <c r="B344" s="28"/>
      <c r="C344" s="28"/>
      <c r="D344" s="28"/>
      <c r="E344" s="28"/>
      <c r="F344" s="28"/>
    </row>
    <row r="345">
      <c r="A345" s="28"/>
      <c r="B345" s="28"/>
      <c r="C345" s="28"/>
      <c r="D345" s="28"/>
      <c r="E345" s="28"/>
      <c r="F345" s="28"/>
    </row>
    <row r="346">
      <c r="A346" s="28"/>
      <c r="B346" s="28"/>
      <c r="C346" s="28"/>
      <c r="D346" s="28"/>
      <c r="E346" s="28"/>
      <c r="F346" s="28"/>
    </row>
    <row r="347">
      <c r="A347" s="28"/>
      <c r="B347" s="28"/>
      <c r="C347" s="28"/>
      <c r="D347" s="28"/>
      <c r="E347" s="28"/>
      <c r="F347" s="28"/>
    </row>
    <row r="348">
      <c r="A348" s="28"/>
      <c r="B348" s="28"/>
      <c r="C348" s="28"/>
      <c r="D348" s="28"/>
      <c r="E348" s="28"/>
      <c r="F348" s="28"/>
    </row>
    <row r="349">
      <c r="A349" s="28"/>
      <c r="B349" s="28"/>
      <c r="C349" s="28"/>
      <c r="D349" s="28"/>
      <c r="E349" s="28"/>
      <c r="F349" s="28"/>
    </row>
    <row r="350">
      <c r="A350" s="28"/>
      <c r="B350" s="28"/>
      <c r="C350" s="28"/>
      <c r="D350" s="28"/>
      <c r="E350" s="28"/>
      <c r="F350" s="28"/>
    </row>
    <row r="351">
      <c r="A351" s="28"/>
      <c r="B351" s="28"/>
      <c r="C351" s="28"/>
      <c r="D351" s="28"/>
      <c r="E351" s="28"/>
      <c r="F351" s="28"/>
    </row>
    <row r="352">
      <c r="A352" s="28"/>
      <c r="B352" s="28"/>
      <c r="C352" s="28"/>
      <c r="D352" s="28"/>
      <c r="E352" s="28"/>
      <c r="F352" s="28"/>
    </row>
    <row r="353">
      <c r="A353" s="28"/>
      <c r="B353" s="28"/>
      <c r="C353" s="28"/>
      <c r="D353" s="28"/>
      <c r="E353" s="28"/>
      <c r="F353" s="28"/>
    </row>
    <row r="354">
      <c r="A354" s="28"/>
      <c r="B354" s="28"/>
      <c r="C354" s="28"/>
      <c r="D354" s="28"/>
      <c r="E354" s="28"/>
      <c r="F354" s="28"/>
    </row>
    <row r="355">
      <c r="A355" s="28"/>
      <c r="B355" s="28"/>
      <c r="C355" s="28"/>
      <c r="D355" s="28"/>
      <c r="E355" s="28"/>
      <c r="F355" s="28"/>
    </row>
    <row r="356">
      <c r="A356" s="28"/>
      <c r="B356" s="28"/>
      <c r="C356" s="28"/>
      <c r="D356" s="28"/>
      <c r="E356" s="28"/>
      <c r="F356" s="28"/>
    </row>
    <row r="357">
      <c r="A357" s="28"/>
      <c r="B357" s="28"/>
      <c r="C357" s="28"/>
      <c r="D357" s="28"/>
      <c r="E357" s="28"/>
      <c r="F357" s="28"/>
    </row>
    <row r="358">
      <c r="A358" s="28"/>
      <c r="B358" s="28"/>
      <c r="C358" s="28"/>
      <c r="D358" s="28"/>
      <c r="E358" s="28"/>
      <c r="F358" s="28"/>
    </row>
    <row r="359">
      <c r="A359" s="28"/>
      <c r="B359" s="28"/>
      <c r="C359" s="28"/>
      <c r="D359" s="28"/>
      <c r="E359" s="28"/>
      <c r="F359" s="28"/>
    </row>
    <row r="360">
      <c r="A360" s="28"/>
      <c r="B360" s="28"/>
      <c r="C360" s="28"/>
      <c r="D360" s="28"/>
      <c r="E360" s="28"/>
      <c r="F360" s="28"/>
    </row>
    <row r="361">
      <c r="A361" s="28"/>
      <c r="B361" s="28"/>
      <c r="C361" s="28"/>
      <c r="D361" s="28"/>
      <c r="E361" s="28"/>
      <c r="F361" s="28"/>
    </row>
    <row r="362">
      <c r="A362" s="28"/>
      <c r="B362" s="28"/>
      <c r="C362" s="28"/>
      <c r="D362" s="28"/>
      <c r="E362" s="28"/>
      <c r="F362" s="28"/>
    </row>
    <row r="363">
      <c r="A363" s="28"/>
      <c r="B363" s="28"/>
      <c r="C363" s="28"/>
      <c r="D363" s="28"/>
      <c r="E363" s="28"/>
      <c r="F363" s="28"/>
    </row>
    <row r="364">
      <c r="A364" s="28"/>
      <c r="B364" s="28"/>
      <c r="C364" s="28"/>
      <c r="D364" s="28"/>
      <c r="E364" s="28"/>
      <c r="F364" s="28"/>
    </row>
    <row r="365">
      <c r="A365" s="28"/>
      <c r="B365" s="28"/>
      <c r="C365" s="28"/>
      <c r="D365" s="28"/>
      <c r="E365" s="28"/>
      <c r="F365" s="28"/>
    </row>
    <row r="366">
      <c r="A366" s="28"/>
      <c r="B366" s="28"/>
      <c r="C366" s="28"/>
      <c r="D366" s="28"/>
      <c r="E366" s="28"/>
      <c r="F366" s="28"/>
    </row>
    <row r="367">
      <c r="A367" s="28"/>
      <c r="B367" s="28"/>
      <c r="C367" s="28"/>
      <c r="D367" s="28"/>
      <c r="E367" s="28"/>
      <c r="F367" s="28"/>
    </row>
    <row r="368">
      <c r="A368" s="28"/>
      <c r="B368" s="28"/>
      <c r="C368" s="28"/>
      <c r="D368" s="28"/>
      <c r="E368" s="28"/>
      <c r="F368" s="28"/>
    </row>
    <row r="369">
      <c r="A369" s="28"/>
      <c r="B369" s="28"/>
      <c r="C369" s="28"/>
      <c r="D369" s="28"/>
      <c r="E369" s="28"/>
      <c r="F369" s="28"/>
    </row>
    <row r="370">
      <c r="A370" s="28"/>
      <c r="B370" s="28"/>
      <c r="C370" s="28"/>
      <c r="D370" s="28"/>
      <c r="E370" s="28"/>
      <c r="F370" s="28"/>
    </row>
    <row r="371">
      <c r="A371" s="28"/>
      <c r="B371" s="28"/>
      <c r="C371" s="28"/>
      <c r="D371" s="28"/>
      <c r="E371" s="28"/>
      <c r="F371" s="28"/>
    </row>
    <row r="372">
      <c r="A372" s="28"/>
      <c r="B372" s="28"/>
      <c r="C372" s="28"/>
      <c r="D372" s="28"/>
      <c r="E372" s="28"/>
      <c r="F372" s="28"/>
    </row>
    <row r="373">
      <c r="A373" s="28"/>
      <c r="B373" s="28"/>
      <c r="C373" s="28"/>
      <c r="D373" s="28"/>
      <c r="E373" s="28"/>
      <c r="F373" s="28"/>
    </row>
    <row r="374">
      <c r="A374" s="28"/>
      <c r="B374" s="28"/>
      <c r="C374" s="28"/>
      <c r="D374" s="28"/>
      <c r="E374" s="28"/>
      <c r="F374" s="28"/>
    </row>
    <row r="375">
      <c r="A375" s="28"/>
      <c r="B375" s="28"/>
      <c r="C375" s="28"/>
      <c r="D375" s="28"/>
      <c r="E375" s="28"/>
      <c r="F375" s="28"/>
    </row>
    <row r="376">
      <c r="A376" s="28"/>
      <c r="B376" s="28"/>
      <c r="C376" s="28"/>
      <c r="D376" s="28"/>
      <c r="E376" s="28"/>
      <c r="F376" s="28"/>
    </row>
    <row r="377">
      <c r="A377" s="28"/>
      <c r="B377" s="28"/>
      <c r="C377" s="28"/>
      <c r="D377" s="28"/>
      <c r="E377" s="28"/>
      <c r="F377" s="28"/>
    </row>
    <row r="378">
      <c r="A378" s="28"/>
      <c r="B378" s="28"/>
      <c r="C378" s="28"/>
      <c r="D378" s="28"/>
      <c r="E378" s="28"/>
      <c r="F378" s="28"/>
    </row>
    <row r="379">
      <c r="A379" s="28"/>
      <c r="B379" s="28"/>
      <c r="C379" s="28"/>
      <c r="D379" s="28"/>
      <c r="E379" s="28"/>
      <c r="F379" s="28"/>
    </row>
    <row r="380">
      <c r="A380" s="28"/>
      <c r="B380" s="28"/>
      <c r="C380" s="28"/>
      <c r="D380" s="28"/>
      <c r="E380" s="28"/>
      <c r="F380" s="28"/>
    </row>
    <row r="381">
      <c r="A381" s="28"/>
      <c r="B381" s="28"/>
      <c r="C381" s="28"/>
      <c r="D381" s="28"/>
      <c r="E381" s="28"/>
      <c r="F381" s="28"/>
    </row>
    <row r="382">
      <c r="A382" s="28"/>
      <c r="B382" s="28"/>
      <c r="C382" s="28"/>
      <c r="D382" s="28"/>
      <c r="E382" s="28"/>
      <c r="F382" s="28"/>
    </row>
    <row r="383">
      <c r="A383" s="28"/>
      <c r="B383" s="28"/>
      <c r="C383" s="28"/>
      <c r="D383" s="28"/>
      <c r="E383" s="28"/>
      <c r="F383" s="28"/>
    </row>
    <row r="384">
      <c r="A384" s="28"/>
      <c r="B384" s="28"/>
      <c r="C384" s="28"/>
      <c r="D384" s="28"/>
      <c r="E384" s="28"/>
      <c r="F384" s="28"/>
    </row>
    <row r="385">
      <c r="A385" s="28"/>
      <c r="B385" s="28"/>
      <c r="C385" s="28"/>
      <c r="D385" s="28"/>
      <c r="E385" s="28"/>
      <c r="F385" s="28"/>
    </row>
    <row r="386">
      <c r="A386" s="28"/>
      <c r="B386" s="28"/>
      <c r="C386" s="28"/>
      <c r="D386" s="28"/>
      <c r="E386" s="28"/>
      <c r="F386" s="28"/>
    </row>
    <row r="387">
      <c r="A387" s="28"/>
      <c r="B387" s="28"/>
      <c r="C387" s="28"/>
      <c r="D387" s="28"/>
      <c r="E387" s="28"/>
      <c r="F387" s="28"/>
    </row>
    <row r="388">
      <c r="A388" s="28"/>
      <c r="B388" s="28"/>
      <c r="C388" s="28"/>
      <c r="D388" s="28"/>
      <c r="E388" s="28"/>
      <c r="F388" s="28"/>
    </row>
    <row r="389">
      <c r="A389" s="28"/>
      <c r="B389" s="28"/>
      <c r="C389" s="28"/>
      <c r="D389" s="28"/>
      <c r="E389" s="28"/>
      <c r="F389" s="28"/>
    </row>
    <row r="390">
      <c r="A390" s="28"/>
      <c r="B390" s="28"/>
      <c r="C390" s="28"/>
      <c r="D390" s="28"/>
      <c r="E390" s="28"/>
      <c r="F390" s="28"/>
    </row>
    <row r="391">
      <c r="A391" s="28"/>
      <c r="B391" s="28"/>
      <c r="C391" s="28"/>
      <c r="D391" s="28"/>
      <c r="E391" s="28"/>
      <c r="F391" s="28"/>
    </row>
    <row r="392">
      <c r="A392" s="28"/>
      <c r="B392" s="28"/>
      <c r="C392" s="28"/>
      <c r="D392" s="28"/>
      <c r="E392" s="28"/>
      <c r="F392" s="28"/>
    </row>
    <row r="393">
      <c r="A393" s="28"/>
      <c r="B393" s="28"/>
      <c r="C393" s="28"/>
      <c r="D393" s="28"/>
      <c r="E393" s="28"/>
      <c r="F393" s="28"/>
    </row>
    <row r="394">
      <c r="A394" s="28"/>
      <c r="B394" s="28"/>
      <c r="C394" s="28"/>
      <c r="D394" s="28"/>
      <c r="E394" s="28"/>
      <c r="F394" s="28"/>
    </row>
    <row r="395">
      <c r="A395" s="28"/>
      <c r="B395" s="28"/>
      <c r="C395" s="28"/>
      <c r="D395" s="28"/>
      <c r="E395" s="28"/>
      <c r="F395" s="28"/>
    </row>
    <row r="396">
      <c r="A396" s="28"/>
      <c r="B396" s="28"/>
      <c r="C396" s="28"/>
      <c r="D396" s="28"/>
      <c r="E396" s="28"/>
      <c r="F396" s="28"/>
    </row>
    <row r="397">
      <c r="A397" s="28"/>
      <c r="B397" s="28"/>
      <c r="C397" s="28"/>
      <c r="D397" s="28"/>
      <c r="E397" s="28"/>
      <c r="F397" s="28"/>
    </row>
    <row r="398">
      <c r="A398" s="28"/>
      <c r="B398" s="28"/>
      <c r="C398" s="28"/>
      <c r="D398" s="28"/>
      <c r="E398" s="28"/>
      <c r="F398" s="28"/>
    </row>
    <row r="399">
      <c r="A399" s="28"/>
      <c r="B399" s="28"/>
      <c r="C399" s="28"/>
      <c r="D399" s="28"/>
      <c r="E399" s="28"/>
      <c r="F399" s="28"/>
    </row>
    <row r="400">
      <c r="A400" s="28"/>
      <c r="B400" s="28"/>
      <c r="C400" s="28"/>
      <c r="D400" s="28"/>
      <c r="E400" s="28"/>
      <c r="F400" s="28"/>
    </row>
    <row r="401">
      <c r="A401" s="28"/>
      <c r="B401" s="28"/>
      <c r="C401" s="28"/>
      <c r="D401" s="28"/>
      <c r="E401" s="28"/>
      <c r="F401" s="28"/>
    </row>
    <row r="402">
      <c r="A402" s="28"/>
      <c r="B402" s="28"/>
      <c r="C402" s="28"/>
      <c r="D402" s="28"/>
      <c r="E402" s="28"/>
      <c r="F402" s="28"/>
    </row>
    <row r="403">
      <c r="A403" s="28"/>
      <c r="B403" s="28"/>
      <c r="C403" s="28"/>
      <c r="D403" s="28"/>
      <c r="E403" s="28"/>
      <c r="F403" s="28"/>
    </row>
    <row r="404">
      <c r="A404" s="28"/>
      <c r="B404" s="28"/>
      <c r="C404" s="28"/>
      <c r="D404" s="28"/>
      <c r="E404" s="28"/>
      <c r="F404" s="28"/>
    </row>
    <row r="405">
      <c r="A405" s="28"/>
      <c r="B405" s="28"/>
      <c r="C405" s="28"/>
      <c r="D405" s="28"/>
      <c r="E405" s="28"/>
      <c r="F405" s="28"/>
    </row>
    <row r="406">
      <c r="A406" s="28"/>
      <c r="B406" s="28"/>
      <c r="C406" s="28"/>
      <c r="D406" s="28"/>
      <c r="E406" s="28"/>
      <c r="F406" s="28"/>
    </row>
    <row r="407">
      <c r="A407" s="28"/>
      <c r="B407" s="28"/>
      <c r="C407" s="28"/>
      <c r="D407" s="28"/>
      <c r="E407" s="28"/>
      <c r="F407" s="28"/>
    </row>
    <row r="408">
      <c r="A408" s="28"/>
      <c r="B408" s="28"/>
      <c r="C408" s="28"/>
      <c r="D408" s="28"/>
      <c r="E408" s="28"/>
      <c r="F408" s="28"/>
    </row>
    <row r="409">
      <c r="A409" s="28"/>
      <c r="B409" s="28"/>
      <c r="C409" s="28"/>
      <c r="D409" s="28"/>
      <c r="E409" s="28"/>
      <c r="F409" s="28"/>
    </row>
    <row r="410">
      <c r="A410" s="28"/>
      <c r="B410" s="28"/>
      <c r="C410" s="28"/>
      <c r="D410" s="28"/>
      <c r="E410" s="28"/>
      <c r="F410" s="28"/>
    </row>
    <row r="411">
      <c r="A411" s="28"/>
      <c r="B411" s="28"/>
      <c r="C411" s="28"/>
      <c r="D411" s="28"/>
      <c r="E411" s="28"/>
      <c r="F411" s="28"/>
    </row>
    <row r="412">
      <c r="A412" s="28"/>
      <c r="B412" s="28"/>
      <c r="C412" s="28"/>
      <c r="D412" s="28"/>
      <c r="E412" s="28"/>
      <c r="F412" s="28"/>
    </row>
    <row r="413">
      <c r="A413" s="28"/>
      <c r="B413" s="28"/>
      <c r="C413" s="28"/>
      <c r="D413" s="28"/>
      <c r="E413" s="28"/>
      <c r="F413" s="28"/>
    </row>
    <row r="414">
      <c r="A414" s="28"/>
      <c r="B414" s="28"/>
      <c r="C414" s="28"/>
      <c r="D414" s="28"/>
      <c r="E414" s="28"/>
      <c r="F414" s="28"/>
    </row>
    <row r="415">
      <c r="A415" s="28"/>
      <c r="B415" s="28"/>
      <c r="C415" s="28"/>
      <c r="D415" s="28"/>
      <c r="E415" s="28"/>
      <c r="F415" s="28"/>
    </row>
    <row r="416">
      <c r="A416" s="28"/>
      <c r="B416" s="28"/>
      <c r="C416" s="28"/>
      <c r="D416" s="28"/>
      <c r="E416" s="28"/>
      <c r="F416" s="28"/>
    </row>
    <row r="417">
      <c r="A417" s="28"/>
      <c r="B417" s="28"/>
      <c r="C417" s="28"/>
      <c r="D417" s="28"/>
      <c r="E417" s="28"/>
      <c r="F417" s="28"/>
    </row>
    <row r="418">
      <c r="A418" s="28"/>
      <c r="B418" s="28"/>
      <c r="C418" s="28"/>
      <c r="D418" s="28"/>
      <c r="E418" s="28"/>
      <c r="F418" s="28"/>
    </row>
    <row r="419">
      <c r="A419" s="28"/>
      <c r="B419" s="28"/>
      <c r="C419" s="28"/>
      <c r="D419" s="28"/>
      <c r="E419" s="28"/>
      <c r="F419" s="28"/>
    </row>
    <row r="420">
      <c r="A420" s="28"/>
      <c r="B420" s="28"/>
      <c r="C420" s="28"/>
      <c r="D420" s="28"/>
      <c r="E420" s="28"/>
      <c r="F420" s="28"/>
    </row>
    <row r="421">
      <c r="A421" s="28"/>
      <c r="B421" s="28"/>
      <c r="C421" s="28"/>
      <c r="D421" s="28"/>
      <c r="E421" s="28"/>
      <c r="F421" s="28"/>
    </row>
    <row r="422">
      <c r="A422" s="28"/>
      <c r="B422" s="28"/>
      <c r="C422" s="28"/>
      <c r="D422" s="28"/>
      <c r="E422" s="28"/>
      <c r="F422" s="28"/>
    </row>
    <row r="423">
      <c r="A423" s="28"/>
      <c r="B423" s="28"/>
      <c r="C423" s="28"/>
      <c r="D423" s="28"/>
      <c r="E423" s="28"/>
      <c r="F423" s="28"/>
    </row>
    <row r="424">
      <c r="A424" s="28"/>
      <c r="B424" s="28"/>
      <c r="C424" s="28"/>
      <c r="D424" s="28"/>
      <c r="E424" s="28"/>
      <c r="F424" s="28"/>
    </row>
    <row r="425">
      <c r="A425" s="28"/>
      <c r="B425" s="28"/>
      <c r="C425" s="28"/>
      <c r="D425" s="28"/>
      <c r="E425" s="28"/>
      <c r="F425" s="28"/>
    </row>
    <row r="426">
      <c r="A426" s="28"/>
      <c r="B426" s="28"/>
      <c r="C426" s="28"/>
      <c r="D426" s="28"/>
      <c r="E426" s="28"/>
      <c r="F426" s="28"/>
    </row>
    <row r="427">
      <c r="A427" s="28"/>
      <c r="B427" s="28"/>
      <c r="C427" s="28"/>
      <c r="D427" s="28"/>
      <c r="E427" s="28"/>
      <c r="F427" s="28"/>
    </row>
    <row r="428">
      <c r="A428" s="28"/>
      <c r="B428" s="28"/>
      <c r="C428" s="28"/>
      <c r="D428" s="28"/>
      <c r="E428" s="28"/>
      <c r="F428" s="28"/>
    </row>
    <row r="429">
      <c r="A429" s="28"/>
      <c r="B429" s="28"/>
      <c r="C429" s="28"/>
      <c r="D429" s="28"/>
      <c r="E429" s="28"/>
      <c r="F429" s="28"/>
    </row>
    <row r="430">
      <c r="A430" s="28"/>
      <c r="B430" s="28"/>
      <c r="C430" s="28"/>
      <c r="D430" s="28"/>
      <c r="E430" s="28"/>
      <c r="F430" s="28"/>
    </row>
    <row r="431">
      <c r="A431" s="28"/>
      <c r="B431" s="28"/>
      <c r="C431" s="28"/>
      <c r="D431" s="28"/>
      <c r="E431" s="28"/>
      <c r="F431" s="28"/>
    </row>
    <row r="432">
      <c r="A432" s="28"/>
      <c r="B432" s="28"/>
      <c r="C432" s="28"/>
      <c r="D432" s="28"/>
      <c r="E432" s="28"/>
      <c r="F432" s="28"/>
    </row>
    <row r="433">
      <c r="A433" s="28"/>
      <c r="B433" s="28"/>
      <c r="C433" s="28"/>
      <c r="D433" s="28"/>
      <c r="E433" s="28"/>
      <c r="F433" s="28"/>
    </row>
    <row r="434">
      <c r="A434" s="28"/>
      <c r="B434" s="28"/>
      <c r="C434" s="28"/>
      <c r="D434" s="28"/>
      <c r="E434" s="28"/>
      <c r="F434" s="28"/>
    </row>
    <row r="435">
      <c r="A435" s="28"/>
      <c r="B435" s="28"/>
      <c r="C435" s="28"/>
      <c r="D435" s="28"/>
      <c r="E435" s="28"/>
      <c r="F435" s="28"/>
    </row>
    <row r="436">
      <c r="A436" s="28"/>
      <c r="B436" s="28"/>
      <c r="C436" s="28"/>
      <c r="D436" s="28"/>
      <c r="E436" s="28"/>
      <c r="F436" s="28"/>
    </row>
    <row r="437">
      <c r="A437" s="28"/>
      <c r="B437" s="28"/>
      <c r="C437" s="28"/>
      <c r="D437" s="28"/>
      <c r="E437" s="28"/>
      <c r="F437" s="28"/>
    </row>
    <row r="438">
      <c r="A438" s="28"/>
      <c r="B438" s="28"/>
      <c r="C438" s="28"/>
      <c r="D438" s="28"/>
      <c r="E438" s="28"/>
      <c r="F438" s="28"/>
    </row>
    <row r="439">
      <c r="A439" s="28"/>
      <c r="B439" s="28"/>
      <c r="C439" s="28"/>
      <c r="D439" s="28"/>
      <c r="E439" s="28"/>
      <c r="F439" s="28"/>
    </row>
    <row r="440">
      <c r="A440" s="28"/>
      <c r="B440" s="28"/>
      <c r="C440" s="28"/>
      <c r="D440" s="28"/>
      <c r="E440" s="28"/>
      <c r="F440" s="28"/>
    </row>
    <row r="441">
      <c r="A441" s="28"/>
      <c r="B441" s="28"/>
      <c r="C441" s="28"/>
      <c r="D441" s="28"/>
      <c r="E441" s="28"/>
      <c r="F441" s="28"/>
    </row>
    <row r="442">
      <c r="A442" s="28"/>
      <c r="B442" s="28"/>
      <c r="C442" s="28"/>
      <c r="D442" s="28"/>
      <c r="E442" s="28"/>
      <c r="F442" s="28"/>
    </row>
    <row r="443">
      <c r="A443" s="28"/>
      <c r="B443" s="28"/>
      <c r="C443" s="28"/>
      <c r="D443" s="28"/>
      <c r="E443" s="28"/>
      <c r="F443" s="28"/>
    </row>
    <row r="444">
      <c r="A444" s="28"/>
      <c r="B444" s="28"/>
      <c r="C444" s="28"/>
      <c r="D444" s="28"/>
      <c r="E444" s="28"/>
      <c r="F444" s="28"/>
    </row>
    <row r="445">
      <c r="A445" s="28"/>
      <c r="B445" s="28"/>
      <c r="C445" s="28"/>
      <c r="D445" s="28"/>
      <c r="E445" s="28"/>
      <c r="F445" s="28"/>
    </row>
    <row r="446">
      <c r="A446" s="28"/>
      <c r="B446" s="28"/>
      <c r="C446" s="28"/>
      <c r="D446" s="28"/>
      <c r="E446" s="28"/>
      <c r="F446" s="28"/>
    </row>
    <row r="447">
      <c r="A447" s="28"/>
      <c r="B447" s="28"/>
      <c r="C447" s="28"/>
      <c r="D447" s="28"/>
      <c r="E447" s="28"/>
      <c r="F447" s="28"/>
    </row>
    <row r="448">
      <c r="A448" s="28"/>
      <c r="B448" s="28"/>
      <c r="C448" s="28"/>
      <c r="D448" s="28"/>
      <c r="E448" s="28"/>
      <c r="F448" s="28"/>
    </row>
    <row r="449">
      <c r="A449" s="28"/>
      <c r="B449" s="28"/>
      <c r="C449" s="28"/>
      <c r="D449" s="28"/>
      <c r="E449" s="28"/>
      <c r="F449" s="28"/>
    </row>
    <row r="450">
      <c r="A450" s="28"/>
      <c r="B450" s="28"/>
      <c r="C450" s="28"/>
      <c r="D450" s="28"/>
      <c r="E450" s="28"/>
      <c r="F450" s="28"/>
    </row>
    <row r="451">
      <c r="A451" s="28"/>
      <c r="B451" s="28"/>
      <c r="C451" s="28"/>
      <c r="D451" s="28"/>
      <c r="E451" s="28"/>
      <c r="F451" s="28"/>
    </row>
    <row r="452">
      <c r="A452" s="28"/>
      <c r="B452" s="28"/>
      <c r="C452" s="28"/>
      <c r="D452" s="28"/>
      <c r="E452" s="28"/>
      <c r="F452" s="28"/>
    </row>
    <row r="453">
      <c r="A453" s="28"/>
      <c r="B453" s="28"/>
      <c r="C453" s="28"/>
      <c r="D453" s="28"/>
      <c r="E453" s="28"/>
      <c r="F453" s="28"/>
    </row>
    <row r="454">
      <c r="A454" s="28"/>
      <c r="B454" s="28"/>
      <c r="C454" s="28"/>
      <c r="D454" s="28"/>
      <c r="E454" s="28"/>
      <c r="F454" s="28"/>
    </row>
    <row r="455">
      <c r="A455" s="28"/>
      <c r="B455" s="28"/>
      <c r="C455" s="28"/>
      <c r="D455" s="28"/>
      <c r="E455" s="28"/>
      <c r="F455" s="28"/>
    </row>
    <row r="456">
      <c r="A456" s="28"/>
      <c r="B456" s="28"/>
      <c r="C456" s="28"/>
      <c r="D456" s="28"/>
      <c r="E456" s="28"/>
      <c r="F456" s="28"/>
    </row>
    <row r="457">
      <c r="A457" s="28"/>
      <c r="B457" s="28"/>
      <c r="C457" s="28"/>
      <c r="D457" s="28"/>
      <c r="E457" s="28"/>
      <c r="F457" s="28"/>
    </row>
    <row r="458">
      <c r="A458" s="28"/>
      <c r="B458" s="28"/>
      <c r="C458" s="28"/>
      <c r="D458" s="28"/>
      <c r="E458" s="28"/>
      <c r="F458" s="28"/>
    </row>
    <row r="459">
      <c r="A459" s="28"/>
      <c r="B459" s="28"/>
      <c r="C459" s="28"/>
      <c r="D459" s="28"/>
      <c r="E459" s="28"/>
      <c r="F459" s="28"/>
    </row>
    <row r="460">
      <c r="A460" s="28"/>
      <c r="B460" s="28"/>
      <c r="C460" s="28"/>
      <c r="D460" s="28"/>
      <c r="E460" s="28"/>
      <c r="F460" s="28"/>
    </row>
    <row r="461">
      <c r="A461" s="28"/>
      <c r="B461" s="28"/>
      <c r="C461" s="28"/>
      <c r="D461" s="28"/>
      <c r="E461" s="28"/>
      <c r="F461" s="28"/>
    </row>
    <row r="462">
      <c r="A462" s="28"/>
      <c r="B462" s="28"/>
      <c r="C462" s="28"/>
      <c r="D462" s="28"/>
      <c r="E462" s="28"/>
      <c r="F462" s="28"/>
    </row>
    <row r="463">
      <c r="A463" s="28"/>
      <c r="B463" s="28"/>
      <c r="C463" s="28"/>
      <c r="D463" s="28"/>
      <c r="E463" s="28"/>
      <c r="F463" s="28"/>
    </row>
    <row r="464">
      <c r="A464" s="28"/>
      <c r="B464" s="28"/>
      <c r="C464" s="28"/>
      <c r="D464" s="28"/>
      <c r="E464" s="28"/>
      <c r="F464" s="28"/>
    </row>
    <row r="465">
      <c r="A465" s="28"/>
      <c r="B465" s="28"/>
      <c r="C465" s="28"/>
      <c r="D465" s="28"/>
      <c r="E465" s="28"/>
      <c r="F465" s="28"/>
    </row>
    <row r="466">
      <c r="A466" s="28"/>
      <c r="B466" s="28"/>
      <c r="C466" s="28"/>
      <c r="D466" s="28"/>
      <c r="E466" s="28"/>
      <c r="F466" s="28"/>
    </row>
    <row r="467">
      <c r="A467" s="28"/>
      <c r="B467" s="28"/>
      <c r="C467" s="28"/>
      <c r="D467" s="28"/>
      <c r="E467" s="28"/>
      <c r="F467" s="28"/>
    </row>
    <row r="468">
      <c r="A468" s="28"/>
      <c r="B468" s="28"/>
      <c r="C468" s="28"/>
      <c r="D468" s="28"/>
      <c r="E468" s="28"/>
      <c r="F468" s="28"/>
    </row>
    <row r="469">
      <c r="A469" s="28"/>
      <c r="B469" s="28"/>
      <c r="C469" s="28"/>
      <c r="D469" s="28"/>
      <c r="E469" s="28"/>
      <c r="F469" s="28"/>
    </row>
    <row r="470">
      <c r="A470" s="28"/>
      <c r="B470" s="28"/>
      <c r="C470" s="28"/>
      <c r="D470" s="28"/>
      <c r="E470" s="28"/>
      <c r="F470" s="28"/>
    </row>
    <row r="471">
      <c r="A471" s="28"/>
      <c r="B471" s="28"/>
      <c r="C471" s="28"/>
      <c r="D471" s="28"/>
      <c r="E471" s="28"/>
      <c r="F471" s="28"/>
    </row>
    <row r="472">
      <c r="A472" s="28"/>
      <c r="B472" s="28"/>
      <c r="C472" s="28"/>
      <c r="D472" s="28"/>
      <c r="E472" s="28"/>
      <c r="F472" s="28"/>
    </row>
    <row r="473">
      <c r="A473" s="28"/>
      <c r="B473" s="28"/>
      <c r="C473" s="28"/>
      <c r="D473" s="28"/>
      <c r="E473" s="28"/>
      <c r="F473" s="28"/>
    </row>
    <row r="474">
      <c r="A474" s="28"/>
      <c r="B474" s="28"/>
      <c r="C474" s="28"/>
      <c r="D474" s="28"/>
      <c r="E474" s="28"/>
      <c r="F474" s="28"/>
    </row>
    <row r="475">
      <c r="A475" s="28"/>
      <c r="B475" s="28"/>
      <c r="C475" s="28"/>
      <c r="D475" s="28"/>
      <c r="E475" s="28"/>
      <c r="F475" s="28"/>
    </row>
    <row r="476">
      <c r="A476" s="28"/>
      <c r="B476" s="28"/>
      <c r="C476" s="28"/>
      <c r="D476" s="28"/>
      <c r="E476" s="28"/>
      <c r="F476" s="28"/>
    </row>
    <row r="477">
      <c r="A477" s="28"/>
      <c r="B477" s="28"/>
      <c r="C477" s="28"/>
      <c r="D477" s="28"/>
      <c r="E477" s="28"/>
      <c r="F477" s="28"/>
    </row>
    <row r="478">
      <c r="A478" s="28"/>
      <c r="B478" s="28"/>
      <c r="C478" s="28"/>
      <c r="D478" s="28"/>
      <c r="E478" s="28"/>
      <c r="F478" s="28"/>
    </row>
    <row r="479">
      <c r="A479" s="28"/>
      <c r="B479" s="28"/>
      <c r="C479" s="28"/>
      <c r="D479" s="28"/>
      <c r="E479" s="28"/>
      <c r="F479" s="28"/>
    </row>
    <row r="480">
      <c r="A480" s="28"/>
      <c r="B480" s="28"/>
      <c r="C480" s="28"/>
      <c r="D480" s="28"/>
      <c r="E480" s="28"/>
      <c r="F480" s="28"/>
    </row>
    <row r="481">
      <c r="A481" s="28"/>
      <c r="B481" s="28"/>
      <c r="C481" s="28"/>
      <c r="D481" s="28"/>
      <c r="E481" s="28"/>
      <c r="F481" s="28"/>
    </row>
    <row r="482">
      <c r="A482" s="28"/>
      <c r="B482" s="28"/>
      <c r="C482" s="28"/>
      <c r="D482" s="28"/>
      <c r="E482" s="28"/>
      <c r="F482" s="28"/>
    </row>
    <row r="483">
      <c r="A483" s="28"/>
      <c r="B483" s="28"/>
      <c r="C483" s="28"/>
      <c r="D483" s="28"/>
      <c r="E483" s="28"/>
      <c r="F483" s="28"/>
    </row>
    <row r="484">
      <c r="A484" s="28"/>
      <c r="B484" s="28"/>
      <c r="C484" s="28"/>
      <c r="D484" s="28"/>
      <c r="E484" s="28"/>
      <c r="F484" s="28"/>
    </row>
    <row r="485">
      <c r="A485" s="28"/>
      <c r="B485" s="28"/>
      <c r="C485" s="28"/>
      <c r="D485" s="28"/>
      <c r="E485" s="28"/>
      <c r="F485" s="28"/>
    </row>
    <row r="486">
      <c r="A486" s="28"/>
      <c r="B486" s="28"/>
      <c r="C486" s="28"/>
      <c r="D486" s="28"/>
      <c r="E486" s="28"/>
      <c r="F486" s="28"/>
    </row>
    <row r="487">
      <c r="A487" s="28"/>
      <c r="B487" s="28"/>
      <c r="C487" s="28"/>
      <c r="D487" s="28"/>
      <c r="E487" s="28"/>
      <c r="F487" s="28"/>
    </row>
    <row r="488">
      <c r="A488" s="28"/>
      <c r="B488" s="28"/>
      <c r="C488" s="28"/>
      <c r="D488" s="28"/>
      <c r="E488" s="28"/>
      <c r="F488" s="28"/>
    </row>
    <row r="489">
      <c r="A489" s="28"/>
      <c r="B489" s="28"/>
      <c r="C489" s="28"/>
      <c r="D489" s="28"/>
      <c r="E489" s="28"/>
      <c r="F489" s="28"/>
    </row>
    <row r="490">
      <c r="A490" s="28"/>
      <c r="B490" s="28"/>
      <c r="C490" s="28"/>
      <c r="D490" s="28"/>
      <c r="E490" s="28"/>
      <c r="F490" s="28"/>
    </row>
    <row r="491">
      <c r="A491" s="28"/>
      <c r="B491" s="28"/>
      <c r="C491" s="28"/>
      <c r="D491" s="28"/>
      <c r="E491" s="28"/>
      <c r="F491" s="28"/>
    </row>
    <row r="492">
      <c r="A492" s="28"/>
      <c r="B492" s="28"/>
      <c r="C492" s="28"/>
      <c r="D492" s="28"/>
      <c r="E492" s="28"/>
      <c r="F492" s="28"/>
    </row>
    <row r="493">
      <c r="A493" s="28"/>
      <c r="B493" s="28"/>
      <c r="C493" s="28"/>
      <c r="D493" s="28"/>
      <c r="E493" s="28"/>
      <c r="F493" s="28"/>
    </row>
    <row r="494">
      <c r="A494" s="28"/>
      <c r="B494" s="28"/>
      <c r="C494" s="28"/>
      <c r="D494" s="28"/>
      <c r="E494" s="28"/>
      <c r="F494" s="28"/>
    </row>
    <row r="495">
      <c r="A495" s="28"/>
      <c r="B495" s="28"/>
      <c r="C495" s="28"/>
      <c r="D495" s="28"/>
      <c r="E495" s="28"/>
      <c r="F495" s="28"/>
    </row>
    <row r="496">
      <c r="A496" s="28"/>
      <c r="B496" s="28"/>
      <c r="C496" s="28"/>
      <c r="D496" s="28"/>
      <c r="E496" s="28"/>
      <c r="F496" s="28"/>
    </row>
    <row r="497">
      <c r="A497" s="28"/>
      <c r="B497" s="28"/>
      <c r="C497" s="28"/>
      <c r="D497" s="28"/>
      <c r="E497" s="28"/>
      <c r="F497" s="28"/>
    </row>
    <row r="498">
      <c r="A498" s="28"/>
      <c r="B498" s="28"/>
      <c r="C498" s="28"/>
      <c r="D498" s="28"/>
      <c r="E498" s="28"/>
      <c r="F498" s="28"/>
    </row>
    <row r="499">
      <c r="A499" s="28"/>
      <c r="B499" s="28"/>
      <c r="C499" s="28"/>
      <c r="D499" s="28"/>
      <c r="E499" s="28"/>
      <c r="F499" s="28"/>
    </row>
    <row r="500">
      <c r="A500" s="28"/>
      <c r="B500" s="28"/>
      <c r="C500" s="28"/>
      <c r="D500" s="28"/>
      <c r="E500" s="28"/>
      <c r="F500" s="28"/>
    </row>
    <row r="501">
      <c r="A501" s="28"/>
      <c r="B501" s="28"/>
      <c r="C501" s="28"/>
      <c r="D501" s="28"/>
      <c r="E501" s="28"/>
      <c r="F501" s="28"/>
    </row>
    <row r="502">
      <c r="A502" s="28"/>
      <c r="B502" s="28"/>
      <c r="C502" s="28"/>
      <c r="D502" s="28"/>
      <c r="E502" s="28"/>
      <c r="F502" s="28"/>
    </row>
    <row r="503">
      <c r="A503" s="28"/>
      <c r="B503" s="28"/>
      <c r="C503" s="28"/>
      <c r="D503" s="28"/>
      <c r="E503" s="28"/>
      <c r="F503" s="28"/>
    </row>
    <row r="504">
      <c r="A504" s="28"/>
      <c r="B504" s="28"/>
      <c r="C504" s="28"/>
      <c r="D504" s="28"/>
      <c r="E504" s="28"/>
      <c r="F504" s="28"/>
    </row>
    <row r="505">
      <c r="A505" s="28"/>
      <c r="B505" s="28"/>
      <c r="C505" s="28"/>
      <c r="D505" s="28"/>
      <c r="E505" s="28"/>
      <c r="F505" s="28"/>
    </row>
    <row r="506">
      <c r="A506" s="28"/>
      <c r="B506" s="28"/>
      <c r="C506" s="28"/>
      <c r="D506" s="28"/>
      <c r="E506" s="28"/>
      <c r="F506" s="28"/>
    </row>
    <row r="507">
      <c r="A507" s="28"/>
      <c r="B507" s="28"/>
      <c r="C507" s="28"/>
      <c r="D507" s="28"/>
      <c r="E507" s="28"/>
      <c r="F507" s="28"/>
    </row>
    <row r="508">
      <c r="A508" s="28"/>
      <c r="B508" s="28"/>
      <c r="C508" s="28"/>
      <c r="D508" s="28"/>
      <c r="E508" s="28"/>
      <c r="F508" s="28"/>
    </row>
    <row r="509">
      <c r="A509" s="28"/>
      <c r="B509" s="28"/>
      <c r="C509" s="28"/>
      <c r="D509" s="28"/>
      <c r="E509" s="28"/>
      <c r="F509" s="28"/>
    </row>
    <row r="510">
      <c r="A510" s="28"/>
      <c r="B510" s="28"/>
      <c r="C510" s="28"/>
      <c r="D510" s="28"/>
      <c r="E510" s="28"/>
      <c r="F510" s="28"/>
    </row>
    <row r="511">
      <c r="A511" s="28"/>
      <c r="B511" s="28"/>
      <c r="C511" s="28"/>
      <c r="D511" s="28"/>
      <c r="E511" s="28"/>
      <c r="F511" s="28"/>
    </row>
    <row r="512">
      <c r="A512" s="28"/>
      <c r="B512" s="28"/>
      <c r="C512" s="28"/>
      <c r="D512" s="28"/>
      <c r="E512" s="28"/>
      <c r="F512" s="28"/>
    </row>
    <row r="513">
      <c r="A513" s="28"/>
      <c r="B513" s="28"/>
      <c r="C513" s="28"/>
      <c r="D513" s="28"/>
      <c r="E513" s="28"/>
      <c r="F513" s="28"/>
    </row>
    <row r="514">
      <c r="A514" s="28"/>
      <c r="B514" s="28"/>
      <c r="C514" s="28"/>
      <c r="D514" s="28"/>
      <c r="E514" s="28"/>
      <c r="F514" s="28"/>
    </row>
    <row r="515">
      <c r="A515" s="28"/>
      <c r="B515" s="28"/>
      <c r="C515" s="28"/>
      <c r="D515" s="28"/>
      <c r="E515" s="28"/>
      <c r="F515" s="28"/>
    </row>
    <row r="516">
      <c r="A516" s="28"/>
      <c r="B516" s="28"/>
      <c r="C516" s="28"/>
      <c r="D516" s="28"/>
      <c r="E516" s="28"/>
      <c r="F516" s="28"/>
    </row>
    <row r="517">
      <c r="A517" s="28"/>
      <c r="B517" s="28"/>
      <c r="C517" s="28"/>
      <c r="D517" s="28"/>
      <c r="E517" s="28"/>
      <c r="F517" s="28"/>
    </row>
    <row r="518">
      <c r="A518" s="28"/>
      <c r="B518" s="28"/>
      <c r="C518" s="28"/>
      <c r="D518" s="28"/>
      <c r="E518" s="28"/>
      <c r="F518" s="28"/>
    </row>
    <row r="519">
      <c r="A519" s="28"/>
      <c r="B519" s="28"/>
      <c r="C519" s="28"/>
      <c r="D519" s="28"/>
      <c r="E519" s="28"/>
      <c r="F519" s="28"/>
    </row>
    <row r="520">
      <c r="A520" s="28"/>
      <c r="B520" s="28"/>
      <c r="C520" s="28"/>
      <c r="D520" s="28"/>
      <c r="E520" s="28"/>
      <c r="F520" s="28"/>
    </row>
    <row r="521">
      <c r="A521" s="28"/>
      <c r="B521" s="28"/>
      <c r="C521" s="28"/>
      <c r="D521" s="28"/>
      <c r="E521" s="28"/>
      <c r="F521" s="28"/>
    </row>
    <row r="522">
      <c r="A522" s="28"/>
      <c r="B522" s="28"/>
      <c r="C522" s="28"/>
      <c r="D522" s="28"/>
      <c r="E522" s="28"/>
      <c r="F522" s="28"/>
    </row>
    <row r="523">
      <c r="A523" s="28"/>
      <c r="B523" s="28"/>
      <c r="C523" s="28"/>
      <c r="D523" s="28"/>
      <c r="E523" s="28"/>
      <c r="F523" s="28"/>
    </row>
    <row r="524">
      <c r="A524" s="28"/>
      <c r="B524" s="28"/>
      <c r="C524" s="28"/>
      <c r="D524" s="28"/>
      <c r="E524" s="28"/>
      <c r="F524" s="28"/>
    </row>
    <row r="525">
      <c r="A525" s="28"/>
      <c r="B525" s="28"/>
      <c r="C525" s="28"/>
      <c r="D525" s="28"/>
      <c r="E525" s="28"/>
      <c r="F525" s="28"/>
    </row>
    <row r="526">
      <c r="A526" s="28"/>
      <c r="B526" s="28"/>
      <c r="C526" s="28"/>
      <c r="D526" s="28"/>
      <c r="E526" s="28"/>
      <c r="F526" s="28"/>
    </row>
    <row r="527">
      <c r="A527" s="28"/>
      <c r="B527" s="28"/>
      <c r="C527" s="28"/>
      <c r="D527" s="28"/>
      <c r="E527" s="28"/>
      <c r="F527" s="28"/>
    </row>
    <row r="528">
      <c r="A528" s="28"/>
      <c r="B528" s="28"/>
      <c r="C528" s="28"/>
      <c r="D528" s="28"/>
      <c r="E528" s="28"/>
      <c r="F528" s="28"/>
    </row>
    <row r="529">
      <c r="A529" s="28"/>
      <c r="B529" s="28"/>
      <c r="C529" s="28"/>
      <c r="D529" s="28"/>
      <c r="E529" s="28"/>
      <c r="F529" s="28"/>
    </row>
    <row r="530">
      <c r="A530" s="28"/>
      <c r="B530" s="28"/>
      <c r="C530" s="28"/>
      <c r="D530" s="28"/>
      <c r="E530" s="28"/>
      <c r="F530" s="28"/>
    </row>
    <row r="531">
      <c r="A531" s="28"/>
      <c r="B531" s="28"/>
      <c r="C531" s="28"/>
      <c r="D531" s="28"/>
      <c r="E531" s="28"/>
      <c r="F531" s="28"/>
    </row>
    <row r="532">
      <c r="A532" s="28"/>
      <c r="B532" s="28"/>
      <c r="C532" s="28"/>
      <c r="D532" s="28"/>
      <c r="E532" s="28"/>
      <c r="F532" s="28"/>
    </row>
    <row r="533">
      <c r="A533" s="28"/>
      <c r="B533" s="28"/>
      <c r="C533" s="28"/>
      <c r="D533" s="28"/>
      <c r="E533" s="28"/>
      <c r="F533" s="28"/>
    </row>
    <row r="534">
      <c r="A534" s="28"/>
      <c r="B534" s="28"/>
      <c r="C534" s="28"/>
      <c r="D534" s="28"/>
      <c r="E534" s="28"/>
      <c r="F534" s="28"/>
    </row>
    <row r="535">
      <c r="A535" s="28"/>
      <c r="B535" s="28"/>
      <c r="C535" s="28"/>
      <c r="D535" s="28"/>
      <c r="E535" s="28"/>
      <c r="F535" s="28"/>
    </row>
    <row r="536">
      <c r="A536" s="28"/>
      <c r="B536" s="28"/>
      <c r="C536" s="28"/>
      <c r="D536" s="28"/>
      <c r="E536" s="28"/>
      <c r="F536" s="28"/>
    </row>
    <row r="537">
      <c r="A537" s="28"/>
      <c r="B537" s="28"/>
      <c r="C537" s="28"/>
      <c r="D537" s="28"/>
      <c r="E537" s="28"/>
      <c r="F537" s="28"/>
    </row>
    <row r="538">
      <c r="A538" s="28"/>
      <c r="B538" s="28"/>
      <c r="C538" s="28"/>
      <c r="D538" s="28"/>
      <c r="E538" s="28"/>
      <c r="F538" s="28"/>
    </row>
    <row r="539">
      <c r="A539" s="28"/>
      <c r="B539" s="28"/>
      <c r="C539" s="28"/>
      <c r="D539" s="28"/>
      <c r="E539" s="28"/>
      <c r="F539" s="28"/>
    </row>
    <row r="540">
      <c r="A540" s="28"/>
      <c r="B540" s="28"/>
      <c r="C540" s="28"/>
      <c r="D540" s="28"/>
      <c r="E540" s="28"/>
      <c r="F540" s="28"/>
    </row>
    <row r="541">
      <c r="A541" s="28"/>
      <c r="B541" s="28"/>
      <c r="C541" s="28"/>
      <c r="D541" s="28"/>
      <c r="E541" s="28"/>
      <c r="F541" s="28"/>
    </row>
    <row r="542">
      <c r="A542" s="28"/>
      <c r="B542" s="28"/>
      <c r="C542" s="28"/>
      <c r="D542" s="28"/>
      <c r="E542" s="28"/>
      <c r="F542" s="28"/>
    </row>
    <row r="543">
      <c r="A543" s="28"/>
      <c r="B543" s="28"/>
      <c r="C543" s="28"/>
      <c r="D543" s="28"/>
      <c r="E543" s="28"/>
      <c r="F543" s="28"/>
    </row>
    <row r="544">
      <c r="A544" s="28"/>
      <c r="B544" s="28"/>
      <c r="C544" s="28"/>
      <c r="D544" s="28"/>
      <c r="E544" s="28"/>
      <c r="F544" s="28"/>
    </row>
    <row r="545">
      <c r="A545" s="28"/>
      <c r="B545" s="28"/>
      <c r="C545" s="28"/>
      <c r="D545" s="28"/>
      <c r="E545" s="28"/>
      <c r="F545" s="28"/>
    </row>
    <row r="546">
      <c r="A546" s="28"/>
      <c r="B546" s="28"/>
      <c r="C546" s="28"/>
      <c r="D546" s="28"/>
      <c r="E546" s="28"/>
      <c r="F546" s="28"/>
    </row>
    <row r="547">
      <c r="A547" s="28"/>
      <c r="B547" s="28"/>
      <c r="C547" s="28"/>
      <c r="D547" s="28"/>
      <c r="E547" s="28"/>
      <c r="F547" s="28"/>
    </row>
    <row r="548">
      <c r="A548" s="28"/>
      <c r="B548" s="28"/>
      <c r="C548" s="28"/>
      <c r="D548" s="28"/>
      <c r="E548" s="28"/>
      <c r="F548" s="28"/>
    </row>
    <row r="549">
      <c r="A549" s="28"/>
      <c r="B549" s="28"/>
      <c r="C549" s="28"/>
      <c r="D549" s="28"/>
      <c r="E549" s="28"/>
      <c r="F549" s="28"/>
    </row>
    <row r="550">
      <c r="A550" s="28"/>
      <c r="B550" s="28"/>
      <c r="C550" s="28"/>
      <c r="D550" s="28"/>
      <c r="E550" s="28"/>
      <c r="F550" s="28"/>
    </row>
    <row r="551">
      <c r="A551" s="28"/>
      <c r="B551" s="28"/>
      <c r="C551" s="28"/>
      <c r="D551" s="28"/>
      <c r="E551" s="28"/>
      <c r="F551" s="28"/>
    </row>
    <row r="552">
      <c r="A552" s="28"/>
      <c r="B552" s="28"/>
      <c r="C552" s="28"/>
      <c r="D552" s="28"/>
      <c r="E552" s="28"/>
      <c r="F552" s="28"/>
    </row>
    <row r="553">
      <c r="A553" s="28"/>
      <c r="B553" s="28"/>
      <c r="C553" s="28"/>
      <c r="D553" s="28"/>
      <c r="E553" s="28"/>
      <c r="F553" s="28"/>
    </row>
    <row r="554">
      <c r="A554" s="28"/>
      <c r="B554" s="28"/>
      <c r="C554" s="28"/>
      <c r="D554" s="28"/>
      <c r="E554" s="28"/>
      <c r="F554" s="28"/>
    </row>
    <row r="555">
      <c r="A555" s="28"/>
      <c r="B555" s="28"/>
      <c r="C555" s="28"/>
      <c r="D555" s="28"/>
      <c r="E555" s="28"/>
      <c r="F555" s="28"/>
    </row>
    <row r="556">
      <c r="A556" s="28"/>
      <c r="B556" s="28"/>
      <c r="C556" s="28"/>
      <c r="D556" s="28"/>
      <c r="E556" s="28"/>
      <c r="F556" s="28"/>
    </row>
    <row r="557">
      <c r="A557" s="28"/>
      <c r="B557" s="28"/>
      <c r="C557" s="28"/>
      <c r="D557" s="28"/>
      <c r="E557" s="28"/>
      <c r="F557" s="28"/>
    </row>
    <row r="558">
      <c r="A558" s="28"/>
      <c r="B558" s="28"/>
      <c r="C558" s="28"/>
      <c r="D558" s="28"/>
      <c r="E558" s="28"/>
      <c r="F558" s="28"/>
    </row>
    <row r="559">
      <c r="A559" s="28"/>
      <c r="B559" s="28"/>
      <c r="C559" s="28"/>
      <c r="D559" s="28"/>
      <c r="E559" s="28"/>
      <c r="F559" s="28"/>
    </row>
    <row r="560">
      <c r="A560" s="28"/>
      <c r="B560" s="28"/>
      <c r="C560" s="28"/>
      <c r="D560" s="28"/>
      <c r="E560" s="28"/>
      <c r="F560" s="28"/>
    </row>
    <row r="561">
      <c r="A561" s="28"/>
      <c r="B561" s="28"/>
      <c r="C561" s="28"/>
      <c r="D561" s="28"/>
      <c r="E561" s="28"/>
      <c r="F561" s="28"/>
    </row>
    <row r="562">
      <c r="A562" s="28"/>
      <c r="B562" s="28"/>
      <c r="C562" s="28"/>
      <c r="D562" s="28"/>
      <c r="E562" s="28"/>
      <c r="F562" s="28"/>
    </row>
    <row r="563">
      <c r="A563" s="28"/>
      <c r="B563" s="28"/>
      <c r="C563" s="28"/>
      <c r="D563" s="28"/>
      <c r="E563" s="28"/>
      <c r="F563" s="28"/>
    </row>
    <row r="564">
      <c r="A564" s="28"/>
      <c r="B564" s="28"/>
      <c r="C564" s="28"/>
      <c r="D564" s="28"/>
      <c r="E564" s="28"/>
      <c r="F564" s="28"/>
    </row>
    <row r="565">
      <c r="A565" s="28"/>
      <c r="B565" s="28"/>
      <c r="C565" s="28"/>
      <c r="D565" s="28"/>
      <c r="E565" s="28"/>
      <c r="F565" s="28"/>
    </row>
    <row r="566">
      <c r="A566" s="28"/>
      <c r="B566" s="28"/>
      <c r="C566" s="28"/>
      <c r="D566" s="28"/>
      <c r="E566" s="28"/>
      <c r="F566" s="28"/>
    </row>
    <row r="567">
      <c r="A567" s="28"/>
      <c r="B567" s="28"/>
      <c r="C567" s="28"/>
      <c r="D567" s="28"/>
      <c r="E567" s="28"/>
      <c r="F567" s="28"/>
    </row>
    <row r="568">
      <c r="A568" s="28"/>
      <c r="B568" s="28"/>
      <c r="C568" s="28"/>
      <c r="D568" s="28"/>
      <c r="E568" s="28"/>
      <c r="F568" s="28"/>
    </row>
    <row r="569">
      <c r="A569" s="28"/>
      <c r="B569" s="28"/>
      <c r="C569" s="28"/>
      <c r="D569" s="28"/>
      <c r="E569" s="28"/>
      <c r="F569" s="28"/>
    </row>
    <row r="570">
      <c r="A570" s="28"/>
      <c r="B570" s="28"/>
      <c r="C570" s="28"/>
      <c r="D570" s="28"/>
      <c r="E570" s="28"/>
      <c r="F570" s="28"/>
    </row>
    <row r="571">
      <c r="A571" s="28"/>
      <c r="B571" s="28"/>
      <c r="C571" s="28"/>
      <c r="D571" s="28"/>
      <c r="E571" s="28"/>
      <c r="F571" s="28"/>
    </row>
    <row r="572">
      <c r="A572" s="28"/>
      <c r="B572" s="28"/>
      <c r="C572" s="28"/>
      <c r="D572" s="28"/>
      <c r="E572" s="28"/>
      <c r="F572" s="28"/>
    </row>
    <row r="573">
      <c r="A573" s="28"/>
      <c r="B573" s="28"/>
      <c r="C573" s="28"/>
      <c r="D573" s="28"/>
      <c r="E573" s="28"/>
      <c r="F573" s="28"/>
    </row>
    <row r="574">
      <c r="A574" s="28"/>
      <c r="B574" s="28"/>
      <c r="C574" s="28"/>
      <c r="D574" s="28"/>
      <c r="E574" s="28"/>
      <c r="F574" s="28"/>
    </row>
    <row r="575">
      <c r="A575" s="28"/>
      <c r="B575" s="28"/>
      <c r="C575" s="28"/>
      <c r="D575" s="28"/>
      <c r="E575" s="28"/>
      <c r="F575" s="28"/>
    </row>
    <row r="576">
      <c r="A576" s="28"/>
      <c r="B576" s="28"/>
      <c r="C576" s="28"/>
      <c r="D576" s="28"/>
      <c r="E576" s="28"/>
      <c r="F576" s="28"/>
    </row>
    <row r="577">
      <c r="A577" s="28"/>
      <c r="B577" s="28"/>
      <c r="C577" s="28"/>
      <c r="D577" s="28"/>
      <c r="E577" s="28"/>
      <c r="F577" s="28"/>
    </row>
    <row r="578">
      <c r="A578" s="28"/>
      <c r="B578" s="28"/>
      <c r="C578" s="28"/>
      <c r="D578" s="28"/>
      <c r="E578" s="28"/>
      <c r="F578" s="28"/>
    </row>
    <row r="579">
      <c r="A579" s="28"/>
      <c r="B579" s="28"/>
      <c r="C579" s="28"/>
      <c r="D579" s="28"/>
      <c r="E579" s="28"/>
      <c r="F579" s="28"/>
    </row>
    <row r="580">
      <c r="A580" s="28"/>
      <c r="B580" s="28"/>
      <c r="C580" s="28"/>
      <c r="D580" s="28"/>
      <c r="E580" s="28"/>
      <c r="F580" s="28"/>
    </row>
    <row r="581">
      <c r="A581" s="28"/>
      <c r="B581" s="28"/>
      <c r="C581" s="28"/>
      <c r="D581" s="28"/>
      <c r="E581" s="28"/>
      <c r="F581" s="28"/>
    </row>
    <row r="582">
      <c r="A582" s="28"/>
      <c r="B582" s="28"/>
      <c r="C582" s="28"/>
      <c r="D582" s="28"/>
      <c r="E582" s="28"/>
      <c r="F582" s="28"/>
    </row>
    <row r="583">
      <c r="A583" s="28"/>
      <c r="B583" s="28"/>
      <c r="C583" s="28"/>
      <c r="D583" s="28"/>
      <c r="E583" s="28"/>
      <c r="F583" s="28"/>
    </row>
    <row r="584">
      <c r="A584" s="28"/>
      <c r="B584" s="28"/>
      <c r="C584" s="28"/>
      <c r="D584" s="28"/>
      <c r="E584" s="28"/>
      <c r="F584" s="28"/>
    </row>
    <row r="585">
      <c r="A585" s="28"/>
      <c r="B585" s="28"/>
      <c r="C585" s="28"/>
      <c r="D585" s="28"/>
      <c r="E585" s="28"/>
      <c r="F585" s="28"/>
    </row>
    <row r="586">
      <c r="A586" s="28"/>
      <c r="B586" s="28"/>
      <c r="C586" s="28"/>
      <c r="D586" s="28"/>
      <c r="E586" s="28"/>
      <c r="F586" s="28"/>
    </row>
    <row r="587">
      <c r="A587" s="28"/>
      <c r="B587" s="28"/>
      <c r="C587" s="28"/>
      <c r="D587" s="28"/>
      <c r="E587" s="28"/>
      <c r="F587" s="28"/>
    </row>
    <row r="588">
      <c r="A588" s="28"/>
      <c r="B588" s="28"/>
      <c r="C588" s="28"/>
      <c r="D588" s="28"/>
      <c r="E588" s="28"/>
      <c r="F588" s="28"/>
    </row>
    <row r="589">
      <c r="A589" s="28"/>
      <c r="B589" s="28"/>
      <c r="C589" s="28"/>
      <c r="D589" s="28"/>
      <c r="E589" s="28"/>
      <c r="F589" s="28"/>
    </row>
    <row r="590">
      <c r="A590" s="28"/>
      <c r="B590" s="28"/>
      <c r="C590" s="28"/>
      <c r="D590" s="28"/>
      <c r="E590" s="28"/>
      <c r="F590" s="28"/>
    </row>
    <row r="591">
      <c r="A591" s="28"/>
      <c r="B591" s="28"/>
      <c r="C591" s="28"/>
      <c r="D591" s="28"/>
      <c r="E591" s="28"/>
      <c r="F591" s="28"/>
    </row>
    <row r="592">
      <c r="A592" s="28"/>
      <c r="B592" s="28"/>
      <c r="C592" s="28"/>
      <c r="D592" s="28"/>
      <c r="E592" s="28"/>
      <c r="F592" s="28"/>
    </row>
    <row r="593">
      <c r="A593" s="28"/>
      <c r="B593" s="28"/>
      <c r="C593" s="28"/>
      <c r="D593" s="28"/>
      <c r="E593" s="28"/>
      <c r="F593" s="28"/>
    </row>
    <row r="594">
      <c r="A594" s="28"/>
      <c r="B594" s="28"/>
      <c r="C594" s="28"/>
      <c r="D594" s="28"/>
      <c r="E594" s="28"/>
      <c r="F594" s="28"/>
    </row>
    <row r="595">
      <c r="A595" s="28"/>
      <c r="B595" s="28"/>
      <c r="C595" s="28"/>
      <c r="D595" s="28"/>
      <c r="E595" s="28"/>
      <c r="F595" s="28"/>
    </row>
    <row r="596">
      <c r="A596" s="28"/>
      <c r="B596" s="28"/>
      <c r="C596" s="28"/>
      <c r="D596" s="28"/>
      <c r="E596" s="28"/>
      <c r="F596" s="28"/>
    </row>
    <row r="597">
      <c r="A597" s="28"/>
      <c r="B597" s="28"/>
      <c r="C597" s="28"/>
      <c r="D597" s="28"/>
      <c r="E597" s="28"/>
      <c r="F597" s="28"/>
    </row>
    <row r="598">
      <c r="A598" s="28"/>
      <c r="B598" s="28"/>
      <c r="C598" s="28"/>
      <c r="D598" s="28"/>
      <c r="E598" s="28"/>
      <c r="F598" s="28"/>
    </row>
    <row r="599">
      <c r="A599" s="28"/>
      <c r="B599" s="28"/>
      <c r="C599" s="28"/>
      <c r="D599" s="28"/>
      <c r="E599" s="28"/>
      <c r="F599" s="28"/>
    </row>
    <row r="600">
      <c r="A600" s="28"/>
      <c r="B600" s="28"/>
      <c r="C600" s="28"/>
      <c r="D600" s="28"/>
      <c r="E600" s="28"/>
      <c r="F600" s="28"/>
    </row>
    <row r="601">
      <c r="A601" s="28"/>
      <c r="B601" s="28"/>
      <c r="C601" s="28"/>
      <c r="D601" s="28"/>
      <c r="E601" s="28"/>
      <c r="F601" s="28"/>
    </row>
    <row r="602">
      <c r="A602" s="28"/>
      <c r="B602" s="28"/>
      <c r="C602" s="28"/>
      <c r="D602" s="28"/>
      <c r="E602" s="28"/>
      <c r="F602" s="28"/>
    </row>
    <row r="603">
      <c r="A603" s="28"/>
      <c r="B603" s="28"/>
      <c r="C603" s="28"/>
      <c r="D603" s="28"/>
      <c r="E603" s="28"/>
      <c r="F603" s="28"/>
    </row>
    <row r="604">
      <c r="A604" s="28"/>
      <c r="B604" s="28"/>
      <c r="C604" s="28"/>
      <c r="D604" s="28"/>
      <c r="E604" s="28"/>
      <c r="F604" s="28"/>
    </row>
    <row r="605">
      <c r="A605" s="28"/>
      <c r="B605" s="28"/>
      <c r="C605" s="28"/>
      <c r="D605" s="28"/>
      <c r="E605" s="28"/>
      <c r="F605" s="28"/>
    </row>
    <row r="606">
      <c r="A606" s="28"/>
      <c r="B606" s="28"/>
      <c r="C606" s="28"/>
      <c r="D606" s="28"/>
      <c r="E606" s="28"/>
      <c r="F606" s="28"/>
    </row>
    <row r="607">
      <c r="A607" s="28"/>
      <c r="B607" s="28"/>
      <c r="C607" s="28"/>
      <c r="D607" s="28"/>
      <c r="E607" s="28"/>
      <c r="F607" s="28"/>
    </row>
    <row r="608">
      <c r="A608" s="28"/>
      <c r="B608" s="28"/>
      <c r="C608" s="28"/>
      <c r="D608" s="28"/>
      <c r="E608" s="28"/>
      <c r="F608" s="28"/>
    </row>
    <row r="609">
      <c r="A609" s="28"/>
      <c r="B609" s="28"/>
      <c r="C609" s="28"/>
      <c r="D609" s="28"/>
      <c r="E609" s="28"/>
      <c r="F609" s="28"/>
    </row>
    <row r="610">
      <c r="A610" s="28"/>
      <c r="B610" s="28"/>
      <c r="C610" s="28"/>
      <c r="D610" s="28"/>
      <c r="E610" s="28"/>
      <c r="F610" s="28"/>
    </row>
    <row r="611">
      <c r="A611" s="28"/>
      <c r="B611" s="28"/>
      <c r="C611" s="28"/>
      <c r="D611" s="28"/>
      <c r="E611" s="28"/>
      <c r="F611" s="28"/>
    </row>
    <row r="612">
      <c r="A612" s="28"/>
      <c r="B612" s="28"/>
      <c r="C612" s="28"/>
      <c r="D612" s="28"/>
      <c r="E612" s="28"/>
      <c r="F612" s="28"/>
    </row>
    <row r="613">
      <c r="A613" s="28"/>
      <c r="B613" s="28"/>
      <c r="C613" s="28"/>
      <c r="D613" s="28"/>
      <c r="E613" s="28"/>
      <c r="F613" s="28"/>
    </row>
    <row r="614">
      <c r="A614" s="28"/>
      <c r="B614" s="28"/>
      <c r="C614" s="28"/>
      <c r="D614" s="28"/>
      <c r="E614" s="28"/>
      <c r="F614" s="28"/>
    </row>
    <row r="615">
      <c r="A615" s="28"/>
      <c r="B615" s="28"/>
      <c r="C615" s="28"/>
      <c r="D615" s="28"/>
      <c r="E615" s="28"/>
      <c r="F615" s="28"/>
    </row>
    <row r="616">
      <c r="A616" s="28"/>
      <c r="B616" s="28"/>
      <c r="C616" s="28"/>
      <c r="D616" s="28"/>
      <c r="E616" s="28"/>
      <c r="F616" s="28"/>
    </row>
    <row r="617">
      <c r="A617" s="28"/>
      <c r="B617" s="28"/>
      <c r="C617" s="28"/>
      <c r="D617" s="28"/>
      <c r="E617" s="28"/>
      <c r="F617" s="28"/>
    </row>
    <row r="618">
      <c r="A618" s="28"/>
      <c r="B618" s="28"/>
      <c r="C618" s="28"/>
      <c r="D618" s="28"/>
      <c r="E618" s="28"/>
      <c r="F618" s="28"/>
    </row>
    <row r="619">
      <c r="A619" s="28"/>
      <c r="B619" s="28"/>
      <c r="C619" s="28"/>
      <c r="D619" s="28"/>
      <c r="E619" s="28"/>
      <c r="F619" s="28"/>
    </row>
    <row r="620">
      <c r="A620" s="28"/>
      <c r="B620" s="28"/>
      <c r="C620" s="28"/>
      <c r="D620" s="28"/>
      <c r="E620" s="28"/>
      <c r="F620" s="28"/>
    </row>
    <row r="621">
      <c r="A621" s="28"/>
      <c r="B621" s="28"/>
      <c r="C621" s="28"/>
      <c r="D621" s="28"/>
      <c r="E621" s="28"/>
      <c r="F621" s="28"/>
    </row>
    <row r="622">
      <c r="A622" s="28"/>
      <c r="B622" s="28"/>
      <c r="C622" s="28"/>
      <c r="D622" s="28"/>
      <c r="E622" s="28"/>
      <c r="F622" s="28"/>
    </row>
    <row r="623">
      <c r="A623" s="28"/>
      <c r="B623" s="28"/>
      <c r="C623" s="28"/>
      <c r="D623" s="28"/>
      <c r="E623" s="28"/>
      <c r="F623" s="28"/>
    </row>
    <row r="624">
      <c r="A624" s="28"/>
      <c r="B624" s="28"/>
      <c r="C624" s="28"/>
      <c r="D624" s="28"/>
      <c r="E624" s="28"/>
      <c r="F624" s="28"/>
    </row>
    <row r="625">
      <c r="A625" s="28"/>
      <c r="B625" s="28"/>
      <c r="C625" s="28"/>
      <c r="D625" s="28"/>
      <c r="E625" s="28"/>
      <c r="F625" s="28"/>
    </row>
    <row r="626">
      <c r="A626" s="28"/>
      <c r="B626" s="28"/>
      <c r="C626" s="28"/>
      <c r="D626" s="28"/>
      <c r="E626" s="28"/>
      <c r="F626" s="28"/>
    </row>
    <row r="627">
      <c r="A627" s="28"/>
      <c r="B627" s="28"/>
      <c r="C627" s="28"/>
      <c r="D627" s="28"/>
      <c r="E627" s="28"/>
      <c r="F627" s="28"/>
    </row>
    <row r="628">
      <c r="A628" s="28"/>
      <c r="B628" s="28"/>
      <c r="C628" s="28"/>
      <c r="D628" s="28"/>
      <c r="E628" s="28"/>
      <c r="F628" s="28"/>
    </row>
    <row r="629">
      <c r="A629" s="28"/>
      <c r="B629" s="28"/>
      <c r="C629" s="28"/>
      <c r="D629" s="28"/>
      <c r="E629" s="28"/>
      <c r="F629" s="28"/>
    </row>
    <row r="630">
      <c r="A630" s="28"/>
      <c r="B630" s="28"/>
      <c r="C630" s="28"/>
      <c r="D630" s="28"/>
      <c r="E630" s="28"/>
      <c r="F630" s="28"/>
    </row>
    <row r="631">
      <c r="A631" s="28"/>
      <c r="B631" s="28"/>
      <c r="C631" s="28"/>
      <c r="D631" s="28"/>
      <c r="E631" s="28"/>
      <c r="F631" s="28"/>
    </row>
    <row r="632">
      <c r="A632" s="28"/>
      <c r="B632" s="28"/>
      <c r="C632" s="28"/>
      <c r="D632" s="28"/>
      <c r="E632" s="28"/>
      <c r="F632" s="28"/>
    </row>
    <row r="633">
      <c r="A633" s="28"/>
      <c r="B633" s="28"/>
      <c r="C633" s="28"/>
      <c r="D633" s="28"/>
      <c r="E633" s="28"/>
      <c r="F633" s="28"/>
    </row>
    <row r="634">
      <c r="A634" s="28"/>
      <c r="B634" s="28"/>
      <c r="C634" s="28"/>
      <c r="D634" s="28"/>
      <c r="E634" s="28"/>
      <c r="F634" s="28"/>
    </row>
    <row r="635">
      <c r="A635" s="28"/>
      <c r="B635" s="28"/>
      <c r="C635" s="28"/>
      <c r="D635" s="28"/>
      <c r="E635" s="28"/>
      <c r="F635" s="28"/>
    </row>
    <row r="636">
      <c r="A636" s="28"/>
      <c r="B636" s="28"/>
      <c r="C636" s="28"/>
      <c r="D636" s="28"/>
      <c r="E636" s="28"/>
      <c r="F636" s="28"/>
    </row>
    <row r="637">
      <c r="A637" s="28"/>
      <c r="B637" s="28"/>
      <c r="C637" s="28"/>
      <c r="D637" s="28"/>
      <c r="E637" s="28"/>
      <c r="F637" s="28"/>
    </row>
    <row r="638">
      <c r="A638" s="28"/>
      <c r="B638" s="28"/>
      <c r="C638" s="28"/>
      <c r="D638" s="28"/>
      <c r="E638" s="28"/>
      <c r="F638" s="28"/>
    </row>
    <row r="639">
      <c r="A639" s="28"/>
      <c r="B639" s="28"/>
      <c r="C639" s="28"/>
      <c r="D639" s="28"/>
      <c r="E639" s="28"/>
      <c r="F639" s="28"/>
    </row>
    <row r="640">
      <c r="A640" s="28"/>
      <c r="B640" s="28"/>
      <c r="C640" s="28"/>
      <c r="D640" s="28"/>
      <c r="E640" s="28"/>
      <c r="F640" s="28"/>
    </row>
    <row r="641">
      <c r="A641" s="28"/>
      <c r="B641" s="28"/>
      <c r="C641" s="28"/>
      <c r="D641" s="28"/>
      <c r="E641" s="28"/>
      <c r="F641" s="28"/>
    </row>
    <row r="642">
      <c r="A642" s="28"/>
      <c r="B642" s="28"/>
      <c r="C642" s="28"/>
      <c r="D642" s="28"/>
      <c r="E642" s="28"/>
      <c r="F642" s="28"/>
    </row>
    <row r="643">
      <c r="A643" s="28"/>
      <c r="B643" s="28"/>
      <c r="C643" s="28"/>
      <c r="D643" s="28"/>
      <c r="E643" s="28"/>
      <c r="F643" s="28"/>
    </row>
    <row r="644">
      <c r="A644" s="28"/>
      <c r="B644" s="28"/>
      <c r="C644" s="28"/>
      <c r="D644" s="28"/>
      <c r="E644" s="28"/>
      <c r="F644" s="28"/>
    </row>
    <row r="645">
      <c r="A645" s="28"/>
      <c r="B645" s="28"/>
      <c r="C645" s="28"/>
      <c r="D645" s="28"/>
      <c r="E645" s="28"/>
      <c r="F645" s="28"/>
    </row>
    <row r="646">
      <c r="A646" s="28"/>
      <c r="B646" s="28"/>
      <c r="C646" s="28"/>
      <c r="D646" s="28"/>
      <c r="E646" s="28"/>
      <c r="F646" s="28"/>
    </row>
    <row r="647">
      <c r="A647" s="28"/>
      <c r="B647" s="28"/>
      <c r="C647" s="28"/>
      <c r="D647" s="28"/>
      <c r="E647" s="28"/>
      <c r="F647" s="28"/>
    </row>
    <row r="648">
      <c r="A648" s="28"/>
      <c r="B648" s="28"/>
      <c r="C648" s="28"/>
      <c r="D648" s="28"/>
      <c r="E648" s="28"/>
      <c r="F648" s="28"/>
    </row>
    <row r="649">
      <c r="A649" s="28"/>
      <c r="B649" s="28"/>
      <c r="C649" s="28"/>
      <c r="D649" s="28"/>
      <c r="E649" s="28"/>
      <c r="F649" s="28"/>
    </row>
    <row r="650">
      <c r="A650" s="28"/>
      <c r="B650" s="28"/>
      <c r="C650" s="28"/>
      <c r="D650" s="28"/>
      <c r="E650" s="28"/>
      <c r="F650" s="28"/>
    </row>
    <row r="651">
      <c r="A651" s="28"/>
      <c r="B651" s="28"/>
      <c r="C651" s="28"/>
      <c r="D651" s="28"/>
      <c r="E651" s="28"/>
      <c r="F651" s="28"/>
    </row>
    <row r="652">
      <c r="A652" s="28"/>
      <c r="B652" s="28"/>
      <c r="C652" s="28"/>
      <c r="D652" s="28"/>
      <c r="E652" s="28"/>
      <c r="F652" s="28"/>
    </row>
    <row r="653">
      <c r="A653" s="28"/>
      <c r="B653" s="28"/>
      <c r="C653" s="28"/>
      <c r="D653" s="28"/>
      <c r="E653" s="28"/>
      <c r="F653" s="28"/>
    </row>
    <row r="654">
      <c r="A654" s="28"/>
      <c r="B654" s="28"/>
      <c r="C654" s="28"/>
      <c r="D654" s="28"/>
      <c r="E654" s="28"/>
      <c r="F654" s="28"/>
    </row>
    <row r="655">
      <c r="A655" s="28"/>
      <c r="B655" s="28"/>
      <c r="C655" s="28"/>
      <c r="D655" s="28"/>
      <c r="E655" s="28"/>
      <c r="F655" s="28"/>
    </row>
    <row r="656">
      <c r="A656" s="28"/>
      <c r="B656" s="28"/>
      <c r="C656" s="28"/>
      <c r="D656" s="28"/>
      <c r="E656" s="28"/>
      <c r="F656" s="28"/>
    </row>
    <row r="657">
      <c r="A657" s="28"/>
      <c r="B657" s="28"/>
      <c r="C657" s="28"/>
      <c r="D657" s="28"/>
      <c r="E657" s="28"/>
      <c r="F657" s="28"/>
    </row>
    <row r="658">
      <c r="A658" s="28"/>
      <c r="B658" s="28"/>
      <c r="C658" s="28"/>
      <c r="D658" s="28"/>
      <c r="E658" s="28"/>
      <c r="F658" s="28"/>
    </row>
    <row r="659">
      <c r="A659" s="28"/>
      <c r="B659" s="28"/>
      <c r="C659" s="28"/>
      <c r="D659" s="28"/>
      <c r="E659" s="28"/>
      <c r="F659" s="28"/>
    </row>
    <row r="660">
      <c r="A660" s="28"/>
      <c r="B660" s="28"/>
      <c r="C660" s="28"/>
      <c r="D660" s="28"/>
      <c r="E660" s="28"/>
      <c r="F660" s="28"/>
    </row>
    <row r="661">
      <c r="A661" s="28"/>
      <c r="B661" s="28"/>
      <c r="C661" s="28"/>
      <c r="D661" s="28"/>
      <c r="E661" s="28"/>
      <c r="F661" s="28"/>
    </row>
    <row r="662">
      <c r="A662" s="28"/>
      <c r="B662" s="28"/>
      <c r="C662" s="28"/>
      <c r="D662" s="28"/>
      <c r="E662" s="28"/>
      <c r="F662" s="28"/>
    </row>
    <row r="663">
      <c r="A663" s="28"/>
      <c r="B663" s="28"/>
      <c r="C663" s="28"/>
      <c r="D663" s="28"/>
      <c r="E663" s="28"/>
      <c r="F663" s="28"/>
    </row>
    <row r="664">
      <c r="A664" s="28"/>
      <c r="B664" s="28"/>
      <c r="C664" s="28"/>
      <c r="D664" s="28"/>
      <c r="E664" s="28"/>
      <c r="F664" s="28"/>
    </row>
    <row r="665">
      <c r="A665" s="28"/>
      <c r="B665" s="28"/>
      <c r="C665" s="28"/>
      <c r="D665" s="28"/>
      <c r="E665" s="28"/>
      <c r="F665" s="28"/>
    </row>
    <row r="666">
      <c r="A666" s="28"/>
      <c r="B666" s="28"/>
      <c r="C666" s="28"/>
      <c r="D666" s="28"/>
      <c r="E666" s="28"/>
      <c r="F666" s="28"/>
    </row>
    <row r="667">
      <c r="A667" s="28"/>
      <c r="B667" s="28"/>
      <c r="C667" s="28"/>
      <c r="D667" s="28"/>
      <c r="E667" s="28"/>
      <c r="F667" s="28"/>
    </row>
    <row r="668">
      <c r="A668" s="28"/>
      <c r="B668" s="28"/>
      <c r="C668" s="28"/>
      <c r="D668" s="28"/>
      <c r="E668" s="28"/>
      <c r="F668" s="28"/>
    </row>
    <row r="669">
      <c r="A669" s="28"/>
      <c r="B669" s="28"/>
      <c r="C669" s="28"/>
      <c r="D669" s="28"/>
      <c r="E669" s="28"/>
      <c r="F669" s="28"/>
    </row>
    <row r="670">
      <c r="A670" s="28"/>
      <c r="B670" s="28"/>
      <c r="C670" s="28"/>
      <c r="D670" s="28"/>
      <c r="E670" s="28"/>
      <c r="F670" s="28"/>
    </row>
    <row r="671">
      <c r="A671" s="28"/>
      <c r="B671" s="28"/>
      <c r="C671" s="28"/>
      <c r="D671" s="28"/>
      <c r="E671" s="28"/>
      <c r="F671" s="28"/>
    </row>
    <row r="672">
      <c r="A672" s="28"/>
      <c r="B672" s="28"/>
      <c r="C672" s="28"/>
      <c r="D672" s="28"/>
      <c r="E672" s="28"/>
      <c r="F672" s="28"/>
    </row>
    <row r="673">
      <c r="A673" s="28"/>
      <c r="B673" s="28"/>
      <c r="C673" s="28"/>
      <c r="D673" s="28"/>
      <c r="E673" s="28"/>
      <c r="F673" s="28"/>
    </row>
    <row r="674">
      <c r="A674" s="28"/>
      <c r="B674" s="28"/>
      <c r="C674" s="28"/>
      <c r="D674" s="28"/>
      <c r="E674" s="28"/>
      <c r="F674" s="28"/>
    </row>
    <row r="675">
      <c r="A675" s="28"/>
      <c r="B675" s="28"/>
      <c r="C675" s="28"/>
      <c r="D675" s="28"/>
      <c r="E675" s="28"/>
      <c r="F675" s="28"/>
    </row>
    <row r="676">
      <c r="A676" s="28"/>
      <c r="B676" s="28"/>
      <c r="C676" s="28"/>
      <c r="D676" s="28"/>
      <c r="E676" s="28"/>
      <c r="F676" s="28"/>
    </row>
    <row r="677">
      <c r="A677" s="28"/>
      <c r="B677" s="28"/>
      <c r="C677" s="28"/>
      <c r="D677" s="28"/>
      <c r="E677" s="28"/>
      <c r="F677" s="28"/>
    </row>
    <row r="678">
      <c r="A678" s="28"/>
      <c r="B678" s="28"/>
      <c r="C678" s="28"/>
      <c r="D678" s="28"/>
      <c r="E678" s="28"/>
      <c r="F678" s="28"/>
    </row>
    <row r="679">
      <c r="A679" s="28"/>
      <c r="B679" s="28"/>
      <c r="C679" s="28"/>
      <c r="D679" s="28"/>
      <c r="E679" s="28"/>
      <c r="F679" s="28"/>
    </row>
    <row r="680">
      <c r="A680" s="28"/>
      <c r="B680" s="28"/>
      <c r="C680" s="28"/>
      <c r="D680" s="28"/>
      <c r="E680" s="28"/>
      <c r="F680" s="28"/>
    </row>
    <row r="681">
      <c r="A681" s="28"/>
      <c r="B681" s="28"/>
      <c r="C681" s="28"/>
      <c r="D681" s="28"/>
      <c r="E681" s="28"/>
      <c r="F681" s="28"/>
    </row>
    <row r="682">
      <c r="A682" s="28"/>
      <c r="B682" s="28"/>
      <c r="C682" s="28"/>
      <c r="D682" s="28"/>
      <c r="E682" s="28"/>
      <c r="F682" s="28"/>
    </row>
    <row r="683">
      <c r="A683" s="28"/>
      <c r="B683" s="28"/>
      <c r="C683" s="28"/>
      <c r="D683" s="28"/>
      <c r="E683" s="28"/>
      <c r="F683" s="28"/>
    </row>
    <row r="684">
      <c r="A684" s="28"/>
      <c r="B684" s="28"/>
      <c r="C684" s="28"/>
      <c r="D684" s="28"/>
      <c r="E684" s="28"/>
      <c r="F684" s="28"/>
    </row>
    <row r="685">
      <c r="A685" s="28"/>
      <c r="B685" s="28"/>
      <c r="C685" s="28"/>
      <c r="D685" s="28"/>
      <c r="E685" s="28"/>
      <c r="F685" s="28"/>
    </row>
    <row r="686">
      <c r="A686" s="28"/>
      <c r="B686" s="28"/>
      <c r="C686" s="28"/>
      <c r="D686" s="28"/>
      <c r="E686" s="28"/>
      <c r="F686" s="28"/>
    </row>
    <row r="687">
      <c r="A687" s="28"/>
      <c r="B687" s="28"/>
      <c r="C687" s="28"/>
      <c r="D687" s="28"/>
      <c r="E687" s="28"/>
      <c r="F687" s="28"/>
    </row>
    <row r="688">
      <c r="A688" s="28"/>
      <c r="B688" s="28"/>
      <c r="C688" s="28"/>
      <c r="D688" s="28"/>
      <c r="E688" s="28"/>
      <c r="F688" s="28"/>
    </row>
    <row r="689">
      <c r="A689" s="28"/>
      <c r="B689" s="28"/>
      <c r="C689" s="28"/>
      <c r="D689" s="28"/>
      <c r="E689" s="28"/>
      <c r="F689" s="28"/>
    </row>
    <row r="690">
      <c r="A690" s="28"/>
      <c r="B690" s="28"/>
      <c r="C690" s="28"/>
      <c r="D690" s="28"/>
      <c r="E690" s="28"/>
      <c r="F690" s="28"/>
    </row>
    <row r="691">
      <c r="A691" s="28"/>
      <c r="B691" s="28"/>
      <c r="C691" s="28"/>
      <c r="D691" s="28"/>
      <c r="E691" s="28"/>
      <c r="F691" s="28"/>
    </row>
    <row r="692">
      <c r="A692" s="28"/>
      <c r="B692" s="28"/>
      <c r="C692" s="28"/>
      <c r="D692" s="28"/>
      <c r="E692" s="28"/>
      <c r="F692" s="28"/>
    </row>
    <row r="693">
      <c r="A693" s="28"/>
      <c r="B693" s="28"/>
      <c r="C693" s="28"/>
      <c r="D693" s="28"/>
      <c r="E693" s="28"/>
      <c r="F693" s="28"/>
    </row>
    <row r="694">
      <c r="A694" s="28"/>
      <c r="B694" s="28"/>
      <c r="C694" s="28"/>
      <c r="D694" s="28"/>
      <c r="E694" s="28"/>
      <c r="F694" s="28"/>
    </row>
    <row r="695">
      <c r="A695" s="28"/>
      <c r="B695" s="28"/>
      <c r="C695" s="28"/>
      <c r="D695" s="28"/>
      <c r="E695" s="28"/>
      <c r="F695" s="28"/>
    </row>
    <row r="696">
      <c r="A696" s="28"/>
      <c r="B696" s="28"/>
      <c r="C696" s="28"/>
      <c r="D696" s="28"/>
      <c r="E696" s="28"/>
      <c r="F696" s="28"/>
    </row>
    <row r="697">
      <c r="A697" s="28"/>
      <c r="B697" s="28"/>
      <c r="C697" s="28"/>
      <c r="D697" s="28"/>
      <c r="E697" s="28"/>
      <c r="F697" s="28"/>
    </row>
    <row r="698">
      <c r="A698" s="28"/>
      <c r="B698" s="28"/>
      <c r="C698" s="28"/>
      <c r="D698" s="28"/>
      <c r="E698" s="28"/>
      <c r="F698" s="28"/>
    </row>
    <row r="699">
      <c r="A699" s="28"/>
      <c r="B699" s="28"/>
      <c r="C699" s="28"/>
      <c r="D699" s="28"/>
      <c r="E699" s="28"/>
      <c r="F699" s="28"/>
    </row>
    <row r="700">
      <c r="A700" s="28"/>
      <c r="B700" s="28"/>
      <c r="C700" s="28"/>
      <c r="D700" s="28"/>
      <c r="E700" s="28"/>
      <c r="F700" s="28"/>
    </row>
    <row r="701">
      <c r="A701" s="28"/>
      <c r="B701" s="28"/>
      <c r="C701" s="28"/>
      <c r="D701" s="28"/>
      <c r="E701" s="28"/>
      <c r="F701" s="28"/>
    </row>
    <row r="702">
      <c r="A702" s="28"/>
      <c r="B702" s="28"/>
      <c r="C702" s="28"/>
      <c r="D702" s="28"/>
      <c r="E702" s="28"/>
      <c r="F702" s="28"/>
    </row>
    <row r="703">
      <c r="A703" s="28"/>
      <c r="B703" s="28"/>
      <c r="C703" s="28"/>
      <c r="D703" s="28"/>
      <c r="E703" s="28"/>
      <c r="F703" s="28"/>
    </row>
    <row r="704">
      <c r="A704" s="28"/>
      <c r="B704" s="28"/>
      <c r="C704" s="28"/>
      <c r="D704" s="28"/>
      <c r="E704" s="28"/>
      <c r="F704" s="28"/>
    </row>
    <row r="705">
      <c r="A705" s="28"/>
      <c r="B705" s="28"/>
      <c r="C705" s="28"/>
      <c r="D705" s="28"/>
      <c r="E705" s="28"/>
      <c r="F705" s="28"/>
    </row>
    <row r="706">
      <c r="A706" s="28"/>
      <c r="B706" s="28"/>
      <c r="C706" s="28"/>
      <c r="D706" s="28"/>
      <c r="E706" s="28"/>
      <c r="F706" s="28"/>
    </row>
    <row r="707">
      <c r="A707" s="28"/>
      <c r="B707" s="28"/>
      <c r="C707" s="28"/>
      <c r="D707" s="28"/>
      <c r="E707" s="28"/>
      <c r="F707" s="28"/>
    </row>
    <row r="708">
      <c r="A708" s="28"/>
      <c r="B708" s="28"/>
      <c r="C708" s="28"/>
      <c r="D708" s="28"/>
      <c r="E708" s="28"/>
      <c r="F708" s="28"/>
    </row>
    <row r="709">
      <c r="A709" s="28"/>
      <c r="B709" s="28"/>
      <c r="C709" s="28"/>
      <c r="D709" s="28"/>
      <c r="E709" s="28"/>
      <c r="F709" s="28"/>
    </row>
    <row r="710">
      <c r="A710" s="28"/>
      <c r="B710" s="28"/>
      <c r="C710" s="28"/>
      <c r="D710" s="28"/>
      <c r="E710" s="28"/>
      <c r="F710" s="28"/>
    </row>
    <row r="711">
      <c r="A711" s="28"/>
      <c r="B711" s="28"/>
      <c r="C711" s="28"/>
      <c r="D711" s="28"/>
      <c r="E711" s="28"/>
      <c r="F711" s="28"/>
    </row>
    <row r="712">
      <c r="A712" s="28"/>
      <c r="B712" s="28"/>
      <c r="C712" s="28"/>
      <c r="D712" s="28"/>
      <c r="E712" s="28"/>
      <c r="F712" s="28"/>
    </row>
    <row r="713">
      <c r="A713" s="28"/>
      <c r="B713" s="28"/>
      <c r="C713" s="28"/>
      <c r="D713" s="28"/>
      <c r="E713" s="28"/>
      <c r="F713" s="28"/>
    </row>
    <row r="714">
      <c r="A714" s="28"/>
      <c r="B714" s="28"/>
      <c r="C714" s="28"/>
      <c r="D714" s="28"/>
      <c r="E714" s="28"/>
      <c r="F714" s="28"/>
    </row>
    <row r="715">
      <c r="A715" s="28"/>
      <c r="B715" s="28"/>
      <c r="C715" s="28"/>
      <c r="D715" s="28"/>
      <c r="E715" s="28"/>
      <c r="F715" s="28"/>
    </row>
    <row r="716">
      <c r="A716" s="28"/>
      <c r="B716" s="28"/>
      <c r="C716" s="28"/>
      <c r="D716" s="28"/>
      <c r="E716" s="28"/>
      <c r="F716" s="28"/>
    </row>
    <row r="717">
      <c r="A717" s="28"/>
      <c r="B717" s="28"/>
      <c r="C717" s="28"/>
      <c r="D717" s="28"/>
      <c r="E717" s="28"/>
      <c r="F717" s="28"/>
    </row>
    <row r="718">
      <c r="A718" s="28"/>
      <c r="B718" s="28"/>
      <c r="C718" s="28"/>
      <c r="D718" s="28"/>
      <c r="E718" s="28"/>
      <c r="F718" s="28"/>
    </row>
    <row r="719">
      <c r="A719" s="28"/>
      <c r="B719" s="28"/>
      <c r="C719" s="28"/>
      <c r="D719" s="28"/>
      <c r="E719" s="28"/>
      <c r="F719" s="28"/>
    </row>
    <row r="720">
      <c r="A720" s="28"/>
      <c r="B720" s="28"/>
      <c r="C720" s="28"/>
      <c r="D720" s="28"/>
      <c r="E720" s="28"/>
      <c r="F720" s="28"/>
    </row>
    <row r="721">
      <c r="A721" s="28"/>
      <c r="B721" s="28"/>
      <c r="C721" s="28"/>
      <c r="D721" s="28"/>
      <c r="E721" s="28"/>
      <c r="F721" s="28"/>
    </row>
    <row r="722">
      <c r="A722" s="28"/>
      <c r="B722" s="28"/>
      <c r="C722" s="28"/>
      <c r="D722" s="28"/>
      <c r="E722" s="28"/>
      <c r="F722" s="28"/>
    </row>
    <row r="723">
      <c r="A723" s="28"/>
      <c r="B723" s="28"/>
      <c r="C723" s="28"/>
      <c r="D723" s="28"/>
      <c r="E723" s="28"/>
      <c r="F723" s="28"/>
    </row>
    <row r="724">
      <c r="A724" s="28"/>
      <c r="B724" s="28"/>
      <c r="C724" s="28"/>
      <c r="D724" s="28"/>
      <c r="E724" s="28"/>
      <c r="F724" s="28"/>
    </row>
    <row r="725">
      <c r="A725" s="28"/>
      <c r="B725" s="28"/>
      <c r="C725" s="28"/>
      <c r="D725" s="28"/>
      <c r="E725" s="28"/>
      <c r="F725" s="28"/>
    </row>
    <row r="726">
      <c r="A726" s="28"/>
      <c r="B726" s="28"/>
      <c r="C726" s="28"/>
      <c r="D726" s="28"/>
      <c r="E726" s="28"/>
      <c r="F726" s="28"/>
    </row>
    <row r="727">
      <c r="A727" s="28"/>
      <c r="B727" s="28"/>
      <c r="C727" s="28"/>
      <c r="D727" s="28"/>
      <c r="E727" s="28"/>
      <c r="F727" s="28"/>
    </row>
    <row r="728">
      <c r="A728" s="28"/>
      <c r="B728" s="28"/>
      <c r="C728" s="28"/>
      <c r="D728" s="28"/>
      <c r="E728" s="28"/>
      <c r="F728" s="28"/>
    </row>
    <row r="729">
      <c r="A729" s="28"/>
      <c r="B729" s="28"/>
      <c r="C729" s="28"/>
      <c r="D729" s="28"/>
      <c r="E729" s="28"/>
      <c r="F729" s="28"/>
    </row>
    <row r="730">
      <c r="A730" s="28"/>
      <c r="B730" s="28"/>
      <c r="C730" s="28"/>
      <c r="D730" s="28"/>
      <c r="E730" s="28"/>
      <c r="F730" s="28"/>
    </row>
    <row r="731">
      <c r="A731" s="28"/>
      <c r="B731" s="28"/>
      <c r="C731" s="28"/>
      <c r="D731" s="28"/>
      <c r="E731" s="28"/>
      <c r="F731" s="28"/>
    </row>
    <row r="732">
      <c r="A732" s="28"/>
      <c r="B732" s="28"/>
      <c r="C732" s="28"/>
      <c r="D732" s="28"/>
      <c r="E732" s="28"/>
      <c r="F732" s="28"/>
    </row>
    <row r="733">
      <c r="A733" s="28"/>
      <c r="B733" s="28"/>
      <c r="C733" s="28"/>
      <c r="D733" s="28"/>
      <c r="E733" s="28"/>
      <c r="F733" s="28"/>
    </row>
    <row r="734">
      <c r="A734" s="28"/>
      <c r="B734" s="28"/>
      <c r="C734" s="28"/>
      <c r="D734" s="28"/>
      <c r="E734" s="28"/>
      <c r="F734" s="28"/>
    </row>
    <row r="735">
      <c r="A735" s="28"/>
      <c r="B735" s="28"/>
      <c r="C735" s="28"/>
      <c r="D735" s="28"/>
      <c r="E735" s="28"/>
      <c r="F735" s="28"/>
    </row>
    <row r="736">
      <c r="A736" s="28"/>
      <c r="B736" s="28"/>
      <c r="C736" s="28"/>
      <c r="D736" s="28"/>
      <c r="E736" s="28"/>
      <c r="F736" s="28"/>
    </row>
    <row r="737">
      <c r="A737" s="28"/>
      <c r="B737" s="28"/>
      <c r="C737" s="28"/>
      <c r="D737" s="28"/>
      <c r="E737" s="28"/>
      <c r="F737" s="28"/>
    </row>
    <row r="738">
      <c r="A738" s="28"/>
      <c r="B738" s="28"/>
      <c r="C738" s="28"/>
      <c r="D738" s="28"/>
      <c r="E738" s="28"/>
      <c r="F738" s="28"/>
    </row>
    <row r="739">
      <c r="A739" s="28"/>
      <c r="B739" s="28"/>
      <c r="C739" s="28"/>
      <c r="D739" s="28"/>
      <c r="E739" s="28"/>
      <c r="F739" s="28"/>
    </row>
    <row r="740">
      <c r="A740" s="28"/>
      <c r="B740" s="28"/>
      <c r="C740" s="28"/>
      <c r="D740" s="28"/>
      <c r="E740" s="28"/>
      <c r="F740" s="28"/>
    </row>
    <row r="741">
      <c r="A741" s="28"/>
      <c r="B741" s="28"/>
      <c r="C741" s="28"/>
      <c r="D741" s="28"/>
      <c r="E741" s="28"/>
      <c r="F741" s="28"/>
    </row>
    <row r="742">
      <c r="A742" s="28"/>
      <c r="B742" s="28"/>
      <c r="C742" s="28"/>
      <c r="D742" s="28"/>
      <c r="E742" s="28"/>
      <c r="F742" s="28"/>
    </row>
    <row r="743">
      <c r="A743" s="28"/>
      <c r="B743" s="28"/>
      <c r="C743" s="28"/>
      <c r="D743" s="28"/>
      <c r="E743" s="28"/>
      <c r="F743" s="28"/>
    </row>
    <row r="744">
      <c r="A744" s="28"/>
      <c r="B744" s="28"/>
      <c r="C744" s="28"/>
      <c r="D744" s="28"/>
      <c r="E744" s="28"/>
      <c r="F744" s="28"/>
    </row>
    <row r="745">
      <c r="A745" s="28"/>
      <c r="B745" s="28"/>
      <c r="C745" s="28"/>
      <c r="D745" s="28"/>
      <c r="E745" s="28"/>
      <c r="F745" s="28"/>
    </row>
    <row r="746">
      <c r="A746" s="28"/>
      <c r="B746" s="28"/>
      <c r="C746" s="28"/>
      <c r="D746" s="28"/>
      <c r="E746" s="28"/>
      <c r="F746" s="28"/>
    </row>
    <row r="747">
      <c r="A747" s="28"/>
      <c r="B747" s="28"/>
      <c r="C747" s="28"/>
      <c r="D747" s="28"/>
      <c r="E747" s="28"/>
      <c r="F747" s="28"/>
    </row>
    <row r="748">
      <c r="A748" s="28"/>
      <c r="B748" s="28"/>
      <c r="C748" s="28"/>
      <c r="D748" s="28"/>
      <c r="E748" s="28"/>
      <c r="F748" s="28"/>
    </row>
    <row r="749">
      <c r="A749" s="28"/>
      <c r="B749" s="28"/>
      <c r="C749" s="28"/>
      <c r="D749" s="28"/>
      <c r="E749" s="28"/>
      <c r="F749" s="28"/>
    </row>
    <row r="750">
      <c r="A750" s="28"/>
      <c r="B750" s="28"/>
      <c r="C750" s="28"/>
      <c r="D750" s="28"/>
      <c r="E750" s="28"/>
      <c r="F750" s="28"/>
    </row>
    <row r="751">
      <c r="A751" s="28"/>
      <c r="B751" s="28"/>
      <c r="C751" s="28"/>
      <c r="D751" s="28"/>
      <c r="E751" s="28"/>
      <c r="F751" s="28"/>
    </row>
    <row r="752">
      <c r="A752" s="28"/>
      <c r="B752" s="28"/>
      <c r="C752" s="28"/>
      <c r="D752" s="28"/>
      <c r="E752" s="28"/>
      <c r="F752" s="28"/>
    </row>
    <row r="753">
      <c r="A753" s="28"/>
      <c r="B753" s="28"/>
      <c r="C753" s="28"/>
      <c r="D753" s="28"/>
      <c r="E753" s="28"/>
      <c r="F753" s="28"/>
    </row>
    <row r="754">
      <c r="A754" s="28"/>
      <c r="B754" s="28"/>
      <c r="C754" s="28"/>
      <c r="D754" s="28"/>
      <c r="E754" s="28"/>
      <c r="F754" s="28"/>
    </row>
    <row r="755">
      <c r="A755" s="28"/>
      <c r="B755" s="28"/>
      <c r="C755" s="28"/>
      <c r="D755" s="28"/>
      <c r="E755" s="28"/>
      <c r="F755" s="28"/>
    </row>
    <row r="756">
      <c r="A756" s="28"/>
      <c r="B756" s="28"/>
      <c r="C756" s="28"/>
      <c r="D756" s="28"/>
      <c r="E756" s="28"/>
      <c r="F756" s="28"/>
    </row>
    <row r="757">
      <c r="A757" s="28"/>
      <c r="B757" s="28"/>
      <c r="C757" s="28"/>
      <c r="D757" s="28"/>
      <c r="E757" s="28"/>
      <c r="F757" s="28"/>
    </row>
    <row r="758">
      <c r="A758" s="28"/>
      <c r="B758" s="28"/>
      <c r="C758" s="28"/>
      <c r="D758" s="28"/>
      <c r="E758" s="28"/>
      <c r="F758" s="28"/>
    </row>
    <row r="759">
      <c r="A759" s="28"/>
      <c r="B759" s="28"/>
      <c r="C759" s="28"/>
      <c r="D759" s="28"/>
      <c r="E759" s="28"/>
      <c r="F759" s="28"/>
    </row>
    <row r="760">
      <c r="A760" s="28"/>
      <c r="B760" s="28"/>
      <c r="C760" s="28"/>
      <c r="D760" s="28"/>
      <c r="E760" s="28"/>
      <c r="F760" s="28"/>
    </row>
    <row r="761">
      <c r="A761" s="28"/>
      <c r="B761" s="28"/>
      <c r="C761" s="28"/>
      <c r="D761" s="28"/>
      <c r="E761" s="28"/>
      <c r="F761" s="28"/>
    </row>
    <row r="762">
      <c r="A762" s="28"/>
      <c r="B762" s="28"/>
      <c r="C762" s="28"/>
      <c r="D762" s="28"/>
      <c r="E762" s="28"/>
      <c r="F762" s="28"/>
    </row>
    <row r="763">
      <c r="A763" s="28"/>
      <c r="B763" s="28"/>
      <c r="C763" s="28"/>
      <c r="D763" s="28"/>
      <c r="E763" s="28"/>
      <c r="F763" s="28"/>
    </row>
    <row r="764">
      <c r="A764" s="28"/>
      <c r="B764" s="28"/>
      <c r="C764" s="28"/>
      <c r="D764" s="28"/>
      <c r="E764" s="28"/>
      <c r="F764" s="28"/>
    </row>
    <row r="765">
      <c r="A765" s="28"/>
      <c r="B765" s="28"/>
      <c r="C765" s="28"/>
      <c r="D765" s="28"/>
      <c r="E765" s="28"/>
      <c r="F765" s="28"/>
    </row>
    <row r="766">
      <c r="A766" s="28"/>
      <c r="B766" s="28"/>
      <c r="C766" s="28"/>
      <c r="D766" s="28"/>
      <c r="E766" s="28"/>
      <c r="F766" s="28"/>
    </row>
    <row r="767">
      <c r="A767" s="28"/>
      <c r="B767" s="28"/>
      <c r="C767" s="28"/>
      <c r="D767" s="28"/>
      <c r="E767" s="28"/>
      <c r="F767" s="28"/>
    </row>
    <row r="768">
      <c r="A768" s="28"/>
      <c r="B768" s="28"/>
      <c r="C768" s="28"/>
      <c r="D768" s="28"/>
      <c r="E768" s="28"/>
      <c r="F768" s="28"/>
    </row>
    <row r="769">
      <c r="A769" s="28"/>
      <c r="B769" s="28"/>
      <c r="C769" s="28"/>
      <c r="D769" s="28"/>
      <c r="E769" s="28"/>
      <c r="F769" s="28"/>
    </row>
    <row r="770">
      <c r="A770" s="28"/>
      <c r="B770" s="28"/>
      <c r="C770" s="28"/>
      <c r="D770" s="28"/>
      <c r="E770" s="28"/>
      <c r="F770" s="28"/>
    </row>
    <row r="771">
      <c r="A771" s="28"/>
      <c r="B771" s="28"/>
      <c r="C771" s="28"/>
      <c r="D771" s="28"/>
      <c r="E771" s="28"/>
      <c r="F771" s="28"/>
    </row>
    <row r="772">
      <c r="A772" s="28"/>
      <c r="B772" s="28"/>
      <c r="C772" s="28"/>
      <c r="D772" s="28"/>
      <c r="E772" s="28"/>
      <c r="F772" s="28"/>
    </row>
    <row r="773">
      <c r="A773" s="28"/>
      <c r="B773" s="28"/>
      <c r="C773" s="28"/>
      <c r="D773" s="28"/>
      <c r="E773" s="28"/>
      <c r="F773" s="28"/>
    </row>
    <row r="774">
      <c r="A774" s="28"/>
      <c r="B774" s="28"/>
      <c r="C774" s="28"/>
      <c r="D774" s="28"/>
      <c r="E774" s="28"/>
      <c r="F774" s="28"/>
    </row>
    <row r="775">
      <c r="A775" s="28"/>
      <c r="B775" s="28"/>
      <c r="C775" s="28"/>
      <c r="D775" s="28"/>
      <c r="E775" s="28"/>
      <c r="F775" s="28"/>
    </row>
    <row r="776">
      <c r="A776" s="28"/>
      <c r="B776" s="28"/>
      <c r="C776" s="28"/>
      <c r="D776" s="28"/>
      <c r="E776" s="28"/>
      <c r="F776" s="28"/>
    </row>
    <row r="777">
      <c r="A777" s="28"/>
      <c r="B777" s="28"/>
      <c r="C777" s="28"/>
      <c r="D777" s="28"/>
      <c r="E777" s="28"/>
      <c r="F777" s="28"/>
    </row>
    <row r="778">
      <c r="A778" s="28"/>
      <c r="B778" s="28"/>
      <c r="C778" s="28"/>
      <c r="D778" s="28"/>
      <c r="E778" s="28"/>
      <c r="F778" s="28"/>
    </row>
    <row r="779">
      <c r="A779" s="28"/>
      <c r="B779" s="28"/>
      <c r="C779" s="28"/>
      <c r="D779" s="28"/>
      <c r="E779" s="28"/>
      <c r="F779" s="28"/>
    </row>
    <row r="780">
      <c r="A780" s="28"/>
      <c r="B780" s="28"/>
      <c r="C780" s="28"/>
      <c r="D780" s="28"/>
      <c r="E780" s="28"/>
      <c r="F780" s="28"/>
    </row>
    <row r="781">
      <c r="A781" s="28"/>
      <c r="B781" s="28"/>
      <c r="C781" s="28"/>
      <c r="D781" s="28"/>
      <c r="E781" s="28"/>
      <c r="F781" s="28"/>
    </row>
    <row r="782">
      <c r="A782" s="28"/>
      <c r="B782" s="28"/>
      <c r="C782" s="28"/>
      <c r="D782" s="28"/>
      <c r="E782" s="28"/>
      <c r="F782" s="28"/>
    </row>
    <row r="783">
      <c r="A783" s="28"/>
      <c r="B783" s="28"/>
      <c r="C783" s="28"/>
      <c r="D783" s="28"/>
      <c r="E783" s="28"/>
      <c r="F783" s="28"/>
    </row>
    <row r="784">
      <c r="A784" s="28"/>
      <c r="B784" s="28"/>
      <c r="C784" s="28"/>
      <c r="D784" s="28"/>
      <c r="E784" s="28"/>
      <c r="F784" s="28"/>
    </row>
    <row r="785">
      <c r="A785" s="28"/>
      <c r="B785" s="28"/>
      <c r="C785" s="28"/>
      <c r="D785" s="28"/>
      <c r="E785" s="28"/>
      <c r="F785" s="28"/>
    </row>
    <row r="786">
      <c r="A786" s="28"/>
      <c r="B786" s="28"/>
      <c r="C786" s="28"/>
      <c r="D786" s="28"/>
      <c r="E786" s="28"/>
      <c r="F786" s="28"/>
    </row>
    <row r="787">
      <c r="A787" s="28"/>
      <c r="B787" s="28"/>
      <c r="C787" s="28"/>
      <c r="D787" s="28"/>
      <c r="E787" s="28"/>
      <c r="F787" s="28"/>
    </row>
    <row r="788">
      <c r="A788" s="28"/>
      <c r="B788" s="28"/>
      <c r="C788" s="28"/>
      <c r="D788" s="28"/>
      <c r="E788" s="28"/>
      <c r="F788" s="28"/>
    </row>
    <row r="789">
      <c r="A789" s="28"/>
      <c r="B789" s="28"/>
      <c r="C789" s="28"/>
      <c r="D789" s="28"/>
      <c r="E789" s="28"/>
      <c r="F789" s="28"/>
    </row>
    <row r="790">
      <c r="A790" s="28"/>
      <c r="B790" s="28"/>
      <c r="C790" s="28"/>
      <c r="D790" s="28"/>
      <c r="E790" s="28"/>
      <c r="F790" s="28"/>
    </row>
    <row r="791">
      <c r="A791" s="28"/>
      <c r="B791" s="28"/>
      <c r="C791" s="28"/>
      <c r="D791" s="28"/>
      <c r="E791" s="28"/>
      <c r="F791" s="28"/>
    </row>
    <row r="792">
      <c r="A792" s="28"/>
      <c r="B792" s="28"/>
      <c r="C792" s="28"/>
      <c r="D792" s="28"/>
      <c r="E792" s="28"/>
      <c r="F792" s="28"/>
    </row>
    <row r="793">
      <c r="A793" s="28"/>
      <c r="B793" s="28"/>
      <c r="C793" s="28"/>
      <c r="D793" s="28"/>
      <c r="E793" s="28"/>
      <c r="F793" s="28"/>
    </row>
    <row r="794">
      <c r="A794" s="28"/>
      <c r="B794" s="28"/>
      <c r="C794" s="28"/>
      <c r="D794" s="28"/>
      <c r="E794" s="28"/>
      <c r="F794" s="28"/>
    </row>
    <row r="795">
      <c r="A795" s="28"/>
      <c r="B795" s="28"/>
      <c r="C795" s="28"/>
      <c r="D795" s="28"/>
      <c r="E795" s="28"/>
      <c r="F795" s="28"/>
    </row>
    <row r="796">
      <c r="A796" s="28"/>
      <c r="B796" s="28"/>
      <c r="C796" s="28"/>
      <c r="D796" s="28"/>
      <c r="E796" s="28"/>
      <c r="F796" s="28"/>
    </row>
    <row r="797">
      <c r="A797" s="28"/>
      <c r="B797" s="28"/>
      <c r="C797" s="28"/>
      <c r="D797" s="28"/>
      <c r="E797" s="28"/>
      <c r="F797" s="28"/>
    </row>
    <row r="798">
      <c r="A798" s="28"/>
      <c r="B798" s="28"/>
      <c r="C798" s="28"/>
      <c r="D798" s="28"/>
      <c r="E798" s="28"/>
      <c r="F798" s="28"/>
    </row>
    <row r="799">
      <c r="A799" s="28"/>
      <c r="B799" s="28"/>
      <c r="C799" s="28"/>
      <c r="D799" s="28"/>
      <c r="E799" s="28"/>
      <c r="F799" s="28"/>
    </row>
    <row r="800">
      <c r="A800" s="28"/>
      <c r="B800" s="28"/>
      <c r="C800" s="28"/>
      <c r="D800" s="28"/>
      <c r="E800" s="28"/>
      <c r="F800" s="28"/>
    </row>
    <row r="801">
      <c r="A801" s="28"/>
      <c r="B801" s="28"/>
      <c r="C801" s="28"/>
      <c r="D801" s="28"/>
      <c r="E801" s="28"/>
      <c r="F801" s="28"/>
    </row>
    <row r="802">
      <c r="A802" s="28"/>
      <c r="B802" s="28"/>
      <c r="C802" s="28"/>
      <c r="D802" s="28"/>
      <c r="E802" s="28"/>
      <c r="F802" s="28"/>
    </row>
    <row r="803">
      <c r="A803" s="28"/>
      <c r="B803" s="28"/>
      <c r="C803" s="28"/>
      <c r="D803" s="28"/>
      <c r="E803" s="28"/>
      <c r="F803" s="28"/>
    </row>
    <row r="804">
      <c r="A804" s="28"/>
      <c r="B804" s="28"/>
      <c r="C804" s="28"/>
      <c r="D804" s="28"/>
      <c r="E804" s="28"/>
      <c r="F804" s="28"/>
    </row>
    <row r="805">
      <c r="A805" s="28"/>
      <c r="B805" s="28"/>
      <c r="C805" s="28"/>
      <c r="D805" s="28"/>
      <c r="E805" s="28"/>
      <c r="F805" s="28"/>
    </row>
    <row r="806">
      <c r="A806" s="28"/>
      <c r="B806" s="28"/>
      <c r="C806" s="28"/>
      <c r="D806" s="28"/>
      <c r="E806" s="28"/>
      <c r="F806" s="28"/>
    </row>
    <row r="807">
      <c r="A807" s="28"/>
      <c r="B807" s="28"/>
      <c r="C807" s="28"/>
      <c r="D807" s="28"/>
      <c r="E807" s="28"/>
      <c r="F807" s="28"/>
    </row>
    <row r="808">
      <c r="A808" s="28"/>
      <c r="B808" s="28"/>
      <c r="C808" s="28"/>
      <c r="D808" s="28"/>
      <c r="E808" s="28"/>
      <c r="F808" s="28"/>
    </row>
    <row r="809">
      <c r="A809" s="28"/>
      <c r="B809" s="28"/>
      <c r="C809" s="28"/>
      <c r="D809" s="28"/>
      <c r="E809" s="28"/>
      <c r="F809" s="28"/>
    </row>
    <row r="810">
      <c r="A810" s="28"/>
      <c r="B810" s="28"/>
      <c r="C810" s="28"/>
      <c r="D810" s="28"/>
      <c r="E810" s="28"/>
      <c r="F810" s="28"/>
    </row>
    <row r="811">
      <c r="A811" s="28"/>
      <c r="B811" s="28"/>
      <c r="C811" s="28"/>
      <c r="D811" s="28"/>
      <c r="E811" s="28"/>
      <c r="F811" s="28"/>
    </row>
    <row r="812">
      <c r="A812" s="28"/>
      <c r="B812" s="28"/>
      <c r="C812" s="28"/>
      <c r="D812" s="28"/>
      <c r="E812" s="28"/>
      <c r="F812" s="28"/>
    </row>
    <row r="813">
      <c r="A813" s="28"/>
      <c r="B813" s="28"/>
      <c r="C813" s="28"/>
      <c r="D813" s="28"/>
      <c r="E813" s="28"/>
      <c r="F813" s="28"/>
    </row>
    <row r="814">
      <c r="A814" s="28"/>
      <c r="B814" s="28"/>
      <c r="C814" s="28"/>
      <c r="D814" s="28"/>
      <c r="E814" s="28"/>
      <c r="F814" s="28"/>
    </row>
    <row r="815">
      <c r="A815" s="28"/>
      <c r="B815" s="28"/>
      <c r="C815" s="28"/>
      <c r="D815" s="28"/>
      <c r="E815" s="28"/>
      <c r="F815" s="28"/>
    </row>
    <row r="816">
      <c r="A816" s="28"/>
      <c r="B816" s="28"/>
      <c r="C816" s="28"/>
      <c r="D816" s="28"/>
      <c r="E816" s="28"/>
      <c r="F816" s="28"/>
    </row>
    <row r="817">
      <c r="A817" s="28"/>
      <c r="B817" s="28"/>
      <c r="C817" s="28"/>
      <c r="D817" s="28"/>
      <c r="E817" s="28"/>
      <c r="F817" s="28"/>
    </row>
    <row r="818">
      <c r="A818" s="28"/>
      <c r="B818" s="28"/>
      <c r="C818" s="28"/>
      <c r="D818" s="28"/>
      <c r="E818" s="28"/>
      <c r="F818" s="28"/>
    </row>
    <row r="819">
      <c r="A819" s="28"/>
      <c r="B819" s="28"/>
      <c r="C819" s="28"/>
      <c r="D819" s="28"/>
      <c r="E819" s="28"/>
      <c r="F819" s="28"/>
    </row>
    <row r="820">
      <c r="A820" s="28"/>
      <c r="B820" s="28"/>
      <c r="C820" s="28"/>
      <c r="D820" s="28"/>
      <c r="E820" s="28"/>
      <c r="F820" s="28"/>
    </row>
    <row r="821">
      <c r="A821" s="28"/>
      <c r="B821" s="28"/>
      <c r="C821" s="28"/>
      <c r="D821" s="28"/>
      <c r="E821" s="28"/>
      <c r="F821" s="28"/>
    </row>
    <row r="822">
      <c r="A822" s="28"/>
      <c r="B822" s="28"/>
      <c r="C822" s="28"/>
      <c r="D822" s="28"/>
      <c r="E822" s="28"/>
      <c r="F822" s="28"/>
    </row>
    <row r="823">
      <c r="A823" s="28"/>
      <c r="B823" s="28"/>
      <c r="C823" s="28"/>
      <c r="D823" s="28"/>
      <c r="E823" s="28"/>
      <c r="F823" s="28"/>
    </row>
    <row r="824">
      <c r="A824" s="28"/>
      <c r="B824" s="28"/>
      <c r="C824" s="28"/>
      <c r="D824" s="28"/>
      <c r="E824" s="28"/>
      <c r="F824" s="28"/>
    </row>
    <row r="825">
      <c r="A825" s="28"/>
      <c r="B825" s="28"/>
      <c r="C825" s="28"/>
      <c r="D825" s="28"/>
      <c r="E825" s="28"/>
      <c r="F825" s="28"/>
    </row>
    <row r="826">
      <c r="A826" s="28"/>
      <c r="B826" s="28"/>
      <c r="C826" s="28"/>
      <c r="D826" s="28"/>
      <c r="E826" s="28"/>
      <c r="F826" s="28"/>
    </row>
    <row r="827">
      <c r="A827" s="28"/>
      <c r="B827" s="28"/>
      <c r="C827" s="28"/>
      <c r="D827" s="28"/>
      <c r="E827" s="28"/>
      <c r="F827" s="28"/>
    </row>
    <row r="828">
      <c r="A828" s="28"/>
      <c r="B828" s="28"/>
      <c r="C828" s="28"/>
      <c r="D828" s="28"/>
      <c r="E828" s="28"/>
      <c r="F828" s="28"/>
    </row>
    <row r="829">
      <c r="A829" s="28"/>
      <c r="B829" s="28"/>
      <c r="C829" s="28"/>
      <c r="D829" s="28"/>
      <c r="E829" s="28"/>
      <c r="F829" s="28"/>
    </row>
    <row r="830">
      <c r="A830" s="28"/>
      <c r="B830" s="28"/>
      <c r="C830" s="28"/>
      <c r="D830" s="28"/>
      <c r="E830" s="28"/>
      <c r="F830" s="28"/>
    </row>
    <row r="831">
      <c r="A831" s="28"/>
      <c r="B831" s="28"/>
      <c r="C831" s="28"/>
      <c r="D831" s="28"/>
      <c r="E831" s="28"/>
      <c r="F831" s="28"/>
    </row>
    <row r="832">
      <c r="A832" s="28"/>
      <c r="B832" s="28"/>
      <c r="C832" s="28"/>
      <c r="D832" s="28"/>
      <c r="E832" s="28"/>
      <c r="F832" s="28"/>
    </row>
    <row r="833">
      <c r="A833" s="28"/>
      <c r="B833" s="28"/>
      <c r="C833" s="28"/>
      <c r="D833" s="28"/>
      <c r="E833" s="28"/>
      <c r="F833" s="28"/>
    </row>
    <row r="834">
      <c r="A834" s="28"/>
      <c r="B834" s="28"/>
      <c r="C834" s="28"/>
      <c r="D834" s="28"/>
      <c r="E834" s="28"/>
      <c r="F834" s="28"/>
    </row>
    <row r="835">
      <c r="A835" s="28"/>
      <c r="B835" s="28"/>
      <c r="C835" s="28"/>
      <c r="D835" s="28"/>
      <c r="E835" s="28"/>
      <c r="F835" s="28"/>
    </row>
    <row r="836">
      <c r="A836" s="28"/>
      <c r="B836" s="28"/>
      <c r="C836" s="28"/>
      <c r="D836" s="28"/>
      <c r="E836" s="28"/>
      <c r="F836" s="28"/>
    </row>
    <row r="837">
      <c r="A837" s="28"/>
      <c r="B837" s="28"/>
      <c r="C837" s="28"/>
      <c r="D837" s="28"/>
      <c r="E837" s="28"/>
      <c r="F837" s="28"/>
    </row>
    <row r="838">
      <c r="A838" s="28"/>
      <c r="B838" s="28"/>
      <c r="C838" s="28"/>
      <c r="D838" s="28"/>
      <c r="E838" s="28"/>
      <c r="F838" s="28"/>
    </row>
    <row r="839">
      <c r="A839" s="28"/>
      <c r="B839" s="28"/>
      <c r="C839" s="28"/>
      <c r="D839" s="28"/>
      <c r="E839" s="28"/>
      <c r="F839" s="28"/>
    </row>
    <row r="840">
      <c r="A840" s="28"/>
      <c r="B840" s="28"/>
      <c r="C840" s="28"/>
      <c r="D840" s="28"/>
      <c r="E840" s="28"/>
      <c r="F840" s="28"/>
    </row>
    <row r="841">
      <c r="A841" s="28"/>
      <c r="B841" s="28"/>
      <c r="C841" s="28"/>
      <c r="D841" s="28"/>
      <c r="E841" s="28"/>
      <c r="F841" s="28"/>
    </row>
    <row r="842">
      <c r="A842" s="28"/>
      <c r="B842" s="28"/>
      <c r="C842" s="28"/>
      <c r="D842" s="28"/>
      <c r="E842" s="28"/>
      <c r="F842" s="28"/>
    </row>
    <row r="843">
      <c r="A843" s="28"/>
      <c r="B843" s="28"/>
      <c r="C843" s="28"/>
      <c r="D843" s="28"/>
      <c r="E843" s="28"/>
      <c r="F843" s="28"/>
    </row>
    <row r="844">
      <c r="A844" s="28"/>
      <c r="B844" s="28"/>
      <c r="C844" s="28"/>
      <c r="D844" s="28"/>
      <c r="E844" s="28"/>
      <c r="F844" s="28"/>
    </row>
    <row r="845">
      <c r="A845" s="28"/>
      <c r="B845" s="28"/>
      <c r="C845" s="28"/>
      <c r="D845" s="28"/>
      <c r="E845" s="28"/>
      <c r="F845" s="28"/>
    </row>
    <row r="846">
      <c r="A846" s="28"/>
      <c r="B846" s="28"/>
      <c r="C846" s="28"/>
      <c r="D846" s="28"/>
      <c r="E846" s="28"/>
      <c r="F846" s="28"/>
    </row>
    <row r="847">
      <c r="A847" s="28"/>
      <c r="B847" s="28"/>
      <c r="C847" s="28"/>
      <c r="D847" s="28"/>
      <c r="E847" s="28"/>
      <c r="F847" s="28"/>
    </row>
    <row r="848">
      <c r="A848" s="28"/>
      <c r="B848" s="28"/>
      <c r="C848" s="28"/>
      <c r="D848" s="28"/>
      <c r="E848" s="28"/>
      <c r="F848" s="28"/>
    </row>
    <row r="849">
      <c r="A849" s="28"/>
      <c r="B849" s="28"/>
      <c r="C849" s="28"/>
      <c r="D849" s="28"/>
      <c r="E849" s="28"/>
      <c r="F849" s="28"/>
    </row>
    <row r="850">
      <c r="A850" s="28"/>
      <c r="B850" s="28"/>
      <c r="C850" s="28"/>
      <c r="D850" s="28"/>
      <c r="E850" s="28"/>
      <c r="F850" s="28"/>
    </row>
    <row r="851">
      <c r="A851" s="28"/>
      <c r="B851" s="28"/>
      <c r="C851" s="28"/>
      <c r="D851" s="28"/>
      <c r="E851" s="28"/>
      <c r="F851" s="28"/>
    </row>
    <row r="852">
      <c r="A852" s="28"/>
      <c r="B852" s="28"/>
      <c r="C852" s="28"/>
      <c r="D852" s="28"/>
      <c r="E852" s="28"/>
      <c r="F852" s="28"/>
    </row>
    <row r="853">
      <c r="A853" s="28"/>
      <c r="B853" s="28"/>
      <c r="C853" s="28"/>
      <c r="D853" s="28"/>
      <c r="E853" s="28"/>
      <c r="F853" s="28"/>
    </row>
    <row r="854">
      <c r="A854" s="28"/>
      <c r="B854" s="28"/>
      <c r="C854" s="28"/>
      <c r="D854" s="28"/>
      <c r="E854" s="28"/>
      <c r="F854" s="28"/>
    </row>
    <row r="855">
      <c r="A855" s="28"/>
      <c r="B855" s="28"/>
      <c r="C855" s="28"/>
      <c r="D855" s="28"/>
      <c r="E855" s="28"/>
      <c r="F855" s="28"/>
    </row>
    <row r="856">
      <c r="A856" s="28"/>
      <c r="B856" s="28"/>
      <c r="C856" s="28"/>
      <c r="D856" s="28"/>
      <c r="E856" s="28"/>
      <c r="F856" s="28"/>
    </row>
    <row r="857">
      <c r="A857" s="28"/>
      <c r="B857" s="28"/>
      <c r="C857" s="28"/>
      <c r="D857" s="28"/>
      <c r="E857" s="28"/>
      <c r="F857" s="28"/>
    </row>
    <row r="858">
      <c r="A858" s="28"/>
      <c r="B858" s="28"/>
      <c r="C858" s="28"/>
      <c r="D858" s="28"/>
      <c r="E858" s="28"/>
      <c r="F858" s="28"/>
    </row>
    <row r="859">
      <c r="A859" s="28"/>
      <c r="B859" s="28"/>
      <c r="C859" s="28"/>
      <c r="D859" s="28"/>
      <c r="E859" s="28"/>
      <c r="F859" s="28"/>
    </row>
    <row r="860">
      <c r="A860" s="28"/>
      <c r="B860" s="28"/>
      <c r="C860" s="28"/>
      <c r="D860" s="28"/>
      <c r="E860" s="28"/>
      <c r="F860" s="28"/>
    </row>
    <row r="861">
      <c r="A861" s="28"/>
      <c r="B861" s="28"/>
      <c r="C861" s="28"/>
      <c r="D861" s="28"/>
      <c r="E861" s="28"/>
      <c r="F861" s="28"/>
    </row>
    <row r="862">
      <c r="A862" s="28"/>
      <c r="B862" s="28"/>
      <c r="C862" s="28"/>
      <c r="D862" s="28"/>
      <c r="E862" s="28"/>
      <c r="F862" s="28"/>
    </row>
    <row r="863">
      <c r="A863" s="28"/>
      <c r="B863" s="28"/>
      <c r="C863" s="28"/>
      <c r="D863" s="28"/>
      <c r="E863" s="28"/>
      <c r="F863" s="28"/>
    </row>
    <row r="864">
      <c r="A864" s="28"/>
      <c r="B864" s="28"/>
      <c r="C864" s="28"/>
      <c r="D864" s="28"/>
      <c r="E864" s="28"/>
      <c r="F864" s="28"/>
    </row>
    <row r="865">
      <c r="A865" s="28"/>
      <c r="B865" s="28"/>
      <c r="C865" s="28"/>
      <c r="D865" s="28"/>
      <c r="E865" s="28"/>
      <c r="F865" s="28"/>
    </row>
    <row r="866">
      <c r="A866" s="28"/>
      <c r="B866" s="28"/>
      <c r="C866" s="28"/>
      <c r="D866" s="28"/>
      <c r="E866" s="28"/>
      <c r="F866" s="28"/>
    </row>
    <row r="867">
      <c r="A867" s="28"/>
      <c r="B867" s="28"/>
      <c r="C867" s="28"/>
      <c r="D867" s="28"/>
      <c r="E867" s="28"/>
      <c r="F867" s="28"/>
    </row>
    <row r="868">
      <c r="A868" s="28"/>
      <c r="B868" s="28"/>
      <c r="C868" s="28"/>
      <c r="D868" s="28"/>
      <c r="E868" s="28"/>
      <c r="F868" s="28"/>
    </row>
    <row r="869">
      <c r="A869" s="28"/>
      <c r="B869" s="28"/>
      <c r="C869" s="28"/>
      <c r="D869" s="28"/>
      <c r="E869" s="28"/>
      <c r="F869" s="28"/>
    </row>
    <row r="870">
      <c r="A870" s="28"/>
      <c r="B870" s="28"/>
      <c r="C870" s="28"/>
      <c r="D870" s="28"/>
      <c r="E870" s="28"/>
      <c r="F870" s="28"/>
    </row>
    <row r="871">
      <c r="A871" s="28"/>
      <c r="B871" s="28"/>
      <c r="C871" s="28"/>
      <c r="D871" s="28"/>
      <c r="E871" s="28"/>
      <c r="F871" s="28"/>
    </row>
    <row r="872">
      <c r="A872" s="28"/>
      <c r="B872" s="28"/>
      <c r="C872" s="28"/>
      <c r="D872" s="28"/>
      <c r="E872" s="28"/>
      <c r="F872" s="28"/>
    </row>
    <row r="873">
      <c r="A873" s="28"/>
      <c r="B873" s="28"/>
      <c r="C873" s="28"/>
      <c r="D873" s="28"/>
      <c r="E873" s="28"/>
      <c r="F873" s="28"/>
    </row>
    <row r="874">
      <c r="A874" s="28"/>
      <c r="B874" s="28"/>
      <c r="C874" s="28"/>
      <c r="D874" s="28"/>
      <c r="E874" s="28"/>
      <c r="F874" s="28"/>
    </row>
    <row r="875">
      <c r="A875" s="28"/>
      <c r="B875" s="28"/>
      <c r="C875" s="28"/>
      <c r="D875" s="28"/>
      <c r="E875" s="28"/>
      <c r="F875" s="28"/>
    </row>
    <row r="876">
      <c r="A876" s="28"/>
      <c r="B876" s="28"/>
      <c r="C876" s="28"/>
      <c r="D876" s="28"/>
      <c r="E876" s="28"/>
      <c r="F876" s="28"/>
    </row>
    <row r="877">
      <c r="A877" s="28"/>
      <c r="B877" s="28"/>
      <c r="C877" s="28"/>
      <c r="D877" s="28"/>
      <c r="E877" s="28"/>
      <c r="F877" s="28"/>
    </row>
    <row r="878">
      <c r="A878" s="28"/>
      <c r="B878" s="28"/>
      <c r="C878" s="28"/>
      <c r="D878" s="28"/>
      <c r="E878" s="28"/>
      <c r="F878" s="28"/>
    </row>
    <row r="879">
      <c r="A879" s="28"/>
      <c r="B879" s="28"/>
      <c r="C879" s="28"/>
      <c r="D879" s="28"/>
      <c r="E879" s="28"/>
      <c r="F879" s="28"/>
    </row>
    <row r="880">
      <c r="A880" s="28"/>
      <c r="B880" s="28"/>
      <c r="C880" s="28"/>
      <c r="D880" s="28"/>
      <c r="E880" s="28"/>
      <c r="F880" s="28"/>
    </row>
    <row r="881">
      <c r="A881" s="28"/>
      <c r="B881" s="28"/>
      <c r="C881" s="28"/>
      <c r="D881" s="28"/>
      <c r="E881" s="28"/>
      <c r="F881" s="28"/>
    </row>
    <row r="882">
      <c r="A882" s="28"/>
      <c r="B882" s="28"/>
      <c r="C882" s="28"/>
      <c r="D882" s="28"/>
      <c r="E882" s="28"/>
      <c r="F882" s="28"/>
    </row>
    <row r="883">
      <c r="A883" s="28"/>
      <c r="B883" s="28"/>
      <c r="C883" s="28"/>
      <c r="D883" s="28"/>
      <c r="E883" s="28"/>
      <c r="F883" s="28"/>
    </row>
    <row r="884">
      <c r="A884" s="28"/>
      <c r="B884" s="28"/>
      <c r="C884" s="28"/>
      <c r="D884" s="28"/>
      <c r="E884" s="28"/>
      <c r="F884" s="28"/>
    </row>
    <row r="885">
      <c r="A885" s="28"/>
      <c r="B885" s="28"/>
      <c r="C885" s="28"/>
      <c r="D885" s="28"/>
      <c r="E885" s="28"/>
      <c r="F885" s="28"/>
    </row>
    <row r="886">
      <c r="A886" s="28"/>
      <c r="B886" s="28"/>
      <c r="C886" s="28"/>
      <c r="D886" s="28"/>
      <c r="E886" s="28"/>
      <c r="F886" s="28"/>
    </row>
    <row r="887">
      <c r="A887" s="28"/>
      <c r="B887" s="28"/>
      <c r="C887" s="28"/>
      <c r="D887" s="28"/>
      <c r="E887" s="28"/>
      <c r="F887" s="28"/>
    </row>
    <row r="888">
      <c r="A888" s="28"/>
      <c r="B888" s="28"/>
      <c r="C888" s="28"/>
      <c r="D888" s="28"/>
      <c r="E888" s="28"/>
      <c r="F888" s="28"/>
    </row>
    <row r="889">
      <c r="A889" s="28"/>
      <c r="B889" s="28"/>
      <c r="C889" s="28"/>
      <c r="D889" s="28"/>
      <c r="E889" s="28"/>
      <c r="F889" s="28"/>
    </row>
    <row r="890">
      <c r="A890" s="28"/>
      <c r="B890" s="28"/>
      <c r="C890" s="28"/>
      <c r="D890" s="28"/>
      <c r="E890" s="28"/>
      <c r="F890" s="28"/>
    </row>
    <row r="891">
      <c r="A891" s="28"/>
      <c r="B891" s="28"/>
      <c r="C891" s="28"/>
      <c r="D891" s="28"/>
      <c r="E891" s="28"/>
      <c r="F891" s="28"/>
    </row>
    <row r="892">
      <c r="A892" s="28"/>
      <c r="B892" s="28"/>
      <c r="C892" s="28"/>
      <c r="D892" s="28"/>
      <c r="E892" s="28"/>
      <c r="F892" s="28"/>
    </row>
    <row r="893">
      <c r="A893" s="28"/>
      <c r="B893" s="28"/>
      <c r="C893" s="28"/>
      <c r="D893" s="28"/>
      <c r="E893" s="28"/>
      <c r="F893" s="28"/>
    </row>
    <row r="894">
      <c r="A894" s="28"/>
      <c r="B894" s="28"/>
      <c r="C894" s="28"/>
      <c r="D894" s="28"/>
      <c r="E894" s="28"/>
      <c r="F894" s="28"/>
    </row>
    <row r="895">
      <c r="A895" s="28"/>
      <c r="B895" s="28"/>
      <c r="C895" s="28"/>
      <c r="D895" s="28"/>
      <c r="E895" s="28"/>
      <c r="F895" s="28"/>
    </row>
    <row r="896">
      <c r="A896" s="28"/>
      <c r="B896" s="28"/>
      <c r="C896" s="28"/>
      <c r="D896" s="28"/>
      <c r="E896" s="28"/>
      <c r="F896" s="28"/>
    </row>
    <row r="897">
      <c r="A897" s="28"/>
      <c r="B897" s="28"/>
      <c r="C897" s="28"/>
      <c r="D897" s="28"/>
      <c r="E897" s="28"/>
      <c r="F897" s="28"/>
    </row>
    <row r="898">
      <c r="A898" s="28"/>
      <c r="B898" s="28"/>
      <c r="C898" s="28"/>
      <c r="D898" s="28"/>
      <c r="E898" s="28"/>
      <c r="F898" s="28"/>
    </row>
    <row r="899">
      <c r="A899" s="28"/>
      <c r="B899" s="28"/>
      <c r="C899" s="28"/>
      <c r="D899" s="28"/>
      <c r="E899" s="28"/>
      <c r="F899" s="28"/>
    </row>
    <row r="900">
      <c r="A900" s="28"/>
      <c r="B900" s="28"/>
      <c r="C900" s="28"/>
      <c r="D900" s="28"/>
      <c r="E900" s="28"/>
      <c r="F900" s="28"/>
    </row>
    <row r="901">
      <c r="A901" s="28"/>
      <c r="B901" s="28"/>
      <c r="C901" s="28"/>
      <c r="D901" s="28"/>
      <c r="E901" s="28"/>
      <c r="F901" s="28"/>
    </row>
    <row r="902">
      <c r="A902" s="28"/>
      <c r="B902" s="28"/>
      <c r="C902" s="28"/>
      <c r="D902" s="28"/>
      <c r="E902" s="28"/>
      <c r="F902" s="28"/>
    </row>
    <row r="903">
      <c r="A903" s="28"/>
      <c r="B903" s="28"/>
      <c r="C903" s="28"/>
      <c r="D903" s="28"/>
      <c r="E903" s="28"/>
      <c r="F903" s="28"/>
    </row>
    <row r="904">
      <c r="A904" s="28"/>
      <c r="B904" s="28"/>
      <c r="C904" s="28"/>
      <c r="D904" s="28"/>
      <c r="E904" s="28"/>
      <c r="F904" s="28"/>
    </row>
    <row r="905">
      <c r="A905" s="28"/>
      <c r="B905" s="28"/>
      <c r="C905" s="28"/>
      <c r="D905" s="28"/>
      <c r="E905" s="28"/>
      <c r="F905" s="28"/>
    </row>
    <row r="906">
      <c r="A906" s="28"/>
      <c r="B906" s="28"/>
      <c r="C906" s="28"/>
      <c r="D906" s="28"/>
      <c r="E906" s="28"/>
      <c r="F906" s="28"/>
    </row>
    <row r="907">
      <c r="A907" s="28"/>
      <c r="B907" s="28"/>
      <c r="C907" s="28"/>
      <c r="D907" s="28"/>
      <c r="E907" s="28"/>
      <c r="F907" s="28"/>
    </row>
    <row r="908">
      <c r="A908" s="28"/>
      <c r="B908" s="28"/>
      <c r="C908" s="28"/>
      <c r="D908" s="28"/>
      <c r="E908" s="28"/>
      <c r="F908" s="28"/>
    </row>
    <row r="909">
      <c r="A909" s="28"/>
      <c r="B909" s="28"/>
      <c r="C909" s="28"/>
      <c r="D909" s="28"/>
      <c r="E909" s="28"/>
      <c r="F909" s="28"/>
    </row>
    <row r="910">
      <c r="A910" s="28"/>
      <c r="B910" s="28"/>
      <c r="C910" s="28"/>
      <c r="D910" s="28"/>
      <c r="E910" s="28"/>
      <c r="F910" s="28"/>
    </row>
    <row r="911">
      <c r="A911" s="28"/>
      <c r="B911" s="28"/>
      <c r="C911" s="28"/>
      <c r="D911" s="28"/>
      <c r="E911" s="28"/>
      <c r="F911" s="28"/>
    </row>
    <row r="912">
      <c r="A912" s="28"/>
      <c r="B912" s="28"/>
      <c r="C912" s="28"/>
      <c r="D912" s="28"/>
      <c r="E912" s="28"/>
      <c r="F912" s="28"/>
    </row>
    <row r="913">
      <c r="A913" s="28"/>
      <c r="B913" s="28"/>
      <c r="C913" s="28"/>
      <c r="D913" s="28"/>
      <c r="E913" s="28"/>
      <c r="F913" s="28"/>
    </row>
    <row r="914">
      <c r="A914" s="28"/>
      <c r="B914" s="28"/>
      <c r="C914" s="28"/>
      <c r="D914" s="28"/>
      <c r="E914" s="28"/>
      <c r="F914" s="28"/>
    </row>
    <row r="915">
      <c r="A915" s="28"/>
      <c r="B915" s="28"/>
      <c r="C915" s="28"/>
      <c r="D915" s="28"/>
      <c r="E915" s="28"/>
      <c r="F915" s="28"/>
    </row>
    <row r="916">
      <c r="A916" s="28"/>
      <c r="B916" s="28"/>
      <c r="C916" s="28"/>
      <c r="D916" s="28"/>
      <c r="E916" s="28"/>
      <c r="F916" s="28"/>
    </row>
    <row r="917">
      <c r="A917" s="28"/>
      <c r="B917" s="28"/>
      <c r="C917" s="28"/>
      <c r="D917" s="28"/>
      <c r="E917" s="28"/>
      <c r="F917" s="28"/>
    </row>
    <row r="918">
      <c r="A918" s="28"/>
      <c r="B918" s="28"/>
      <c r="C918" s="28"/>
      <c r="D918" s="28"/>
      <c r="E918" s="28"/>
      <c r="F918" s="28"/>
    </row>
    <row r="919">
      <c r="A919" s="28"/>
      <c r="B919" s="28"/>
      <c r="C919" s="28"/>
      <c r="D919" s="28"/>
      <c r="E919" s="28"/>
      <c r="F919" s="28"/>
    </row>
    <row r="920">
      <c r="A920" s="28"/>
      <c r="B920" s="28"/>
      <c r="C920" s="28"/>
      <c r="D920" s="28"/>
      <c r="E920" s="28"/>
      <c r="F920" s="28"/>
    </row>
    <row r="921">
      <c r="A921" s="28"/>
      <c r="B921" s="28"/>
      <c r="C921" s="28"/>
      <c r="D921" s="28"/>
      <c r="E921" s="28"/>
      <c r="F921" s="28"/>
    </row>
    <row r="922">
      <c r="A922" s="28"/>
      <c r="B922" s="28"/>
      <c r="C922" s="28"/>
      <c r="D922" s="28"/>
      <c r="E922" s="28"/>
      <c r="F922" s="28"/>
    </row>
    <row r="923">
      <c r="A923" s="28"/>
      <c r="B923" s="28"/>
      <c r="C923" s="28"/>
      <c r="D923" s="28"/>
      <c r="E923" s="28"/>
      <c r="F923" s="28"/>
    </row>
    <row r="924">
      <c r="A924" s="28"/>
      <c r="B924" s="28"/>
      <c r="C924" s="28"/>
      <c r="D924" s="28"/>
      <c r="E924" s="28"/>
      <c r="F924" s="28"/>
    </row>
    <row r="925">
      <c r="A925" s="28"/>
      <c r="B925" s="28"/>
      <c r="C925" s="28"/>
      <c r="D925" s="28"/>
      <c r="E925" s="28"/>
      <c r="F925" s="28"/>
    </row>
    <row r="926">
      <c r="A926" s="28"/>
      <c r="B926" s="28"/>
      <c r="C926" s="28"/>
      <c r="D926" s="28"/>
      <c r="E926" s="28"/>
      <c r="F926" s="28"/>
    </row>
    <row r="927">
      <c r="A927" s="28"/>
      <c r="B927" s="28"/>
      <c r="C927" s="28"/>
      <c r="D927" s="28"/>
      <c r="E927" s="28"/>
      <c r="F927" s="28"/>
    </row>
    <row r="928">
      <c r="A928" s="28"/>
      <c r="B928" s="28"/>
      <c r="C928" s="28"/>
      <c r="D928" s="28"/>
      <c r="E928" s="28"/>
      <c r="F928" s="28"/>
    </row>
    <row r="929">
      <c r="A929" s="28"/>
      <c r="B929" s="28"/>
      <c r="C929" s="28"/>
      <c r="D929" s="28"/>
      <c r="E929" s="28"/>
      <c r="F929" s="28"/>
    </row>
    <row r="930">
      <c r="A930" s="28"/>
      <c r="B930" s="28"/>
      <c r="C930" s="28"/>
      <c r="D930" s="28"/>
      <c r="E930" s="28"/>
      <c r="F930" s="28"/>
    </row>
    <row r="931">
      <c r="A931" s="28"/>
      <c r="B931" s="28"/>
      <c r="C931" s="28"/>
      <c r="D931" s="28"/>
      <c r="E931" s="28"/>
      <c r="F931" s="28"/>
    </row>
    <row r="932">
      <c r="A932" s="28"/>
      <c r="B932" s="28"/>
      <c r="C932" s="28"/>
      <c r="D932" s="28"/>
      <c r="E932" s="28"/>
      <c r="F932" s="28"/>
    </row>
    <row r="933">
      <c r="A933" s="28"/>
      <c r="B933" s="28"/>
      <c r="C933" s="28"/>
      <c r="D933" s="28"/>
      <c r="E933" s="28"/>
      <c r="F933" s="28"/>
    </row>
    <row r="934">
      <c r="A934" s="28"/>
      <c r="B934" s="28"/>
      <c r="C934" s="28"/>
      <c r="D934" s="28"/>
      <c r="E934" s="28"/>
      <c r="F934" s="28"/>
    </row>
    <row r="935">
      <c r="A935" s="28"/>
      <c r="B935" s="28"/>
      <c r="C935" s="28"/>
      <c r="D935" s="28"/>
      <c r="E935" s="28"/>
      <c r="F935" s="28"/>
    </row>
    <row r="936">
      <c r="A936" s="28"/>
      <c r="B936" s="28"/>
      <c r="C936" s="28"/>
      <c r="D936" s="28"/>
      <c r="E936" s="28"/>
      <c r="F936" s="28"/>
    </row>
    <row r="937">
      <c r="A937" s="28"/>
      <c r="B937" s="28"/>
      <c r="C937" s="28"/>
      <c r="D937" s="28"/>
      <c r="E937" s="28"/>
      <c r="F937" s="28"/>
    </row>
    <row r="938">
      <c r="A938" s="28"/>
      <c r="B938" s="28"/>
      <c r="C938" s="28"/>
      <c r="D938" s="28"/>
      <c r="E938" s="28"/>
      <c r="F938" s="28"/>
    </row>
    <row r="939">
      <c r="A939" s="28"/>
      <c r="B939" s="28"/>
      <c r="C939" s="28"/>
      <c r="D939" s="28"/>
      <c r="E939" s="28"/>
      <c r="F939" s="28"/>
    </row>
    <row r="940">
      <c r="A940" s="28"/>
      <c r="B940" s="28"/>
      <c r="C940" s="28"/>
      <c r="D940" s="28"/>
      <c r="E940" s="28"/>
      <c r="F940" s="28"/>
    </row>
    <row r="941">
      <c r="A941" s="28"/>
      <c r="B941" s="28"/>
      <c r="C941" s="28"/>
      <c r="D941" s="28"/>
      <c r="E941" s="28"/>
      <c r="F941" s="28"/>
    </row>
    <row r="942">
      <c r="A942" s="28"/>
      <c r="B942" s="28"/>
      <c r="C942" s="28"/>
      <c r="D942" s="28"/>
      <c r="E942" s="28"/>
      <c r="F942" s="28"/>
    </row>
    <row r="943">
      <c r="A943" s="28"/>
      <c r="B943" s="28"/>
      <c r="C943" s="28"/>
      <c r="D943" s="28"/>
      <c r="E943" s="28"/>
      <c r="F943" s="28"/>
    </row>
    <row r="944">
      <c r="A944" s="28"/>
      <c r="B944" s="28"/>
      <c r="C944" s="28"/>
      <c r="D944" s="28"/>
      <c r="E944" s="28"/>
      <c r="F944" s="28"/>
    </row>
    <row r="945">
      <c r="A945" s="28"/>
      <c r="B945" s="28"/>
      <c r="C945" s="28"/>
      <c r="D945" s="28"/>
      <c r="E945" s="28"/>
      <c r="F945" s="28"/>
    </row>
    <row r="946">
      <c r="A946" s="28"/>
      <c r="B946" s="28"/>
      <c r="C946" s="28"/>
      <c r="D946" s="28"/>
      <c r="E946" s="28"/>
      <c r="F946" s="28"/>
    </row>
    <row r="947">
      <c r="A947" s="28"/>
      <c r="B947" s="28"/>
      <c r="C947" s="28"/>
      <c r="D947" s="28"/>
      <c r="E947" s="28"/>
      <c r="F947" s="28"/>
    </row>
    <row r="948">
      <c r="A948" s="28"/>
      <c r="B948" s="28"/>
      <c r="C948" s="28"/>
      <c r="D948" s="28"/>
      <c r="E948" s="28"/>
      <c r="F948" s="28"/>
    </row>
    <row r="949">
      <c r="A949" s="28"/>
      <c r="B949" s="28"/>
      <c r="C949" s="28"/>
      <c r="D949" s="28"/>
      <c r="E949" s="28"/>
      <c r="F949" s="28"/>
    </row>
    <row r="950">
      <c r="A950" s="28"/>
      <c r="B950" s="28"/>
      <c r="C950" s="28"/>
      <c r="D950" s="28"/>
      <c r="E950" s="28"/>
      <c r="F950" s="28"/>
    </row>
    <row r="951">
      <c r="A951" s="28"/>
      <c r="B951" s="28"/>
      <c r="C951" s="28"/>
      <c r="D951" s="28"/>
      <c r="E951" s="28"/>
      <c r="F951" s="28"/>
    </row>
    <row r="952">
      <c r="A952" s="28"/>
      <c r="B952" s="28"/>
      <c r="C952" s="28"/>
      <c r="D952" s="28"/>
      <c r="E952" s="28"/>
      <c r="F952" s="28"/>
    </row>
    <row r="953">
      <c r="A953" s="28"/>
      <c r="B953" s="28"/>
      <c r="C953" s="28"/>
      <c r="D953" s="28"/>
      <c r="E953" s="28"/>
      <c r="F953" s="28"/>
    </row>
    <row r="954">
      <c r="A954" s="28"/>
      <c r="B954" s="28"/>
      <c r="C954" s="28"/>
      <c r="D954" s="28"/>
      <c r="E954" s="28"/>
      <c r="F954" s="28"/>
    </row>
    <row r="955">
      <c r="A955" s="28"/>
      <c r="B955" s="28"/>
      <c r="C955" s="28"/>
      <c r="D955" s="28"/>
      <c r="E955" s="28"/>
      <c r="F955" s="28"/>
    </row>
    <row r="956">
      <c r="A956" s="28"/>
      <c r="B956" s="28"/>
      <c r="C956" s="28"/>
      <c r="D956" s="28"/>
      <c r="E956" s="28"/>
      <c r="F956" s="28"/>
    </row>
    <row r="957">
      <c r="A957" s="28"/>
      <c r="B957" s="28"/>
      <c r="C957" s="28"/>
      <c r="D957" s="28"/>
      <c r="E957" s="28"/>
      <c r="F957" s="28"/>
    </row>
    <row r="958">
      <c r="A958" s="28"/>
      <c r="B958" s="28"/>
      <c r="C958" s="28"/>
      <c r="D958" s="28"/>
      <c r="E958" s="28"/>
      <c r="F958" s="28"/>
    </row>
    <row r="959">
      <c r="A959" s="28"/>
      <c r="B959" s="28"/>
      <c r="C959" s="28"/>
      <c r="D959" s="28"/>
      <c r="E959" s="28"/>
      <c r="F959" s="28"/>
    </row>
    <row r="960">
      <c r="A960" s="28"/>
      <c r="B960" s="28"/>
      <c r="C960" s="28"/>
      <c r="D960" s="28"/>
      <c r="E960" s="28"/>
      <c r="F960" s="28"/>
    </row>
    <row r="961">
      <c r="A961" s="28"/>
      <c r="B961" s="28"/>
      <c r="C961" s="28"/>
      <c r="D961" s="28"/>
      <c r="E961" s="28"/>
      <c r="F961" s="28"/>
    </row>
    <row r="962">
      <c r="A962" s="28"/>
      <c r="B962" s="28"/>
      <c r="C962" s="28"/>
      <c r="D962" s="28"/>
      <c r="E962" s="28"/>
      <c r="F962" s="28"/>
    </row>
    <row r="963">
      <c r="A963" s="28"/>
      <c r="B963" s="28"/>
      <c r="C963" s="28"/>
      <c r="D963" s="28"/>
      <c r="E963" s="28"/>
      <c r="F963" s="28"/>
    </row>
    <row r="964">
      <c r="A964" s="28"/>
      <c r="B964" s="28"/>
      <c r="C964" s="28"/>
      <c r="D964" s="28"/>
      <c r="E964" s="28"/>
      <c r="F964" s="28"/>
    </row>
    <row r="965">
      <c r="A965" s="28"/>
      <c r="B965" s="28"/>
      <c r="C965" s="28"/>
      <c r="D965" s="28"/>
      <c r="E965" s="28"/>
      <c r="F965" s="28"/>
    </row>
    <row r="966">
      <c r="A966" s="28"/>
      <c r="B966" s="28"/>
      <c r="C966" s="28"/>
      <c r="D966" s="28"/>
      <c r="E966" s="28"/>
      <c r="F966" s="28"/>
    </row>
    <row r="967">
      <c r="A967" s="28"/>
      <c r="B967" s="28"/>
      <c r="C967" s="28"/>
      <c r="D967" s="28"/>
      <c r="E967" s="28"/>
      <c r="F967" s="28"/>
    </row>
    <row r="968">
      <c r="A968" s="28"/>
      <c r="B968" s="28"/>
      <c r="C968" s="28"/>
      <c r="D968" s="28"/>
      <c r="E968" s="28"/>
      <c r="F968" s="28"/>
    </row>
    <row r="969">
      <c r="A969" s="28"/>
      <c r="B969" s="28"/>
      <c r="C969" s="28"/>
      <c r="D969" s="28"/>
      <c r="E969" s="28"/>
      <c r="F969" s="28"/>
    </row>
    <row r="970">
      <c r="A970" s="28"/>
      <c r="B970" s="28"/>
      <c r="C970" s="28"/>
      <c r="D970" s="28"/>
      <c r="E970" s="28"/>
      <c r="F970" s="28"/>
    </row>
    <row r="971">
      <c r="A971" s="28"/>
      <c r="B971" s="28"/>
      <c r="C971" s="28"/>
      <c r="D971" s="28"/>
      <c r="E971" s="28"/>
      <c r="F971" s="28"/>
    </row>
    <row r="972">
      <c r="A972" s="28"/>
      <c r="B972" s="28"/>
      <c r="C972" s="28"/>
      <c r="D972" s="28"/>
      <c r="E972" s="28"/>
      <c r="F972" s="28"/>
    </row>
    <row r="973">
      <c r="A973" s="28"/>
      <c r="B973" s="28"/>
      <c r="C973" s="28"/>
      <c r="D973" s="28"/>
      <c r="E973" s="28"/>
      <c r="F973" s="28"/>
    </row>
    <row r="974">
      <c r="A974" s="28"/>
      <c r="B974" s="28"/>
      <c r="C974" s="28"/>
      <c r="D974" s="28"/>
      <c r="E974" s="28"/>
      <c r="F974" s="28"/>
    </row>
    <row r="975">
      <c r="A975" s="28"/>
      <c r="B975" s="28"/>
      <c r="C975" s="28"/>
      <c r="D975" s="28"/>
      <c r="E975" s="28"/>
      <c r="F975" s="28"/>
    </row>
    <row r="976">
      <c r="A976" s="28"/>
      <c r="B976" s="28"/>
      <c r="C976" s="28"/>
      <c r="D976" s="28"/>
      <c r="E976" s="28"/>
      <c r="F976" s="28"/>
    </row>
    <row r="977">
      <c r="A977" s="28"/>
      <c r="B977" s="28"/>
      <c r="C977" s="28"/>
      <c r="D977" s="28"/>
      <c r="E977" s="28"/>
      <c r="F977" s="28"/>
    </row>
    <row r="978">
      <c r="A978" s="28"/>
      <c r="B978" s="28"/>
      <c r="C978" s="28"/>
      <c r="D978" s="28"/>
      <c r="E978" s="28"/>
      <c r="F978" s="28"/>
    </row>
    <row r="979">
      <c r="A979" s="28"/>
      <c r="B979" s="28"/>
      <c r="C979" s="28"/>
      <c r="D979" s="28"/>
      <c r="E979" s="28"/>
      <c r="F979" s="28"/>
    </row>
    <row r="980">
      <c r="A980" s="28"/>
      <c r="B980" s="28"/>
      <c r="C980" s="28"/>
      <c r="D980" s="28"/>
      <c r="E980" s="28"/>
      <c r="F980" s="28"/>
    </row>
    <row r="981">
      <c r="A981" s="28"/>
      <c r="B981" s="28"/>
      <c r="C981" s="28"/>
      <c r="D981" s="28"/>
      <c r="E981" s="28"/>
      <c r="F981" s="28"/>
    </row>
    <row r="982">
      <c r="A982" s="28"/>
      <c r="B982" s="28"/>
      <c r="C982" s="28"/>
      <c r="D982" s="28"/>
      <c r="E982" s="28"/>
      <c r="F982" s="28"/>
    </row>
    <row r="983">
      <c r="A983" s="28"/>
      <c r="B983" s="28"/>
      <c r="C983" s="28"/>
      <c r="D983" s="28"/>
      <c r="E983" s="28"/>
      <c r="F983" s="28"/>
    </row>
    <row r="984">
      <c r="A984" s="28"/>
      <c r="B984" s="28"/>
      <c r="C984" s="28"/>
      <c r="D984" s="28"/>
      <c r="E984" s="28"/>
      <c r="F984" s="28"/>
    </row>
    <row r="985">
      <c r="A985" s="28"/>
      <c r="B985" s="28"/>
      <c r="C985" s="28"/>
      <c r="D985" s="28"/>
      <c r="E985" s="28"/>
      <c r="F985" s="28"/>
    </row>
    <row r="986">
      <c r="A986" s="28"/>
      <c r="B986" s="28"/>
      <c r="C986" s="28"/>
      <c r="D986" s="28"/>
      <c r="E986" s="28"/>
      <c r="F986" s="28"/>
    </row>
    <row r="987">
      <c r="A987" s="28"/>
      <c r="B987" s="28"/>
      <c r="C987" s="28"/>
      <c r="D987" s="28"/>
      <c r="E987" s="28"/>
      <c r="F987" s="28"/>
    </row>
    <row r="988">
      <c r="A988" s="28"/>
      <c r="B988" s="28"/>
      <c r="C988" s="28"/>
      <c r="D988" s="28"/>
      <c r="E988" s="28"/>
      <c r="F988" s="28"/>
    </row>
    <row r="989">
      <c r="A989" s="28"/>
      <c r="B989" s="28"/>
      <c r="C989" s="28"/>
      <c r="D989" s="28"/>
      <c r="E989" s="28"/>
      <c r="F989" s="28"/>
    </row>
    <row r="990">
      <c r="A990" s="28"/>
      <c r="B990" s="28"/>
      <c r="C990" s="28"/>
      <c r="D990" s="28"/>
      <c r="E990" s="28"/>
      <c r="F990" s="28"/>
    </row>
    <row r="991">
      <c r="A991" s="28"/>
      <c r="B991" s="28"/>
      <c r="C991" s="28"/>
      <c r="D991" s="28"/>
      <c r="E991" s="28"/>
      <c r="F991" s="28"/>
    </row>
    <row r="992">
      <c r="A992" s="28"/>
      <c r="B992" s="28"/>
      <c r="C992" s="28"/>
      <c r="D992" s="28"/>
      <c r="E992" s="28"/>
      <c r="F992" s="28"/>
    </row>
    <row r="993">
      <c r="A993" s="28"/>
      <c r="B993" s="28"/>
      <c r="C993" s="28"/>
      <c r="D993" s="28"/>
      <c r="E993" s="28"/>
      <c r="F993" s="28"/>
    </row>
    <row r="994">
      <c r="A994" s="28"/>
      <c r="B994" s="28"/>
      <c r="C994" s="28"/>
      <c r="D994" s="28"/>
      <c r="E994" s="28"/>
      <c r="F994" s="28"/>
    </row>
    <row r="995">
      <c r="A995" s="28"/>
      <c r="B995" s="28"/>
      <c r="C995" s="28"/>
      <c r="D995" s="28"/>
      <c r="E995" s="28"/>
      <c r="F995" s="28"/>
    </row>
    <row r="996">
      <c r="A996" s="28"/>
      <c r="B996" s="28"/>
      <c r="C996" s="28"/>
      <c r="D996" s="28"/>
      <c r="E996" s="28"/>
      <c r="F996" s="28"/>
    </row>
    <row r="997">
      <c r="A997" s="28"/>
      <c r="B997" s="28"/>
      <c r="C997" s="28"/>
      <c r="D997" s="28"/>
      <c r="E997" s="28"/>
      <c r="F997" s="28"/>
    </row>
    <row r="998">
      <c r="A998" s="28"/>
      <c r="B998" s="28"/>
      <c r="C998" s="28"/>
      <c r="D998" s="28"/>
      <c r="E998" s="28"/>
      <c r="F998" s="28"/>
    </row>
    <row r="999">
      <c r="A999" s="28"/>
      <c r="B999" s="28"/>
      <c r="C999" s="28"/>
      <c r="D999" s="28"/>
      <c r="E999" s="28"/>
      <c r="F999" s="28"/>
    </row>
    <row r="1000">
      <c r="A1000" s="28"/>
      <c r="B1000" s="28"/>
      <c r="C1000" s="28"/>
      <c r="D1000" s="28"/>
      <c r="E1000" s="28"/>
      <c r="F1000" s="28"/>
    </row>
    <row r="1001">
      <c r="A1001" s="28"/>
      <c r="B1001" s="28"/>
      <c r="C1001" s="28"/>
      <c r="D1001" s="28"/>
      <c r="E1001" s="28"/>
      <c r="F1001" s="28"/>
    </row>
    <row r="1002">
      <c r="A1002" s="28"/>
      <c r="B1002" s="28"/>
      <c r="C1002" s="28"/>
      <c r="D1002" s="28"/>
      <c r="E1002" s="28"/>
      <c r="F1002" s="28"/>
    </row>
    <row r="1003">
      <c r="A1003" s="28"/>
      <c r="B1003" s="28"/>
      <c r="C1003" s="28"/>
      <c r="D1003" s="28"/>
      <c r="E1003" s="28"/>
      <c r="F1003" s="28"/>
    </row>
    <row r="1004">
      <c r="A1004" s="28"/>
      <c r="B1004" s="28"/>
      <c r="C1004" s="28"/>
      <c r="D1004" s="28"/>
      <c r="E1004" s="28"/>
      <c r="F1004" s="28"/>
    </row>
    <row r="1005">
      <c r="A1005" s="28"/>
      <c r="B1005" s="28"/>
      <c r="C1005" s="28"/>
      <c r="D1005" s="28"/>
      <c r="E1005" s="28"/>
      <c r="F1005" s="28"/>
    </row>
    <row r="1006">
      <c r="A1006" s="28"/>
      <c r="B1006" s="28"/>
      <c r="C1006" s="28"/>
      <c r="D1006" s="28"/>
      <c r="E1006" s="28"/>
      <c r="F1006" s="28"/>
    </row>
    <row r="1007">
      <c r="A1007" s="28"/>
      <c r="B1007" s="28"/>
      <c r="C1007" s="28"/>
      <c r="D1007" s="28"/>
      <c r="E1007" s="28"/>
      <c r="F1007" s="28"/>
    </row>
    <row r="1008">
      <c r="A1008" s="28"/>
      <c r="B1008" s="28"/>
      <c r="C1008" s="28"/>
      <c r="D1008" s="28"/>
      <c r="E1008" s="28"/>
      <c r="F1008" s="28"/>
    </row>
    <row r="1009">
      <c r="A1009" s="28"/>
      <c r="B1009" s="28"/>
      <c r="C1009" s="28"/>
      <c r="D1009" s="28"/>
      <c r="E1009" s="28"/>
      <c r="F1009" s="28"/>
    </row>
    <row r="1010">
      <c r="A1010" s="28"/>
      <c r="B1010" s="28"/>
      <c r="C1010" s="28"/>
      <c r="D1010" s="28"/>
      <c r="E1010" s="28"/>
      <c r="F1010" s="28"/>
    </row>
    <row r="1011">
      <c r="A1011" s="28"/>
      <c r="B1011" s="28"/>
      <c r="C1011" s="28"/>
      <c r="D1011" s="28"/>
      <c r="E1011" s="28"/>
      <c r="F1011" s="28"/>
    </row>
    <row r="1012">
      <c r="A1012" s="28"/>
      <c r="B1012" s="28"/>
      <c r="C1012" s="28"/>
      <c r="D1012" s="28"/>
      <c r="E1012" s="28"/>
      <c r="F1012" s="28"/>
    </row>
    <row r="1013">
      <c r="A1013" s="28"/>
      <c r="B1013" s="28"/>
      <c r="C1013" s="28"/>
      <c r="D1013" s="28"/>
      <c r="E1013" s="28"/>
      <c r="F1013" s="28"/>
    </row>
    <row r="1014">
      <c r="A1014" s="28"/>
      <c r="B1014" s="28"/>
      <c r="C1014" s="28"/>
      <c r="D1014" s="28"/>
      <c r="E1014" s="28"/>
      <c r="F1014" s="28"/>
    </row>
    <row r="1015">
      <c r="A1015" s="28"/>
      <c r="B1015" s="28"/>
      <c r="C1015" s="28"/>
      <c r="D1015" s="28"/>
      <c r="E1015" s="28"/>
      <c r="F1015" s="28"/>
    </row>
    <row r="1016">
      <c r="A1016" s="28"/>
      <c r="B1016" s="28"/>
      <c r="C1016" s="28"/>
      <c r="D1016" s="28"/>
      <c r="E1016" s="28"/>
      <c r="F1016" s="28"/>
    </row>
    <row r="1017">
      <c r="A1017" s="28"/>
      <c r="B1017" s="28"/>
      <c r="C1017" s="28"/>
      <c r="D1017" s="28"/>
      <c r="E1017" s="28"/>
      <c r="F1017" s="28"/>
    </row>
    <row r="1018">
      <c r="A1018" s="28"/>
      <c r="B1018" s="28"/>
      <c r="C1018" s="28"/>
      <c r="D1018" s="28"/>
      <c r="E1018" s="28"/>
      <c r="F1018" s="28"/>
    </row>
    <row r="1019">
      <c r="A1019" s="28"/>
      <c r="B1019" s="28"/>
      <c r="C1019" s="28"/>
      <c r="D1019" s="28"/>
      <c r="E1019" s="28"/>
      <c r="F1019" s="28"/>
    </row>
    <row r="1020">
      <c r="A1020" s="28"/>
      <c r="B1020" s="28"/>
      <c r="C1020" s="28"/>
      <c r="D1020" s="28"/>
      <c r="E1020" s="28"/>
      <c r="F1020" s="28"/>
    </row>
    <row r="1021">
      <c r="A1021" s="28"/>
      <c r="B1021" s="28"/>
      <c r="C1021" s="28"/>
      <c r="D1021" s="28"/>
      <c r="E1021" s="28"/>
      <c r="F1021" s="28"/>
    </row>
    <row r="1022">
      <c r="A1022" s="28"/>
      <c r="B1022" s="28"/>
      <c r="C1022" s="28"/>
      <c r="D1022" s="28"/>
      <c r="E1022" s="28"/>
      <c r="F1022" s="28"/>
    </row>
    <row r="1023">
      <c r="A1023" s="28"/>
      <c r="B1023" s="28"/>
      <c r="C1023" s="28"/>
      <c r="D1023" s="28"/>
      <c r="E1023" s="28"/>
      <c r="F1023" s="28"/>
    </row>
    <row r="1024">
      <c r="A1024" s="28"/>
      <c r="B1024" s="28"/>
      <c r="C1024" s="28"/>
      <c r="D1024" s="28"/>
      <c r="E1024" s="28"/>
      <c r="F1024" s="28"/>
    </row>
    <row r="1025">
      <c r="A1025" s="28"/>
      <c r="B1025" s="28"/>
      <c r="C1025" s="28"/>
      <c r="D1025" s="28"/>
      <c r="E1025" s="28"/>
      <c r="F1025" s="28"/>
    </row>
    <row r="1026">
      <c r="A1026" s="28"/>
      <c r="B1026" s="28"/>
      <c r="C1026" s="28"/>
      <c r="D1026" s="28"/>
      <c r="E1026" s="28"/>
      <c r="F1026" s="28"/>
    </row>
    <row r="1027">
      <c r="A1027" s="28"/>
      <c r="B1027" s="28"/>
      <c r="C1027" s="28"/>
      <c r="D1027" s="28"/>
      <c r="E1027" s="28"/>
      <c r="F1027" s="28"/>
    </row>
    <row r="1028">
      <c r="A1028" s="28"/>
      <c r="B1028" s="28"/>
      <c r="C1028" s="28"/>
      <c r="D1028" s="28"/>
      <c r="E1028" s="28"/>
      <c r="F1028" s="28"/>
    </row>
    <row r="1029">
      <c r="A1029" s="28"/>
      <c r="B1029" s="28"/>
      <c r="C1029" s="28"/>
      <c r="D1029" s="28"/>
      <c r="E1029" s="28"/>
      <c r="F1029" s="28"/>
    </row>
    <row r="1030">
      <c r="A1030" s="28"/>
      <c r="B1030" s="28"/>
      <c r="C1030" s="28"/>
      <c r="D1030" s="28"/>
      <c r="E1030" s="28"/>
      <c r="F1030" s="28"/>
    </row>
    <row r="1031">
      <c r="A1031" s="28"/>
      <c r="B1031" s="28"/>
      <c r="C1031" s="28"/>
      <c r="D1031" s="28"/>
      <c r="E1031" s="28"/>
      <c r="F1031" s="28"/>
    </row>
    <row r="1032">
      <c r="A1032" s="28"/>
      <c r="B1032" s="28"/>
      <c r="C1032" s="28"/>
      <c r="D1032" s="28"/>
      <c r="E1032" s="28"/>
      <c r="F1032" s="28"/>
    </row>
    <row r="1033">
      <c r="A1033" s="28"/>
      <c r="B1033" s="28"/>
      <c r="C1033" s="28"/>
      <c r="D1033" s="28"/>
      <c r="E1033" s="28"/>
      <c r="F1033" s="28"/>
    </row>
    <row r="1034">
      <c r="A1034" s="28"/>
      <c r="B1034" s="28"/>
      <c r="C1034" s="28"/>
      <c r="D1034" s="28"/>
      <c r="E1034" s="28"/>
      <c r="F1034" s="28"/>
    </row>
    <row r="1035">
      <c r="A1035" s="28"/>
      <c r="B1035" s="28"/>
      <c r="C1035" s="28"/>
      <c r="D1035" s="28"/>
      <c r="E1035" s="28"/>
      <c r="F1035" s="28"/>
    </row>
    <row r="1036">
      <c r="A1036" s="28"/>
      <c r="B1036" s="28"/>
      <c r="C1036" s="28"/>
      <c r="D1036" s="28"/>
      <c r="E1036" s="28"/>
      <c r="F1036" s="28"/>
    </row>
    <row r="1037">
      <c r="A1037" s="28"/>
      <c r="B1037" s="28"/>
      <c r="C1037" s="28"/>
      <c r="D1037" s="28"/>
      <c r="E1037" s="28"/>
      <c r="F1037" s="28"/>
    </row>
    <row r="1038">
      <c r="A1038" s="28"/>
      <c r="B1038" s="28"/>
      <c r="C1038" s="28"/>
      <c r="D1038" s="28"/>
      <c r="E1038" s="28"/>
      <c r="F1038" s="28"/>
    </row>
    <row r="1039">
      <c r="A1039" s="28"/>
      <c r="B1039" s="28"/>
      <c r="C1039" s="28"/>
      <c r="D1039" s="28"/>
      <c r="E1039" s="28"/>
      <c r="F1039" s="28"/>
    </row>
    <row r="1040">
      <c r="A1040" s="28"/>
      <c r="B1040" s="28"/>
      <c r="C1040" s="28"/>
      <c r="D1040" s="28"/>
      <c r="E1040" s="28"/>
      <c r="F1040" s="28"/>
    </row>
    <row r="1041">
      <c r="A1041" s="28"/>
      <c r="B1041" s="28"/>
      <c r="C1041" s="28"/>
      <c r="D1041" s="28"/>
      <c r="E1041" s="28"/>
      <c r="F1041" s="28"/>
    </row>
    <row r="1042">
      <c r="A1042" s="28"/>
      <c r="B1042" s="28"/>
      <c r="C1042" s="28"/>
      <c r="D1042" s="28"/>
      <c r="E1042" s="28"/>
      <c r="F1042" s="28"/>
    </row>
  </sheetData>
  <mergeCells count="2">
    <mergeCell ref="A1:F1"/>
    <mergeCell ref="D2:E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3.25"/>
    <col customWidth="1" min="3" max="3" width="14.38"/>
  </cols>
  <sheetData>
    <row r="1">
      <c r="A1" s="29" t="s">
        <v>273</v>
      </c>
    </row>
    <row r="2">
      <c r="A2" s="30" t="s">
        <v>274</v>
      </c>
      <c r="B2" s="31"/>
      <c r="C2" s="30" t="s">
        <v>275</v>
      </c>
      <c r="D2" s="31"/>
      <c r="E2" s="30" t="s">
        <v>276</v>
      </c>
      <c r="F2" s="31"/>
    </row>
    <row r="3">
      <c r="A3" s="32" t="s">
        <v>277</v>
      </c>
      <c r="B3" s="33" t="s">
        <v>1</v>
      </c>
      <c r="C3" s="34"/>
      <c r="D3" s="35" t="s">
        <v>2</v>
      </c>
      <c r="E3" s="34"/>
      <c r="F3" s="36" t="s">
        <v>278</v>
      </c>
    </row>
    <row r="4">
      <c r="A4" s="37" t="s">
        <v>277</v>
      </c>
      <c r="B4" s="38" t="s">
        <v>8</v>
      </c>
      <c r="C4" s="38" t="s">
        <v>279</v>
      </c>
      <c r="D4" s="39" t="s">
        <v>8</v>
      </c>
      <c r="E4" s="39" t="s">
        <v>279</v>
      </c>
      <c r="F4" s="40" t="s">
        <v>280</v>
      </c>
    </row>
    <row r="5">
      <c r="A5" s="41" t="s">
        <v>281</v>
      </c>
      <c r="B5" s="42"/>
      <c r="C5" s="42"/>
      <c r="D5" s="42"/>
      <c r="E5" s="42"/>
      <c r="F5" s="42"/>
    </row>
    <row r="6">
      <c r="A6" s="43" t="s">
        <v>12</v>
      </c>
      <c r="B6" s="44" t="s">
        <v>13</v>
      </c>
      <c r="C6" s="45"/>
      <c r="D6" s="46" t="s">
        <v>13</v>
      </c>
      <c r="E6" s="47"/>
      <c r="F6" s="48"/>
    </row>
    <row r="7">
      <c r="A7" s="49" t="s">
        <v>16</v>
      </c>
      <c r="B7" s="44" t="s">
        <v>17</v>
      </c>
      <c r="C7" s="45"/>
      <c r="D7" s="46" t="s">
        <v>17</v>
      </c>
      <c r="E7" s="47"/>
      <c r="F7" s="48"/>
    </row>
    <row r="8">
      <c r="A8" s="43" t="s">
        <v>282</v>
      </c>
      <c r="B8" s="44" t="s">
        <v>17</v>
      </c>
      <c r="C8" s="45"/>
      <c r="D8" s="46" t="s">
        <v>17</v>
      </c>
      <c r="E8" s="47"/>
      <c r="F8" s="48"/>
    </row>
    <row r="9">
      <c r="A9" s="49" t="s">
        <v>20</v>
      </c>
      <c r="B9" s="44" t="s">
        <v>17</v>
      </c>
      <c r="C9" s="45"/>
      <c r="D9" s="46" t="s">
        <v>17</v>
      </c>
      <c r="E9" s="47"/>
      <c r="F9" s="48"/>
    </row>
    <row r="10">
      <c r="A10" s="43" t="s">
        <v>21</v>
      </c>
      <c r="B10" s="44" t="s">
        <v>17</v>
      </c>
      <c r="C10" s="45"/>
      <c r="D10" s="46" t="s">
        <v>17</v>
      </c>
      <c r="E10" s="47"/>
      <c r="F10" s="48"/>
    </row>
    <row r="11">
      <c r="A11" s="49" t="s">
        <v>283</v>
      </c>
      <c r="B11" s="44" t="s">
        <v>284</v>
      </c>
      <c r="C11" s="45"/>
      <c r="D11" s="46" t="s">
        <v>35</v>
      </c>
      <c r="E11" s="47"/>
      <c r="F11" s="48"/>
    </row>
    <row r="12">
      <c r="A12" s="43" t="s">
        <v>285</v>
      </c>
      <c r="B12" s="44" t="s">
        <v>35</v>
      </c>
      <c r="C12" s="45"/>
      <c r="D12" s="46" t="s">
        <v>35</v>
      </c>
      <c r="E12" s="47"/>
      <c r="F12" s="48"/>
    </row>
    <row r="13">
      <c r="A13" s="50" t="s">
        <v>286</v>
      </c>
      <c r="B13" s="51"/>
      <c r="C13" s="51"/>
      <c r="D13" s="51"/>
      <c r="E13" s="51"/>
      <c r="F13" s="51"/>
    </row>
    <row r="14">
      <c r="A14" s="43" t="s">
        <v>287</v>
      </c>
      <c r="B14" s="44" t="s">
        <v>284</v>
      </c>
      <c r="C14" s="52"/>
      <c r="D14" s="46" t="s">
        <v>35</v>
      </c>
      <c r="E14" s="53"/>
      <c r="F14" s="54"/>
    </row>
    <row r="15">
      <c r="A15" s="49" t="s">
        <v>61</v>
      </c>
      <c r="B15" s="44" t="s">
        <v>284</v>
      </c>
      <c r="C15" s="45"/>
      <c r="D15" s="46" t="s">
        <v>35</v>
      </c>
      <c r="E15" s="47"/>
      <c r="F15" s="48"/>
    </row>
    <row r="16">
      <c r="A16" s="43" t="s">
        <v>288</v>
      </c>
      <c r="B16" s="44" t="s">
        <v>289</v>
      </c>
      <c r="C16" s="45"/>
      <c r="D16" s="46" t="s">
        <v>35</v>
      </c>
      <c r="E16" s="47"/>
      <c r="F16" s="48"/>
    </row>
    <row r="17">
      <c r="A17" s="49" t="s">
        <v>290</v>
      </c>
      <c r="B17" s="44" t="s">
        <v>284</v>
      </c>
      <c r="C17" s="45"/>
      <c r="D17" s="46" t="s">
        <v>35</v>
      </c>
      <c r="E17" s="47"/>
      <c r="F17" s="48"/>
    </row>
    <row r="18">
      <c r="A18" s="43" t="s">
        <v>206</v>
      </c>
      <c r="B18" s="44" t="s">
        <v>207</v>
      </c>
      <c r="C18" s="45"/>
      <c r="D18" s="46" t="s">
        <v>17</v>
      </c>
      <c r="E18" s="47"/>
      <c r="F18" s="48"/>
    </row>
    <row r="19">
      <c r="A19" s="49" t="s">
        <v>291</v>
      </c>
      <c r="B19" s="44" t="s">
        <v>284</v>
      </c>
      <c r="C19" s="45"/>
      <c r="D19" s="46" t="s">
        <v>35</v>
      </c>
      <c r="E19" s="47"/>
      <c r="F19" s="48"/>
    </row>
    <row r="20">
      <c r="A20" s="43" t="s">
        <v>248</v>
      </c>
      <c r="B20" s="44" t="s">
        <v>284</v>
      </c>
      <c r="C20" s="45"/>
      <c r="D20" s="46" t="s">
        <v>35</v>
      </c>
      <c r="E20" s="47"/>
      <c r="F20" s="48"/>
    </row>
    <row r="21">
      <c r="A21" s="49" t="s">
        <v>112</v>
      </c>
      <c r="B21" s="44" t="s">
        <v>284</v>
      </c>
      <c r="C21" s="45"/>
      <c r="D21" s="46" t="s">
        <v>35</v>
      </c>
      <c r="E21" s="47"/>
      <c r="F21" s="48"/>
    </row>
    <row r="22">
      <c r="A22" s="43" t="s">
        <v>154</v>
      </c>
      <c r="B22" s="44" t="s">
        <v>284</v>
      </c>
      <c r="C22" s="45"/>
      <c r="D22" s="46" t="s">
        <v>35</v>
      </c>
      <c r="E22" s="47"/>
      <c r="F22" s="48"/>
    </row>
    <row r="23">
      <c r="A23" s="49" t="s">
        <v>250</v>
      </c>
      <c r="B23" s="44" t="s">
        <v>284</v>
      </c>
      <c r="C23" s="45"/>
      <c r="D23" s="46" t="s">
        <v>35</v>
      </c>
      <c r="E23" s="47"/>
      <c r="F23" s="48"/>
    </row>
    <row r="24">
      <c r="A24" s="43" t="s">
        <v>116</v>
      </c>
      <c r="B24" s="44" t="s">
        <v>284</v>
      </c>
      <c r="C24" s="45"/>
      <c r="D24" s="46" t="s">
        <v>35</v>
      </c>
      <c r="E24" s="47"/>
      <c r="F24" s="48"/>
    </row>
    <row r="25">
      <c r="A25" s="49" t="s">
        <v>129</v>
      </c>
      <c r="B25" s="44" t="s">
        <v>284</v>
      </c>
      <c r="C25" s="45"/>
      <c r="D25" s="46" t="s">
        <v>35</v>
      </c>
      <c r="E25" s="47"/>
      <c r="F25" s="48"/>
    </row>
    <row r="26">
      <c r="A26" s="43" t="s">
        <v>130</v>
      </c>
      <c r="B26" s="44" t="s">
        <v>284</v>
      </c>
      <c r="C26" s="45"/>
      <c r="D26" s="46" t="s">
        <v>35</v>
      </c>
      <c r="E26" s="47"/>
      <c r="F26" s="48"/>
    </row>
    <row r="27">
      <c r="A27" s="49" t="s">
        <v>225</v>
      </c>
      <c r="B27" s="44" t="s">
        <v>35</v>
      </c>
      <c r="C27" s="45"/>
      <c r="D27" s="46" t="s">
        <v>35</v>
      </c>
      <c r="E27" s="47"/>
      <c r="F27" s="48"/>
    </row>
    <row r="28">
      <c r="A28" s="55" t="s">
        <v>292</v>
      </c>
      <c r="B28" s="56"/>
      <c r="C28" s="56"/>
      <c r="D28" s="56"/>
      <c r="E28" s="56"/>
      <c r="F28" s="56"/>
    </row>
    <row r="29">
      <c r="A29" s="43" t="s">
        <v>293</v>
      </c>
      <c r="B29" s="44" t="s">
        <v>56</v>
      </c>
      <c r="C29" s="45"/>
      <c r="D29" s="46" t="s">
        <v>294</v>
      </c>
      <c r="E29" s="47"/>
      <c r="F29" s="48"/>
    </row>
    <row r="30">
      <c r="A30" s="49" t="s">
        <v>74</v>
      </c>
      <c r="B30" s="44" t="s">
        <v>17</v>
      </c>
      <c r="C30" s="45"/>
      <c r="D30" s="46" t="s">
        <v>294</v>
      </c>
      <c r="E30" s="47"/>
      <c r="F30" s="48"/>
    </row>
    <row r="31">
      <c r="A31" s="43" t="s">
        <v>77</v>
      </c>
      <c r="B31" s="44" t="s">
        <v>78</v>
      </c>
      <c r="C31" s="45"/>
      <c r="D31" s="46" t="s">
        <v>294</v>
      </c>
      <c r="E31" s="47"/>
      <c r="F31" s="48"/>
    </row>
    <row r="32">
      <c r="A32" s="49" t="s">
        <v>295</v>
      </c>
      <c r="B32" s="44" t="s">
        <v>106</v>
      </c>
      <c r="C32" s="45"/>
      <c r="D32" s="46" t="s">
        <v>294</v>
      </c>
      <c r="E32" s="47"/>
      <c r="F32" s="48"/>
    </row>
    <row r="33">
      <c r="A33" s="43" t="s">
        <v>80</v>
      </c>
      <c r="B33" s="44" t="s">
        <v>106</v>
      </c>
      <c r="C33" s="45"/>
      <c r="D33" s="46" t="s">
        <v>294</v>
      </c>
      <c r="E33" s="47"/>
      <c r="F33" s="48"/>
    </row>
    <row r="34">
      <c r="A34" s="49" t="s">
        <v>68</v>
      </c>
      <c r="B34" s="44" t="s">
        <v>35</v>
      </c>
      <c r="C34" s="45"/>
      <c r="D34" s="46" t="s">
        <v>35</v>
      </c>
      <c r="E34" s="47"/>
      <c r="F34" s="48"/>
    </row>
    <row r="35">
      <c r="A35" s="43" t="s">
        <v>296</v>
      </c>
      <c r="B35" s="44" t="s">
        <v>35</v>
      </c>
      <c r="C35" s="45"/>
      <c r="D35" s="46" t="s">
        <v>35</v>
      </c>
      <c r="E35" s="47"/>
      <c r="F35" s="48"/>
    </row>
    <row r="36">
      <c r="A36" s="49" t="s">
        <v>297</v>
      </c>
      <c r="B36" s="44" t="s">
        <v>72</v>
      </c>
      <c r="C36" s="45"/>
      <c r="D36" s="46" t="s">
        <v>35</v>
      </c>
      <c r="E36" s="47"/>
      <c r="F36" s="48"/>
    </row>
    <row r="37">
      <c r="A37" s="43" t="s">
        <v>298</v>
      </c>
      <c r="B37" s="44" t="s">
        <v>72</v>
      </c>
      <c r="C37" s="45"/>
      <c r="D37" s="46" t="s">
        <v>35</v>
      </c>
      <c r="E37" s="47"/>
      <c r="F37" s="48"/>
    </row>
    <row r="38">
      <c r="A38" s="49" t="s">
        <v>299</v>
      </c>
      <c r="B38" s="44" t="s">
        <v>106</v>
      </c>
      <c r="C38" s="45"/>
      <c r="D38" s="46" t="s">
        <v>35</v>
      </c>
      <c r="E38" s="47"/>
      <c r="F38" s="48"/>
    </row>
    <row r="39">
      <c r="A39" s="57" t="s">
        <v>300</v>
      </c>
      <c r="B39" s="58"/>
      <c r="C39" s="58"/>
      <c r="D39" s="58"/>
      <c r="E39" s="58"/>
      <c r="F39" s="58"/>
    </row>
    <row r="40">
      <c r="A40" s="43" t="s">
        <v>301</v>
      </c>
      <c r="B40" s="44" t="s">
        <v>83</v>
      </c>
      <c r="C40" s="45"/>
      <c r="D40" s="46" t="s">
        <v>294</v>
      </c>
      <c r="E40" s="47"/>
      <c r="F40" s="48"/>
    </row>
    <row r="41">
      <c r="A41" s="49" t="s">
        <v>302</v>
      </c>
      <c r="B41" s="44" t="s">
        <v>83</v>
      </c>
      <c r="C41" s="45"/>
      <c r="D41" s="46" t="s">
        <v>294</v>
      </c>
      <c r="E41" s="47"/>
      <c r="F41" s="48"/>
    </row>
    <row r="42">
      <c r="A42" s="43" t="s">
        <v>303</v>
      </c>
      <c r="B42" s="44" t="s">
        <v>83</v>
      </c>
      <c r="C42" s="45"/>
      <c r="D42" s="46" t="s">
        <v>294</v>
      </c>
      <c r="E42" s="47"/>
      <c r="F42" s="48"/>
    </row>
    <row r="43">
      <c r="A43" s="49" t="s">
        <v>304</v>
      </c>
      <c r="B43" s="44" t="s">
        <v>83</v>
      </c>
      <c r="C43" s="45"/>
      <c r="D43" s="46" t="s">
        <v>294</v>
      </c>
      <c r="E43" s="47"/>
      <c r="F43" s="48"/>
    </row>
    <row r="44">
      <c r="A44" s="43" t="s">
        <v>305</v>
      </c>
      <c r="B44" s="44" t="s">
        <v>83</v>
      </c>
      <c r="C44" s="45"/>
      <c r="D44" s="46" t="s">
        <v>294</v>
      </c>
      <c r="E44" s="47"/>
      <c r="F44" s="48"/>
    </row>
    <row r="45">
      <c r="A45" s="49" t="s">
        <v>306</v>
      </c>
      <c r="B45" s="44" t="s">
        <v>83</v>
      </c>
      <c r="C45" s="45"/>
      <c r="D45" s="46" t="s">
        <v>294</v>
      </c>
      <c r="E45" s="47"/>
      <c r="F45" s="48"/>
    </row>
    <row r="46">
      <c r="A46" s="43" t="s">
        <v>307</v>
      </c>
      <c r="B46" s="44" t="s">
        <v>56</v>
      </c>
      <c r="C46" s="45"/>
      <c r="D46" s="46" t="s">
        <v>35</v>
      </c>
      <c r="E46" s="47"/>
      <c r="F46" s="48"/>
    </row>
    <row r="47">
      <c r="A47" s="49" t="s">
        <v>308</v>
      </c>
      <c r="B47" s="44" t="s">
        <v>83</v>
      </c>
      <c r="C47" s="45"/>
      <c r="D47" s="46" t="s">
        <v>294</v>
      </c>
      <c r="E47" s="47"/>
      <c r="F47" s="48"/>
    </row>
    <row r="48">
      <c r="A48" s="43" t="s">
        <v>309</v>
      </c>
      <c r="B48" s="44" t="s">
        <v>56</v>
      </c>
      <c r="C48" s="45"/>
      <c r="D48" s="46" t="s">
        <v>35</v>
      </c>
      <c r="E48" s="47"/>
      <c r="F48" s="48"/>
    </row>
    <row r="49">
      <c r="A49" s="49" t="s">
        <v>310</v>
      </c>
      <c r="B49" s="44" t="s">
        <v>106</v>
      </c>
      <c r="C49" s="45"/>
      <c r="D49" s="46" t="s">
        <v>35</v>
      </c>
      <c r="E49" s="47"/>
      <c r="F49" s="48"/>
    </row>
    <row r="50">
      <c r="A50" s="43" t="s">
        <v>311</v>
      </c>
      <c r="B50" s="44" t="s">
        <v>83</v>
      </c>
      <c r="C50" s="45"/>
      <c r="D50" s="46" t="s">
        <v>294</v>
      </c>
      <c r="E50" s="47"/>
      <c r="F50" s="48"/>
    </row>
    <row r="51">
      <c r="A51" s="49" t="s">
        <v>37</v>
      </c>
      <c r="B51" s="44" t="s">
        <v>83</v>
      </c>
      <c r="C51" s="45"/>
      <c r="D51" s="46" t="s">
        <v>294</v>
      </c>
      <c r="E51" s="47"/>
      <c r="F51" s="48"/>
    </row>
    <row r="52">
      <c r="A52" s="43" t="s">
        <v>42</v>
      </c>
      <c r="B52" s="44" t="s">
        <v>83</v>
      </c>
      <c r="C52" s="45"/>
      <c r="D52" s="46" t="s">
        <v>294</v>
      </c>
      <c r="E52" s="47"/>
      <c r="F52" s="48"/>
    </row>
    <row r="53">
      <c r="A53" s="49" t="s">
        <v>312</v>
      </c>
      <c r="B53" s="44" t="s">
        <v>83</v>
      </c>
      <c r="C53" s="45"/>
      <c r="D53" s="46" t="s">
        <v>294</v>
      </c>
      <c r="E53" s="47"/>
      <c r="F53" s="48"/>
    </row>
    <row r="54">
      <c r="A54" s="43" t="s">
        <v>30</v>
      </c>
      <c r="B54" s="44" t="s">
        <v>83</v>
      </c>
      <c r="C54" s="45"/>
      <c r="D54" s="46" t="s">
        <v>294</v>
      </c>
      <c r="E54" s="47"/>
      <c r="F54" s="48"/>
    </row>
    <row r="55">
      <c r="A55" s="49" t="s">
        <v>313</v>
      </c>
      <c r="B55" s="44" t="s">
        <v>83</v>
      </c>
      <c r="C55" s="45"/>
      <c r="D55" s="46" t="s">
        <v>294</v>
      </c>
      <c r="E55" s="47"/>
      <c r="F55" s="48"/>
    </row>
    <row r="56">
      <c r="A56" s="43" t="s">
        <v>314</v>
      </c>
      <c r="B56" s="44" t="s">
        <v>83</v>
      </c>
      <c r="C56" s="45"/>
      <c r="D56" s="46" t="s">
        <v>294</v>
      </c>
      <c r="E56" s="47"/>
      <c r="F56" s="48"/>
    </row>
    <row r="57">
      <c r="A57" s="49" t="s">
        <v>315</v>
      </c>
      <c r="B57" s="44" t="s">
        <v>83</v>
      </c>
      <c r="C57" s="45"/>
      <c r="D57" s="46" t="s">
        <v>294</v>
      </c>
      <c r="E57" s="47"/>
      <c r="F57" s="48"/>
    </row>
    <row r="58">
      <c r="A58" s="43" t="s">
        <v>316</v>
      </c>
      <c r="B58" s="44" t="s">
        <v>83</v>
      </c>
      <c r="C58" s="45"/>
      <c r="D58" s="46" t="s">
        <v>35</v>
      </c>
      <c r="E58" s="47"/>
      <c r="F58" s="48"/>
    </row>
    <row r="59">
      <c r="A59" s="49" t="s">
        <v>317</v>
      </c>
      <c r="B59" s="44" t="s">
        <v>83</v>
      </c>
      <c r="C59" s="45"/>
      <c r="D59" s="46" t="s">
        <v>35</v>
      </c>
      <c r="E59" s="47"/>
      <c r="F59" s="48"/>
    </row>
    <row r="60">
      <c r="A60" s="43" t="s">
        <v>318</v>
      </c>
      <c r="B60" s="44" t="s">
        <v>83</v>
      </c>
      <c r="C60" s="45"/>
      <c r="D60" s="46" t="s">
        <v>35</v>
      </c>
      <c r="E60" s="47"/>
      <c r="F60" s="48"/>
    </row>
    <row r="61">
      <c r="A61" s="49" t="s">
        <v>53</v>
      </c>
      <c r="B61" s="44" t="s">
        <v>35</v>
      </c>
      <c r="C61" s="45"/>
      <c r="D61" s="46" t="s">
        <v>35</v>
      </c>
      <c r="E61" s="47"/>
      <c r="F61" s="48"/>
    </row>
    <row r="62">
      <c r="A62" s="43" t="s">
        <v>319</v>
      </c>
      <c r="B62" s="44" t="s">
        <v>106</v>
      </c>
      <c r="C62" s="45"/>
      <c r="D62" s="46" t="s">
        <v>35</v>
      </c>
      <c r="E62" s="47"/>
      <c r="F62" s="48"/>
    </row>
    <row r="63">
      <c r="A63" s="49" t="s">
        <v>320</v>
      </c>
      <c r="B63" s="44" t="s">
        <v>83</v>
      </c>
      <c r="C63" s="45"/>
      <c r="D63" s="46" t="s">
        <v>294</v>
      </c>
      <c r="E63" s="47"/>
      <c r="F63" s="48"/>
    </row>
    <row r="64">
      <c r="A64" s="43" t="s">
        <v>321</v>
      </c>
      <c r="B64" s="44" t="s">
        <v>83</v>
      </c>
      <c r="C64" s="45"/>
      <c r="D64" s="46" t="s">
        <v>294</v>
      </c>
      <c r="E64" s="47"/>
      <c r="F64" s="48"/>
    </row>
    <row r="65">
      <c r="A65" s="59" t="s">
        <v>322</v>
      </c>
      <c r="B65" s="60"/>
      <c r="C65" s="60"/>
      <c r="D65" s="60"/>
      <c r="E65" s="60"/>
      <c r="F65" s="60"/>
    </row>
    <row r="66">
      <c r="A66" s="43" t="s">
        <v>323</v>
      </c>
      <c r="B66" s="44" t="s">
        <v>40</v>
      </c>
      <c r="C66" s="45"/>
      <c r="D66" s="46" t="s">
        <v>35</v>
      </c>
      <c r="E66" s="47"/>
      <c r="F66" s="48"/>
    </row>
    <row r="67">
      <c r="A67" s="49" t="s">
        <v>99</v>
      </c>
      <c r="B67" s="44" t="s">
        <v>40</v>
      </c>
      <c r="C67" s="45"/>
      <c r="D67" s="46" t="s">
        <v>35</v>
      </c>
      <c r="E67" s="47"/>
      <c r="F67" s="48"/>
    </row>
    <row r="68">
      <c r="A68" s="43" t="s">
        <v>324</v>
      </c>
      <c r="B68" s="44" t="s">
        <v>40</v>
      </c>
      <c r="C68" s="45"/>
      <c r="D68" s="46" t="s">
        <v>35</v>
      </c>
      <c r="E68" s="47"/>
      <c r="F68" s="48"/>
    </row>
    <row r="69">
      <c r="A69" s="49" t="s">
        <v>325</v>
      </c>
      <c r="B69" s="44" t="s">
        <v>40</v>
      </c>
      <c r="C69" s="45"/>
      <c r="D69" s="46" t="s">
        <v>35</v>
      </c>
      <c r="E69" s="47"/>
      <c r="F69" s="48"/>
    </row>
    <row r="70">
      <c r="A70" s="43" t="s">
        <v>326</v>
      </c>
      <c r="B70" s="44" t="s">
        <v>40</v>
      </c>
      <c r="C70" s="45"/>
      <c r="D70" s="46" t="s">
        <v>35</v>
      </c>
      <c r="E70" s="47"/>
      <c r="F70" s="48"/>
    </row>
    <row r="71">
      <c r="A71" s="49" t="s">
        <v>327</v>
      </c>
      <c r="B71" s="44" t="s">
        <v>40</v>
      </c>
      <c r="C71" s="45"/>
      <c r="D71" s="46" t="s">
        <v>35</v>
      </c>
      <c r="E71" s="47"/>
      <c r="F71" s="48"/>
    </row>
    <row r="72">
      <c r="A72" s="43" t="s">
        <v>328</v>
      </c>
      <c r="B72" s="44" t="s">
        <v>106</v>
      </c>
      <c r="C72" s="45"/>
      <c r="D72" s="46" t="s">
        <v>35</v>
      </c>
      <c r="E72" s="47"/>
      <c r="F72" s="48"/>
    </row>
    <row r="73">
      <c r="A73" s="49" t="s">
        <v>329</v>
      </c>
      <c r="B73" s="44" t="s">
        <v>40</v>
      </c>
      <c r="C73" s="45"/>
      <c r="D73" s="46" t="s">
        <v>35</v>
      </c>
      <c r="E73" s="47"/>
      <c r="F73" s="48"/>
    </row>
    <row r="74">
      <c r="A74" s="43" t="s">
        <v>330</v>
      </c>
      <c r="B74" s="44" t="s">
        <v>40</v>
      </c>
      <c r="C74" s="45"/>
      <c r="D74" s="46" t="s">
        <v>35</v>
      </c>
      <c r="E74" s="47"/>
      <c r="F74" s="48"/>
    </row>
    <row r="75">
      <c r="A75" s="49" t="s">
        <v>331</v>
      </c>
      <c r="B75" s="44" t="s">
        <v>40</v>
      </c>
      <c r="C75" s="45"/>
      <c r="D75" s="46" t="s">
        <v>35</v>
      </c>
      <c r="E75" s="47"/>
      <c r="F75" s="48"/>
    </row>
    <row r="76">
      <c r="A76" s="43" t="s">
        <v>114</v>
      </c>
      <c r="B76" s="44" t="s">
        <v>40</v>
      </c>
      <c r="C76" s="45"/>
      <c r="D76" s="46" t="s">
        <v>35</v>
      </c>
      <c r="E76" s="47"/>
      <c r="F76" s="48"/>
    </row>
    <row r="77">
      <c r="A77" s="49" t="s">
        <v>332</v>
      </c>
      <c r="B77" s="44" t="s">
        <v>40</v>
      </c>
      <c r="C77" s="45"/>
      <c r="D77" s="46" t="s">
        <v>35</v>
      </c>
      <c r="E77" s="47"/>
      <c r="F77" s="48"/>
    </row>
    <row r="78">
      <c r="A78" s="43" t="s">
        <v>333</v>
      </c>
      <c r="B78" s="44" t="s">
        <v>40</v>
      </c>
      <c r="C78" s="45"/>
      <c r="D78" s="46" t="s">
        <v>35</v>
      </c>
      <c r="E78" s="47"/>
      <c r="F78" s="48"/>
    </row>
    <row r="79">
      <c r="A79" s="49" t="s">
        <v>334</v>
      </c>
      <c r="B79" s="44" t="s">
        <v>40</v>
      </c>
      <c r="C79" s="45"/>
      <c r="D79" s="46" t="s">
        <v>35</v>
      </c>
      <c r="E79" s="47"/>
      <c r="F79" s="48"/>
    </row>
    <row r="80">
      <c r="A80" s="43" t="s">
        <v>121</v>
      </c>
      <c r="B80" s="44" t="s">
        <v>40</v>
      </c>
      <c r="C80" s="45"/>
      <c r="D80" s="46" t="s">
        <v>35</v>
      </c>
      <c r="E80" s="47"/>
      <c r="F80" s="48"/>
    </row>
    <row r="81">
      <c r="A81" s="49" t="s">
        <v>122</v>
      </c>
      <c r="B81" s="44" t="s">
        <v>40</v>
      </c>
      <c r="C81" s="45"/>
      <c r="D81" s="46" t="s">
        <v>35</v>
      </c>
      <c r="E81" s="47"/>
      <c r="F81" s="48"/>
    </row>
    <row r="82">
      <c r="A82" s="43" t="s">
        <v>335</v>
      </c>
      <c r="B82" s="44" t="s">
        <v>40</v>
      </c>
      <c r="C82" s="45"/>
      <c r="D82" s="46" t="s">
        <v>35</v>
      </c>
      <c r="E82" s="47"/>
      <c r="F82" s="48"/>
    </row>
    <row r="83">
      <c r="A83" s="49" t="s">
        <v>336</v>
      </c>
      <c r="B83" s="44" t="s">
        <v>40</v>
      </c>
      <c r="C83" s="45"/>
      <c r="D83" s="46" t="s">
        <v>35</v>
      </c>
      <c r="E83" s="47"/>
      <c r="F83" s="48"/>
    </row>
    <row r="84">
      <c r="A84" s="43" t="s">
        <v>125</v>
      </c>
      <c r="B84" s="44" t="s">
        <v>40</v>
      </c>
      <c r="C84" s="45"/>
      <c r="D84" s="46" t="s">
        <v>35</v>
      </c>
      <c r="E84" s="47"/>
      <c r="F84" s="48"/>
    </row>
    <row r="85">
      <c r="A85" s="49" t="s">
        <v>126</v>
      </c>
      <c r="B85" s="44" t="s">
        <v>40</v>
      </c>
      <c r="C85" s="45"/>
      <c r="D85" s="46" t="s">
        <v>35</v>
      </c>
      <c r="E85" s="47"/>
      <c r="F85" s="48"/>
    </row>
    <row r="86">
      <c r="A86" s="43" t="s">
        <v>127</v>
      </c>
      <c r="B86" s="44" t="s">
        <v>40</v>
      </c>
      <c r="C86" s="45"/>
      <c r="D86" s="46" t="s">
        <v>35</v>
      </c>
      <c r="E86" s="47"/>
      <c r="F86" s="48"/>
    </row>
    <row r="87">
      <c r="A87" s="49" t="s">
        <v>128</v>
      </c>
      <c r="B87" s="44" t="s">
        <v>40</v>
      </c>
      <c r="C87" s="45"/>
      <c r="D87" s="46" t="s">
        <v>35</v>
      </c>
      <c r="E87" s="47"/>
      <c r="F87" s="48"/>
    </row>
    <row r="88">
      <c r="A88" s="43" t="s">
        <v>337</v>
      </c>
      <c r="B88" s="44" t="s">
        <v>40</v>
      </c>
      <c r="C88" s="45"/>
      <c r="D88" s="46" t="s">
        <v>35</v>
      </c>
      <c r="E88" s="47"/>
      <c r="F88" s="48"/>
    </row>
    <row r="89">
      <c r="A89" s="49" t="s">
        <v>132</v>
      </c>
      <c r="B89" s="44" t="s">
        <v>40</v>
      </c>
      <c r="C89" s="45"/>
      <c r="D89" s="46" t="s">
        <v>35</v>
      </c>
      <c r="E89" s="47"/>
      <c r="F89" s="48"/>
    </row>
    <row r="90">
      <c r="A90" s="43" t="s">
        <v>134</v>
      </c>
      <c r="B90" s="44" t="s">
        <v>40</v>
      </c>
      <c r="C90" s="45"/>
      <c r="D90" s="46" t="s">
        <v>35</v>
      </c>
      <c r="E90" s="47"/>
      <c r="F90" s="48"/>
    </row>
    <row r="91">
      <c r="A91" s="49" t="s">
        <v>133</v>
      </c>
      <c r="B91" s="44" t="s">
        <v>40</v>
      </c>
      <c r="C91" s="45"/>
      <c r="D91" s="46" t="s">
        <v>35</v>
      </c>
      <c r="E91" s="47"/>
      <c r="F91" s="48"/>
    </row>
    <row r="92">
      <c r="A92" s="43" t="s">
        <v>143</v>
      </c>
      <c r="B92" s="44" t="s">
        <v>40</v>
      </c>
      <c r="C92" s="45"/>
      <c r="D92" s="46" t="s">
        <v>35</v>
      </c>
      <c r="E92" s="47"/>
      <c r="F92" s="48"/>
    </row>
    <row r="93">
      <c r="A93" s="49" t="s">
        <v>338</v>
      </c>
      <c r="B93" s="44" t="s">
        <v>40</v>
      </c>
      <c r="C93" s="45"/>
      <c r="D93" s="46" t="s">
        <v>35</v>
      </c>
      <c r="E93" s="47"/>
      <c r="F93" s="48"/>
    </row>
    <row r="94">
      <c r="A94" s="43" t="s">
        <v>339</v>
      </c>
      <c r="B94" s="44" t="s">
        <v>40</v>
      </c>
      <c r="C94" s="45"/>
      <c r="D94" s="46" t="s">
        <v>35</v>
      </c>
      <c r="E94" s="47"/>
      <c r="F94" s="48"/>
    </row>
    <row r="95">
      <c r="A95" s="49" t="s">
        <v>135</v>
      </c>
      <c r="B95" s="44" t="s">
        <v>106</v>
      </c>
      <c r="C95" s="45"/>
      <c r="D95" s="46" t="s">
        <v>35</v>
      </c>
      <c r="E95" s="47"/>
      <c r="F95" s="48"/>
    </row>
    <row r="96">
      <c r="A96" s="43" t="s">
        <v>152</v>
      </c>
      <c r="B96" s="44" t="s">
        <v>106</v>
      </c>
      <c r="C96" s="45"/>
      <c r="D96" s="46" t="s">
        <v>35</v>
      </c>
      <c r="E96" s="47"/>
      <c r="F96" s="48"/>
    </row>
    <row r="97">
      <c r="A97" s="61" t="s">
        <v>340</v>
      </c>
      <c r="B97" s="62"/>
      <c r="C97" s="62"/>
      <c r="D97" s="62"/>
      <c r="E97" s="62"/>
      <c r="F97" s="62"/>
    </row>
    <row r="98">
      <c r="A98" s="43" t="s">
        <v>341</v>
      </c>
      <c r="B98" s="44" t="s">
        <v>35</v>
      </c>
      <c r="C98" s="45"/>
      <c r="D98" s="46" t="s">
        <v>35</v>
      </c>
      <c r="E98" s="47"/>
      <c r="F98" s="48"/>
    </row>
    <row r="99">
      <c r="A99" s="49" t="s">
        <v>342</v>
      </c>
      <c r="B99" s="44" t="s">
        <v>40</v>
      </c>
      <c r="C99" s="45"/>
      <c r="D99" s="46" t="s">
        <v>35</v>
      </c>
      <c r="E99" s="47"/>
      <c r="F99" s="48"/>
    </row>
    <row r="100">
      <c r="A100" s="43" t="s">
        <v>343</v>
      </c>
      <c r="B100" s="44" t="s">
        <v>40</v>
      </c>
      <c r="C100" s="45"/>
      <c r="D100" s="46" t="s">
        <v>35</v>
      </c>
      <c r="E100" s="47"/>
      <c r="F100" s="48"/>
    </row>
    <row r="101">
      <c r="A101" s="63" t="s">
        <v>344</v>
      </c>
      <c r="B101" s="64"/>
      <c r="C101" s="64"/>
      <c r="D101" s="64"/>
      <c r="E101" s="64"/>
      <c r="F101" s="64"/>
    </row>
    <row r="102">
      <c r="A102" s="43" t="s">
        <v>345</v>
      </c>
      <c r="B102" s="44" t="s">
        <v>106</v>
      </c>
      <c r="C102" s="45"/>
      <c r="D102" s="46" t="s">
        <v>35</v>
      </c>
      <c r="E102" s="47"/>
      <c r="F102" s="48"/>
    </row>
    <row r="103">
      <c r="A103" s="49" t="s">
        <v>158</v>
      </c>
      <c r="B103" s="44" t="s">
        <v>106</v>
      </c>
      <c r="C103" s="45"/>
      <c r="D103" s="46" t="s">
        <v>35</v>
      </c>
      <c r="E103" s="47"/>
      <c r="F103" s="48"/>
    </row>
    <row r="104">
      <c r="A104" s="43" t="s">
        <v>346</v>
      </c>
      <c r="B104" s="44" t="s">
        <v>106</v>
      </c>
      <c r="C104" s="45"/>
      <c r="D104" s="46" t="s">
        <v>35</v>
      </c>
      <c r="E104" s="47"/>
      <c r="F104" s="48"/>
    </row>
    <row r="105">
      <c r="A105" s="49" t="s">
        <v>347</v>
      </c>
      <c r="B105" s="44" t="s">
        <v>106</v>
      </c>
      <c r="C105" s="45"/>
      <c r="D105" s="46" t="s">
        <v>35</v>
      </c>
      <c r="E105" s="47"/>
      <c r="F105" s="48"/>
    </row>
    <row r="106">
      <c r="A106" s="43" t="s">
        <v>162</v>
      </c>
      <c r="B106" s="44" t="s">
        <v>106</v>
      </c>
      <c r="C106" s="45"/>
      <c r="D106" s="46" t="s">
        <v>35</v>
      </c>
      <c r="E106" s="47"/>
      <c r="F106" s="48"/>
    </row>
    <row r="107">
      <c r="A107" s="49" t="s">
        <v>163</v>
      </c>
      <c r="B107" s="44" t="s">
        <v>106</v>
      </c>
      <c r="C107" s="45"/>
      <c r="D107" s="46" t="s">
        <v>35</v>
      </c>
      <c r="E107" s="47"/>
      <c r="F107" s="48"/>
    </row>
    <row r="108">
      <c r="A108" s="43" t="s">
        <v>164</v>
      </c>
      <c r="B108" s="44" t="s">
        <v>40</v>
      </c>
      <c r="C108" s="45"/>
      <c r="D108" s="46" t="s">
        <v>35</v>
      </c>
      <c r="E108" s="47"/>
      <c r="F108" s="48"/>
    </row>
    <row r="109">
      <c r="A109" s="49" t="s">
        <v>167</v>
      </c>
      <c r="B109" s="44" t="s">
        <v>106</v>
      </c>
      <c r="C109" s="45"/>
      <c r="D109" s="46" t="s">
        <v>35</v>
      </c>
      <c r="E109" s="47"/>
      <c r="F109" s="48"/>
    </row>
    <row r="110">
      <c r="A110" s="43" t="s">
        <v>168</v>
      </c>
      <c r="B110" s="44" t="s">
        <v>106</v>
      </c>
      <c r="C110" s="45"/>
      <c r="D110" s="46" t="s">
        <v>35</v>
      </c>
      <c r="E110" s="47"/>
      <c r="F110" s="48"/>
    </row>
    <row r="111">
      <c r="A111" s="49" t="s">
        <v>169</v>
      </c>
      <c r="B111" s="44" t="s">
        <v>106</v>
      </c>
      <c r="C111" s="45"/>
      <c r="D111" s="46" t="s">
        <v>35</v>
      </c>
      <c r="E111" s="47"/>
      <c r="F111" s="48"/>
    </row>
    <row r="112">
      <c r="A112" s="43" t="s">
        <v>348</v>
      </c>
      <c r="B112" s="44" t="s">
        <v>106</v>
      </c>
      <c r="C112" s="45"/>
      <c r="D112" s="46" t="s">
        <v>35</v>
      </c>
      <c r="E112" s="47"/>
      <c r="F112" s="48"/>
    </row>
    <row r="113">
      <c r="A113" s="49" t="s">
        <v>349</v>
      </c>
      <c r="B113" s="44" t="s">
        <v>40</v>
      </c>
      <c r="C113" s="45"/>
      <c r="D113" s="46" t="s">
        <v>35</v>
      </c>
      <c r="E113" s="47"/>
      <c r="F113" s="48"/>
    </row>
    <row r="114">
      <c r="A114" s="43" t="s">
        <v>174</v>
      </c>
      <c r="B114" s="44" t="s">
        <v>106</v>
      </c>
      <c r="C114" s="45"/>
      <c r="D114" s="46" t="s">
        <v>35</v>
      </c>
      <c r="E114" s="47"/>
      <c r="F114" s="48"/>
    </row>
    <row r="115">
      <c r="A115" s="49" t="s">
        <v>350</v>
      </c>
      <c r="B115" s="44" t="s">
        <v>106</v>
      </c>
      <c r="C115" s="45"/>
      <c r="D115" s="46" t="s">
        <v>35</v>
      </c>
      <c r="E115" s="47"/>
      <c r="F115" s="48"/>
    </row>
    <row r="116">
      <c r="A116" s="65" t="s">
        <v>351</v>
      </c>
      <c r="B116" s="66"/>
      <c r="C116" s="66"/>
      <c r="D116" s="66"/>
      <c r="E116" s="66"/>
      <c r="F116" s="66"/>
    </row>
    <row r="117">
      <c r="A117" s="43" t="s">
        <v>352</v>
      </c>
      <c r="B117" s="44" t="s">
        <v>294</v>
      </c>
      <c r="C117" s="45"/>
      <c r="D117" s="46" t="s">
        <v>294</v>
      </c>
      <c r="E117" s="47"/>
      <c r="F117" s="48"/>
    </row>
    <row r="118">
      <c r="A118" s="49" t="s">
        <v>353</v>
      </c>
      <c r="B118" s="44" t="s">
        <v>35</v>
      </c>
      <c r="C118" s="45"/>
      <c r="D118" s="46" t="s">
        <v>35</v>
      </c>
      <c r="E118" s="47"/>
      <c r="F118" s="48"/>
    </row>
    <row r="119">
      <c r="A119" s="43" t="s">
        <v>354</v>
      </c>
      <c r="B119" s="44" t="s">
        <v>35</v>
      </c>
      <c r="C119" s="45"/>
      <c r="D119" s="46" t="s">
        <v>35</v>
      </c>
      <c r="E119" s="47"/>
      <c r="F119" s="48"/>
    </row>
    <row r="120">
      <c r="A120" s="49" t="s">
        <v>355</v>
      </c>
      <c r="B120" s="44" t="s">
        <v>35</v>
      </c>
      <c r="C120" s="45"/>
      <c r="D120" s="46" t="s">
        <v>35</v>
      </c>
      <c r="E120" s="47"/>
      <c r="F120" s="48"/>
    </row>
    <row r="121">
      <c r="A121" s="43" t="s">
        <v>356</v>
      </c>
      <c r="B121" s="44" t="s">
        <v>35</v>
      </c>
      <c r="C121" s="45"/>
      <c r="D121" s="46" t="s">
        <v>35</v>
      </c>
      <c r="E121" s="47"/>
      <c r="F121" s="48"/>
    </row>
    <row r="122">
      <c r="A122" s="49" t="s">
        <v>357</v>
      </c>
      <c r="B122" s="44" t="s">
        <v>17</v>
      </c>
      <c r="C122" s="45"/>
      <c r="D122" s="46" t="s">
        <v>35</v>
      </c>
      <c r="E122" s="47"/>
      <c r="F122" s="48"/>
    </row>
    <row r="123">
      <c r="A123" s="43" t="s">
        <v>358</v>
      </c>
      <c r="B123" s="44" t="s">
        <v>35</v>
      </c>
      <c r="C123" s="45"/>
      <c r="D123" s="46" t="s">
        <v>35</v>
      </c>
      <c r="E123" s="47"/>
      <c r="F123" s="48"/>
    </row>
    <row r="124">
      <c r="A124" s="67" t="s">
        <v>359</v>
      </c>
      <c r="B124" s="68"/>
      <c r="C124" s="68"/>
      <c r="D124" s="68"/>
      <c r="E124" s="68"/>
      <c r="F124" s="68"/>
    </row>
    <row r="125">
      <c r="A125" s="43" t="s">
        <v>360</v>
      </c>
      <c r="B125" s="44" t="s">
        <v>17</v>
      </c>
      <c r="C125" s="45"/>
      <c r="D125" s="46" t="s">
        <v>17</v>
      </c>
      <c r="E125" s="47"/>
      <c r="F125" s="48"/>
    </row>
    <row r="126">
      <c r="A126" s="49" t="s">
        <v>361</v>
      </c>
      <c r="B126" s="44" t="s">
        <v>17</v>
      </c>
      <c r="C126" s="45"/>
      <c r="D126" s="46" t="s">
        <v>17</v>
      </c>
      <c r="E126" s="47"/>
      <c r="F126" s="48"/>
    </row>
    <row r="127">
      <c r="A127" s="43" t="s">
        <v>188</v>
      </c>
      <c r="B127" s="44" t="s">
        <v>35</v>
      </c>
      <c r="C127" s="45"/>
      <c r="D127" s="46" t="s">
        <v>35</v>
      </c>
      <c r="E127" s="47"/>
      <c r="F127" s="48"/>
    </row>
    <row r="128">
      <c r="A128" s="49" t="s">
        <v>362</v>
      </c>
      <c r="B128" s="44" t="s">
        <v>17</v>
      </c>
      <c r="C128" s="45"/>
      <c r="D128" s="46" t="s">
        <v>17</v>
      </c>
      <c r="E128" s="47"/>
      <c r="F128" s="48"/>
    </row>
    <row r="129">
      <c r="A129" s="43" t="s">
        <v>363</v>
      </c>
      <c r="B129" s="44" t="s">
        <v>17</v>
      </c>
      <c r="C129" s="45"/>
      <c r="D129" s="46" t="s">
        <v>17</v>
      </c>
      <c r="E129" s="47"/>
      <c r="F129" s="48"/>
    </row>
    <row r="130">
      <c r="A130" s="49" t="s">
        <v>191</v>
      </c>
      <c r="B130" s="44" t="s">
        <v>35</v>
      </c>
      <c r="C130" s="45"/>
      <c r="D130" s="46" t="s">
        <v>35</v>
      </c>
      <c r="E130" s="47"/>
      <c r="F130" s="48"/>
    </row>
    <row r="131">
      <c r="A131" s="43" t="s">
        <v>192</v>
      </c>
      <c r="B131" s="44" t="s">
        <v>35</v>
      </c>
      <c r="C131" s="45"/>
      <c r="D131" s="46" t="s">
        <v>35</v>
      </c>
      <c r="E131" s="47"/>
      <c r="F131" s="48"/>
    </row>
    <row r="132">
      <c r="A132" s="49" t="s">
        <v>193</v>
      </c>
      <c r="B132" s="44" t="s">
        <v>35</v>
      </c>
      <c r="C132" s="45"/>
      <c r="D132" s="46" t="s">
        <v>35</v>
      </c>
      <c r="E132" s="47"/>
      <c r="F132" s="48"/>
    </row>
    <row r="133">
      <c r="A133" s="43" t="s">
        <v>228</v>
      </c>
      <c r="B133" s="44" t="s">
        <v>40</v>
      </c>
      <c r="C133" s="45"/>
      <c r="D133" s="46" t="s">
        <v>35</v>
      </c>
      <c r="E133" s="47"/>
      <c r="F133" s="48"/>
    </row>
    <row r="134">
      <c r="A134" s="49" t="s">
        <v>194</v>
      </c>
      <c r="B134" s="44" t="s">
        <v>17</v>
      </c>
      <c r="C134" s="45"/>
      <c r="D134" s="46" t="s">
        <v>17</v>
      </c>
      <c r="E134" s="47"/>
      <c r="F134" s="48"/>
    </row>
    <row r="135">
      <c r="A135" s="43" t="s">
        <v>223</v>
      </c>
      <c r="B135" s="44" t="s">
        <v>17</v>
      </c>
      <c r="C135" s="45"/>
      <c r="D135" s="46" t="s">
        <v>17</v>
      </c>
      <c r="E135" s="47"/>
      <c r="F135" s="48"/>
    </row>
    <row r="136">
      <c r="A136" s="49" t="s">
        <v>195</v>
      </c>
      <c r="B136" s="44" t="s">
        <v>35</v>
      </c>
      <c r="C136" s="45"/>
      <c r="D136" s="46" t="s">
        <v>35</v>
      </c>
      <c r="E136" s="47"/>
      <c r="F136" s="48"/>
    </row>
    <row r="137">
      <c r="A137" s="43" t="s">
        <v>196</v>
      </c>
      <c r="B137" s="44" t="s">
        <v>35</v>
      </c>
      <c r="C137" s="45"/>
      <c r="D137" s="46" t="s">
        <v>35</v>
      </c>
      <c r="E137" s="47"/>
      <c r="F137" s="48"/>
    </row>
    <row r="138">
      <c r="A138" s="49" t="s">
        <v>197</v>
      </c>
      <c r="B138" s="44" t="s">
        <v>35</v>
      </c>
      <c r="C138" s="45"/>
      <c r="D138" s="46" t="s">
        <v>35</v>
      </c>
      <c r="E138" s="47"/>
      <c r="F138" s="48"/>
    </row>
    <row r="139">
      <c r="A139" s="43" t="s">
        <v>364</v>
      </c>
      <c r="B139" s="44" t="s">
        <v>35</v>
      </c>
      <c r="C139" s="45"/>
      <c r="D139" s="46" t="s">
        <v>35</v>
      </c>
      <c r="E139" s="47"/>
      <c r="F139" s="48"/>
    </row>
    <row r="140">
      <c r="A140" s="49" t="s">
        <v>365</v>
      </c>
      <c r="B140" s="44" t="s">
        <v>35</v>
      </c>
      <c r="C140" s="45"/>
      <c r="D140" s="46" t="s">
        <v>35</v>
      </c>
      <c r="E140" s="47"/>
      <c r="F140" s="48"/>
    </row>
    <row r="141">
      <c r="A141" s="43" t="s">
        <v>366</v>
      </c>
      <c r="B141" s="44" t="s">
        <v>35</v>
      </c>
      <c r="C141" s="45"/>
      <c r="D141" s="46" t="s">
        <v>35</v>
      </c>
      <c r="E141" s="47"/>
      <c r="F141" s="48"/>
    </row>
    <row r="142">
      <c r="A142" s="49" t="s">
        <v>367</v>
      </c>
      <c r="B142" s="44" t="s">
        <v>202</v>
      </c>
      <c r="C142" s="45"/>
      <c r="D142" s="46" t="s">
        <v>202</v>
      </c>
      <c r="E142" s="47"/>
      <c r="F142" s="48"/>
    </row>
    <row r="143">
      <c r="A143" s="43" t="s">
        <v>204</v>
      </c>
      <c r="B143" s="44" t="s">
        <v>202</v>
      </c>
      <c r="C143" s="45"/>
      <c r="D143" s="46" t="s">
        <v>202</v>
      </c>
      <c r="E143" s="47"/>
      <c r="F143" s="48"/>
    </row>
    <row r="144">
      <c r="A144" s="49" t="s">
        <v>205</v>
      </c>
      <c r="B144" s="44" t="s">
        <v>202</v>
      </c>
      <c r="C144" s="45"/>
      <c r="D144" s="46" t="s">
        <v>202</v>
      </c>
      <c r="E144" s="47"/>
      <c r="F144" s="48"/>
    </row>
    <row r="145">
      <c r="A145" s="43" t="s">
        <v>368</v>
      </c>
      <c r="B145" s="44" t="s">
        <v>35</v>
      </c>
      <c r="C145" s="45"/>
      <c r="D145" s="46" t="s">
        <v>35</v>
      </c>
      <c r="E145" s="47"/>
      <c r="F145" s="48"/>
    </row>
    <row r="146">
      <c r="A146" s="49" t="s">
        <v>369</v>
      </c>
      <c r="B146" s="44" t="s">
        <v>202</v>
      </c>
      <c r="C146" s="45"/>
      <c r="D146" s="46" t="s">
        <v>202</v>
      </c>
      <c r="E146" s="47"/>
      <c r="F146" s="48"/>
    </row>
    <row r="147">
      <c r="A147" s="43" t="s">
        <v>370</v>
      </c>
      <c r="B147" s="44" t="s">
        <v>202</v>
      </c>
      <c r="C147" s="45"/>
      <c r="D147" s="46" t="s">
        <v>202</v>
      </c>
      <c r="E147" s="47"/>
      <c r="F147" s="48"/>
    </row>
    <row r="148">
      <c r="A148" s="49" t="s">
        <v>371</v>
      </c>
      <c r="B148" s="44" t="s">
        <v>202</v>
      </c>
      <c r="C148" s="45"/>
      <c r="D148" s="46" t="s">
        <v>202</v>
      </c>
      <c r="E148" s="47"/>
      <c r="F148" s="48"/>
    </row>
    <row r="149">
      <c r="A149" s="43" t="s">
        <v>372</v>
      </c>
      <c r="B149" s="44" t="s">
        <v>202</v>
      </c>
      <c r="C149" s="45"/>
      <c r="D149" s="46" t="s">
        <v>202</v>
      </c>
      <c r="E149" s="47"/>
      <c r="F149" s="48"/>
    </row>
    <row r="150">
      <c r="A150" s="49" t="s">
        <v>239</v>
      </c>
      <c r="B150" s="44" t="s">
        <v>35</v>
      </c>
      <c r="C150" s="45"/>
      <c r="D150" s="46" t="s">
        <v>35</v>
      </c>
      <c r="E150" s="47"/>
      <c r="F150" s="48"/>
    </row>
    <row r="151">
      <c r="A151" s="43" t="s">
        <v>373</v>
      </c>
      <c r="B151" s="44" t="s">
        <v>202</v>
      </c>
      <c r="C151" s="45"/>
      <c r="D151" s="46" t="s">
        <v>202</v>
      </c>
      <c r="E151" s="47"/>
      <c r="F151" s="48"/>
    </row>
    <row r="152">
      <c r="A152" s="49" t="s">
        <v>224</v>
      </c>
      <c r="B152" s="44" t="s">
        <v>202</v>
      </c>
      <c r="C152" s="45"/>
      <c r="D152" s="46" t="s">
        <v>202</v>
      </c>
      <c r="E152" s="47"/>
      <c r="F152" s="48"/>
    </row>
    <row r="153">
      <c r="A153" s="43" t="s">
        <v>374</v>
      </c>
      <c r="B153" s="44" t="s">
        <v>202</v>
      </c>
      <c r="C153" s="45"/>
      <c r="D153" s="46" t="s">
        <v>202</v>
      </c>
      <c r="E153" s="47"/>
      <c r="F153" s="48"/>
    </row>
    <row r="154">
      <c r="A154" s="49" t="s">
        <v>213</v>
      </c>
      <c r="B154" s="44" t="s">
        <v>35</v>
      </c>
      <c r="C154" s="45"/>
      <c r="D154" s="46" t="s">
        <v>35</v>
      </c>
      <c r="E154" s="47"/>
      <c r="F154" s="48"/>
    </row>
    <row r="155">
      <c r="A155" s="43" t="s">
        <v>215</v>
      </c>
      <c r="B155" s="44" t="s">
        <v>35</v>
      </c>
      <c r="C155" s="45"/>
      <c r="D155" s="46" t="s">
        <v>35</v>
      </c>
      <c r="E155" s="47"/>
      <c r="F155" s="48"/>
    </row>
    <row r="156">
      <c r="A156" s="49" t="s">
        <v>214</v>
      </c>
      <c r="B156" s="44" t="s">
        <v>40</v>
      </c>
      <c r="C156" s="45"/>
      <c r="D156" s="46" t="s">
        <v>35</v>
      </c>
      <c r="E156" s="47"/>
      <c r="F156" s="48"/>
    </row>
    <row r="157">
      <c r="A157" s="43" t="s">
        <v>216</v>
      </c>
      <c r="B157" s="44" t="s">
        <v>17</v>
      </c>
      <c r="C157" s="45"/>
      <c r="D157" s="46" t="s">
        <v>35</v>
      </c>
      <c r="E157" s="47"/>
      <c r="F157" s="48"/>
    </row>
    <row r="158">
      <c r="A158" s="49" t="s">
        <v>217</v>
      </c>
      <c r="B158" s="44" t="s">
        <v>35</v>
      </c>
      <c r="C158" s="45"/>
      <c r="D158" s="46" t="s">
        <v>35</v>
      </c>
      <c r="E158" s="47"/>
      <c r="F158" s="48"/>
    </row>
    <row r="159">
      <c r="A159" s="43" t="s">
        <v>218</v>
      </c>
      <c r="B159" s="44" t="s">
        <v>17</v>
      </c>
      <c r="C159" s="45"/>
      <c r="D159" s="46" t="s">
        <v>17</v>
      </c>
      <c r="E159" s="47"/>
      <c r="F159" s="48"/>
    </row>
    <row r="160">
      <c r="A160" s="49" t="s">
        <v>221</v>
      </c>
      <c r="B160" s="44" t="s">
        <v>17</v>
      </c>
      <c r="C160" s="45"/>
      <c r="D160" s="46" t="s">
        <v>17</v>
      </c>
      <c r="E160" s="47"/>
      <c r="F160" s="48"/>
    </row>
    <row r="161">
      <c r="A161" s="43" t="s">
        <v>227</v>
      </c>
      <c r="B161" s="44" t="s">
        <v>35</v>
      </c>
      <c r="C161" s="45"/>
      <c r="D161" s="46" t="s">
        <v>35</v>
      </c>
      <c r="E161" s="47"/>
      <c r="F161" s="48"/>
    </row>
    <row r="162">
      <c r="A162" s="49" t="s">
        <v>375</v>
      </c>
      <c r="B162" s="44" t="s">
        <v>35</v>
      </c>
      <c r="C162" s="45"/>
      <c r="D162" s="46" t="s">
        <v>35</v>
      </c>
      <c r="E162" s="47"/>
      <c r="F162" s="48"/>
    </row>
    <row r="163">
      <c r="A163" s="43" t="s">
        <v>231</v>
      </c>
      <c r="B163" s="44" t="s">
        <v>35</v>
      </c>
      <c r="C163" s="45"/>
      <c r="D163" s="46" t="s">
        <v>35</v>
      </c>
      <c r="E163" s="47"/>
      <c r="F163" s="48"/>
    </row>
    <row r="164">
      <c r="A164" s="49" t="s">
        <v>225</v>
      </c>
      <c r="B164" s="44" t="s">
        <v>35</v>
      </c>
      <c r="C164" s="45"/>
      <c r="D164" s="46" t="s">
        <v>35</v>
      </c>
      <c r="E164" s="47"/>
      <c r="F164" s="48"/>
    </row>
    <row r="165">
      <c r="A165" s="43" t="s">
        <v>233</v>
      </c>
      <c r="B165" s="44" t="s">
        <v>17</v>
      </c>
      <c r="C165" s="45"/>
      <c r="D165" s="46" t="s">
        <v>17</v>
      </c>
      <c r="E165" s="47"/>
      <c r="F165" s="48"/>
    </row>
    <row r="166">
      <c r="A166" s="49" t="s">
        <v>240</v>
      </c>
      <c r="B166" s="44" t="s">
        <v>241</v>
      </c>
      <c r="C166" s="45"/>
      <c r="D166" s="46" t="s">
        <v>17</v>
      </c>
      <c r="E166" s="47"/>
      <c r="F166" s="48"/>
    </row>
    <row r="167">
      <c r="A167" s="43" t="s">
        <v>243</v>
      </c>
      <c r="B167" s="44" t="s">
        <v>241</v>
      </c>
      <c r="C167" s="45"/>
      <c r="D167" s="46" t="s">
        <v>241</v>
      </c>
      <c r="E167" s="47"/>
      <c r="F167" s="48"/>
    </row>
    <row r="168">
      <c r="A168" s="49" t="s">
        <v>376</v>
      </c>
      <c r="B168" s="44" t="s">
        <v>35</v>
      </c>
      <c r="C168" s="45"/>
      <c r="D168" s="46" t="s">
        <v>35</v>
      </c>
      <c r="E168" s="47"/>
      <c r="F168" s="48"/>
    </row>
    <row r="169">
      <c r="A169" s="69" t="s">
        <v>377</v>
      </c>
      <c r="B169" s="70"/>
      <c r="C169" s="70"/>
      <c r="D169" s="70"/>
      <c r="E169" s="70"/>
      <c r="F169" s="70"/>
    </row>
    <row r="170">
      <c r="A170" s="43" t="s">
        <v>253</v>
      </c>
      <c r="B170" s="44" t="s">
        <v>40</v>
      </c>
      <c r="C170" s="45"/>
      <c r="D170" s="46" t="s">
        <v>155</v>
      </c>
      <c r="E170" s="47"/>
      <c r="F170" s="48"/>
    </row>
    <row r="171">
      <c r="A171" s="43" t="s">
        <v>258</v>
      </c>
      <c r="B171" s="44" t="s">
        <v>17</v>
      </c>
      <c r="C171" s="45"/>
      <c r="D171" s="46" t="s">
        <v>17</v>
      </c>
      <c r="E171" s="47"/>
      <c r="F171" s="48"/>
    </row>
    <row r="172">
      <c r="A172" s="49" t="s">
        <v>378</v>
      </c>
      <c r="B172" s="44" t="s">
        <v>40</v>
      </c>
      <c r="C172" s="45"/>
      <c r="D172" s="46" t="s">
        <v>17</v>
      </c>
      <c r="E172" s="47"/>
      <c r="F172" s="48"/>
    </row>
    <row r="173">
      <c r="A173" s="43" t="s">
        <v>379</v>
      </c>
      <c r="B173" s="44" t="s">
        <v>380</v>
      </c>
      <c r="C173" s="45"/>
      <c r="D173" s="46" t="s">
        <v>380</v>
      </c>
      <c r="E173" s="47"/>
      <c r="F173" s="48"/>
    </row>
    <row r="174">
      <c r="A174" s="49" t="s">
        <v>381</v>
      </c>
      <c r="B174" s="44" t="s">
        <v>17</v>
      </c>
      <c r="C174" s="45"/>
      <c r="D174" s="46" t="s">
        <v>17</v>
      </c>
      <c r="E174" s="47"/>
      <c r="F174" s="48"/>
    </row>
    <row r="175">
      <c r="A175" s="43" t="s">
        <v>382</v>
      </c>
      <c r="B175" s="44" t="s">
        <v>380</v>
      </c>
      <c r="C175" s="45"/>
      <c r="D175" s="46" t="s">
        <v>380</v>
      </c>
      <c r="E175" s="47"/>
      <c r="F175" s="48"/>
    </row>
    <row r="176">
      <c r="A176" s="49" t="s">
        <v>383</v>
      </c>
      <c r="B176" s="44" t="s">
        <v>17</v>
      </c>
      <c r="C176" s="45"/>
      <c r="D176" s="46" t="s">
        <v>35</v>
      </c>
      <c r="E176" s="47"/>
      <c r="F176" s="48"/>
    </row>
    <row r="177">
      <c r="A177" s="43" t="s">
        <v>384</v>
      </c>
      <c r="B177" s="44" t="s">
        <v>17</v>
      </c>
      <c r="C177" s="45"/>
      <c r="D177" s="46" t="s">
        <v>17</v>
      </c>
      <c r="E177" s="47"/>
      <c r="F177" s="48"/>
    </row>
    <row r="178">
      <c r="A178" s="49" t="s">
        <v>385</v>
      </c>
      <c r="B178" s="44" t="s">
        <v>40</v>
      </c>
      <c r="C178" s="45"/>
      <c r="D178" s="46" t="s">
        <v>17</v>
      </c>
      <c r="E178" s="47"/>
      <c r="F178" s="48"/>
    </row>
    <row r="179">
      <c r="A179" s="43" t="s">
        <v>386</v>
      </c>
      <c r="B179" s="44" t="s">
        <v>17</v>
      </c>
      <c r="C179" s="45"/>
      <c r="D179" s="46" t="s">
        <v>17</v>
      </c>
      <c r="E179" s="47"/>
      <c r="F179" s="48"/>
    </row>
    <row r="180">
      <c r="A180" s="49" t="s">
        <v>387</v>
      </c>
      <c r="B180" s="44" t="s">
        <v>40</v>
      </c>
      <c r="C180" s="45"/>
      <c r="D180" s="46" t="s">
        <v>17</v>
      </c>
      <c r="E180" s="47"/>
      <c r="F180" s="48"/>
    </row>
    <row r="181">
      <c r="A181" s="43" t="s">
        <v>388</v>
      </c>
      <c r="B181" s="44" t="s">
        <v>40</v>
      </c>
      <c r="C181" s="45"/>
      <c r="D181" s="46" t="s">
        <v>17</v>
      </c>
      <c r="E181" s="47"/>
      <c r="F181" s="48"/>
    </row>
    <row r="182">
      <c r="A182" s="49" t="s">
        <v>389</v>
      </c>
      <c r="B182" s="44" t="s">
        <v>40</v>
      </c>
      <c r="C182" s="45"/>
      <c r="D182" s="46" t="s">
        <v>17</v>
      </c>
      <c r="E182" s="47"/>
      <c r="F182" s="48"/>
    </row>
    <row r="183">
      <c r="A183" s="43" t="s">
        <v>390</v>
      </c>
      <c r="B183" s="44" t="s">
        <v>17</v>
      </c>
      <c r="C183" s="45"/>
      <c r="D183" s="46" t="s">
        <v>17</v>
      </c>
      <c r="E183" s="47"/>
      <c r="F183" s="48"/>
    </row>
    <row r="184">
      <c r="A184" s="49" t="s">
        <v>391</v>
      </c>
      <c r="B184" s="44" t="s">
        <v>392</v>
      </c>
      <c r="C184" s="45"/>
      <c r="D184" s="46" t="s">
        <v>17</v>
      </c>
      <c r="E184" s="47"/>
      <c r="F184" s="48"/>
    </row>
    <row r="185">
      <c r="A185" s="43" t="s">
        <v>393</v>
      </c>
      <c r="B185" s="44" t="s">
        <v>380</v>
      </c>
      <c r="C185" s="45"/>
      <c r="D185" s="46" t="s">
        <v>380</v>
      </c>
      <c r="E185" s="47"/>
      <c r="F185" s="48"/>
    </row>
    <row r="186">
      <c r="A186" s="71"/>
      <c r="B186" s="71"/>
      <c r="C186" s="71"/>
      <c r="D186" s="71"/>
      <c r="E186" s="71"/>
      <c r="F186" s="71"/>
    </row>
    <row r="187">
      <c r="A187" s="72" t="s">
        <v>394</v>
      </c>
      <c r="B187" s="31"/>
      <c r="C187" s="31"/>
      <c r="D187" s="31"/>
      <c r="E187" s="31"/>
      <c r="F187" s="31"/>
    </row>
  </sheetData>
  <mergeCells count="17">
    <mergeCell ref="A1:F1"/>
    <mergeCell ref="A2:B2"/>
    <mergeCell ref="C2:D2"/>
    <mergeCell ref="E2:F2"/>
    <mergeCell ref="B3:C3"/>
    <mergeCell ref="D3:E3"/>
    <mergeCell ref="A5:F5"/>
    <mergeCell ref="A124:F124"/>
    <mergeCell ref="A169:F169"/>
    <mergeCell ref="A187:F187"/>
    <mergeCell ref="A13:F13"/>
    <mergeCell ref="A28:F28"/>
    <mergeCell ref="A39:F39"/>
    <mergeCell ref="A65:F65"/>
    <mergeCell ref="A97:F97"/>
    <mergeCell ref="A101:F101"/>
    <mergeCell ref="A116:F1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38"/>
  </cols>
  <sheetData>
    <row r="1">
      <c r="A1" s="73" t="s">
        <v>395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6" t="s">
        <v>3</v>
      </c>
      <c r="E2" s="3"/>
      <c r="F2" s="7" t="s">
        <v>4</v>
      </c>
    </row>
    <row r="3">
      <c r="A3" s="8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396</v>
      </c>
    </row>
    <row r="4">
      <c r="A4" s="12" t="s">
        <v>397</v>
      </c>
      <c r="B4" s="15" t="s">
        <v>398</v>
      </c>
      <c r="C4" s="12" t="s">
        <v>17</v>
      </c>
      <c r="D4" s="12" t="s">
        <v>399</v>
      </c>
      <c r="E4" s="14">
        <v>3.0</v>
      </c>
      <c r="F4" s="27" t="s">
        <v>400</v>
      </c>
    </row>
    <row r="5">
      <c r="A5" s="12" t="s">
        <v>401</v>
      </c>
      <c r="B5" s="12" t="s">
        <v>402</v>
      </c>
      <c r="C5" s="12" t="s">
        <v>17</v>
      </c>
      <c r="D5" s="12" t="s">
        <v>399</v>
      </c>
      <c r="E5" s="14">
        <v>2.0</v>
      </c>
      <c r="F5" s="27" t="s">
        <v>403</v>
      </c>
    </row>
    <row r="6">
      <c r="A6" s="12" t="s">
        <v>404</v>
      </c>
      <c r="B6" s="12" t="s">
        <v>402</v>
      </c>
      <c r="C6" s="12" t="s">
        <v>17</v>
      </c>
      <c r="D6" s="12" t="s">
        <v>399</v>
      </c>
      <c r="E6" s="14">
        <v>5.0</v>
      </c>
      <c r="F6" s="27" t="s">
        <v>405</v>
      </c>
    </row>
    <row r="7">
      <c r="A7" s="12" t="s">
        <v>406</v>
      </c>
      <c r="B7" s="12" t="s">
        <v>402</v>
      </c>
      <c r="C7" s="12" t="s">
        <v>402</v>
      </c>
      <c r="D7" s="12" t="s">
        <v>407</v>
      </c>
      <c r="E7" s="14">
        <v>1.0</v>
      </c>
      <c r="F7" s="27" t="s">
        <v>408</v>
      </c>
    </row>
    <row r="8">
      <c r="A8" s="12" t="s">
        <v>409</v>
      </c>
      <c r="B8" s="12" t="s">
        <v>402</v>
      </c>
      <c r="C8" s="12" t="s">
        <v>17</v>
      </c>
      <c r="D8" s="12" t="s">
        <v>399</v>
      </c>
      <c r="E8" s="14">
        <v>1.0</v>
      </c>
      <c r="F8" s="27" t="s">
        <v>410</v>
      </c>
    </row>
    <row r="9">
      <c r="A9" s="12" t="s">
        <v>411</v>
      </c>
      <c r="B9" s="12" t="s">
        <v>402</v>
      </c>
      <c r="C9" s="12" t="s">
        <v>17</v>
      </c>
      <c r="D9" s="12" t="s">
        <v>399</v>
      </c>
      <c r="E9" s="14">
        <v>8.0</v>
      </c>
      <c r="F9" s="27" t="s">
        <v>412</v>
      </c>
    </row>
    <row r="10">
      <c r="A10" s="12" t="s">
        <v>413</v>
      </c>
      <c r="B10" s="12" t="s">
        <v>402</v>
      </c>
      <c r="C10" s="12" t="s">
        <v>402</v>
      </c>
      <c r="D10" s="12" t="s">
        <v>407</v>
      </c>
      <c r="E10" s="14">
        <v>1.0</v>
      </c>
      <c r="F10" s="27" t="s">
        <v>408</v>
      </c>
    </row>
    <row r="11">
      <c r="A11" s="13" t="s">
        <v>414</v>
      </c>
      <c r="B11" s="13" t="s">
        <v>402</v>
      </c>
      <c r="C11" s="13" t="s">
        <v>402</v>
      </c>
      <c r="D11" s="13" t="s">
        <v>407</v>
      </c>
      <c r="E11" s="74">
        <v>1.0</v>
      </c>
      <c r="F11" s="27" t="s">
        <v>415</v>
      </c>
    </row>
    <row r="12">
      <c r="A12" s="12" t="s">
        <v>416</v>
      </c>
      <c r="B12" s="12" t="s">
        <v>402</v>
      </c>
      <c r="C12" s="12" t="s">
        <v>17</v>
      </c>
      <c r="D12" s="12" t="s">
        <v>399</v>
      </c>
      <c r="E12" s="14">
        <v>9.0</v>
      </c>
      <c r="F12" s="27" t="s">
        <v>417</v>
      </c>
    </row>
    <row r="13">
      <c r="A13" s="12" t="s">
        <v>418</v>
      </c>
      <c r="B13" s="12" t="s">
        <v>402</v>
      </c>
      <c r="C13" s="12" t="s">
        <v>402</v>
      </c>
      <c r="D13" s="12" t="s">
        <v>407</v>
      </c>
      <c r="E13" s="14">
        <v>1.0</v>
      </c>
      <c r="F13" s="27" t="s">
        <v>419</v>
      </c>
    </row>
    <row r="14">
      <c r="A14" s="12" t="s">
        <v>420</v>
      </c>
      <c r="B14" s="12" t="s">
        <v>402</v>
      </c>
      <c r="C14" s="12" t="s">
        <v>17</v>
      </c>
      <c r="D14" s="12" t="s">
        <v>399</v>
      </c>
      <c r="E14" s="14">
        <v>4.0</v>
      </c>
      <c r="F14" s="27" t="s">
        <v>421</v>
      </c>
    </row>
    <row r="15">
      <c r="A15" s="12" t="s">
        <v>422</v>
      </c>
      <c r="B15" s="12" t="s">
        <v>402</v>
      </c>
      <c r="C15" s="12" t="s">
        <v>17</v>
      </c>
      <c r="D15" s="12" t="s">
        <v>399</v>
      </c>
      <c r="E15" s="14">
        <v>4.0</v>
      </c>
      <c r="F15" s="27" t="s">
        <v>421</v>
      </c>
    </row>
    <row r="16">
      <c r="A16" s="12" t="s">
        <v>423</v>
      </c>
      <c r="B16" s="12" t="s">
        <v>402</v>
      </c>
      <c r="C16" s="12" t="s">
        <v>17</v>
      </c>
      <c r="D16" s="12" t="s">
        <v>399</v>
      </c>
      <c r="E16" s="14">
        <v>2.0</v>
      </c>
      <c r="F16" s="27" t="s">
        <v>424</v>
      </c>
    </row>
    <row r="17">
      <c r="A17" s="12" t="s">
        <v>425</v>
      </c>
      <c r="B17" s="12" t="s">
        <v>402</v>
      </c>
      <c r="C17" s="12" t="s">
        <v>17</v>
      </c>
      <c r="D17" s="12" t="s">
        <v>399</v>
      </c>
      <c r="E17" s="14">
        <v>2.0</v>
      </c>
      <c r="F17" s="27" t="s">
        <v>424</v>
      </c>
    </row>
    <row r="18">
      <c r="A18" s="12" t="s">
        <v>426</v>
      </c>
      <c r="B18" s="12" t="s">
        <v>402</v>
      </c>
      <c r="C18" s="12" t="s">
        <v>402</v>
      </c>
      <c r="D18" s="12" t="s">
        <v>407</v>
      </c>
      <c r="E18" s="14">
        <v>1.0</v>
      </c>
      <c r="F18" s="27" t="s">
        <v>427</v>
      </c>
    </row>
    <row r="19">
      <c r="A19" s="12" t="s">
        <v>428</v>
      </c>
      <c r="B19" s="12" t="s">
        <v>402</v>
      </c>
      <c r="C19" s="12" t="s">
        <v>402</v>
      </c>
      <c r="D19" s="12" t="s">
        <v>407</v>
      </c>
      <c r="E19" s="14">
        <v>1.0</v>
      </c>
      <c r="F19" s="27" t="s">
        <v>427</v>
      </c>
    </row>
    <row r="20">
      <c r="A20" s="12" t="s">
        <v>429</v>
      </c>
      <c r="B20" s="12" t="s">
        <v>402</v>
      </c>
      <c r="C20" s="12" t="s">
        <v>17</v>
      </c>
      <c r="D20" s="12" t="s">
        <v>399</v>
      </c>
      <c r="E20" s="14">
        <v>4.0</v>
      </c>
      <c r="F20" s="27" t="s">
        <v>430</v>
      </c>
    </row>
    <row r="21">
      <c r="A21" s="12" t="s">
        <v>431</v>
      </c>
      <c r="B21" s="12" t="s">
        <v>402</v>
      </c>
      <c r="C21" s="12" t="s">
        <v>17</v>
      </c>
      <c r="D21" s="12" t="s">
        <v>399</v>
      </c>
      <c r="E21" s="14">
        <v>3.0</v>
      </c>
      <c r="F21" s="27" t="s">
        <v>417</v>
      </c>
    </row>
    <row r="22">
      <c r="A22" s="26" t="s">
        <v>432</v>
      </c>
      <c r="B22" s="12" t="s">
        <v>402</v>
      </c>
      <c r="C22" s="12" t="s">
        <v>17</v>
      </c>
      <c r="D22" s="12" t="s">
        <v>399</v>
      </c>
      <c r="E22" s="14">
        <v>2.0</v>
      </c>
      <c r="F22" s="27" t="s">
        <v>417</v>
      </c>
    </row>
    <row r="23">
      <c r="A23" s="12" t="s">
        <v>433</v>
      </c>
      <c r="B23" s="12" t="s">
        <v>402</v>
      </c>
      <c r="C23" s="12" t="s">
        <v>402</v>
      </c>
      <c r="D23" s="12" t="s">
        <v>407</v>
      </c>
      <c r="E23" s="14">
        <v>1.0</v>
      </c>
      <c r="F23" s="27" t="s">
        <v>434</v>
      </c>
    </row>
    <row r="24">
      <c r="A24" s="12" t="s">
        <v>435</v>
      </c>
      <c r="B24" s="12" t="s">
        <v>402</v>
      </c>
      <c r="C24" s="12" t="s">
        <v>402</v>
      </c>
      <c r="D24" s="12" t="s">
        <v>436</v>
      </c>
      <c r="E24" s="14">
        <v>1.0</v>
      </c>
      <c r="F24" s="27" t="s">
        <v>437</v>
      </c>
    </row>
    <row r="25">
      <c r="A25" s="12" t="s">
        <v>438</v>
      </c>
      <c r="B25" s="12" t="s">
        <v>402</v>
      </c>
      <c r="C25" s="12" t="s">
        <v>402</v>
      </c>
      <c r="D25" s="12" t="s">
        <v>436</v>
      </c>
      <c r="E25" s="14">
        <v>1.0</v>
      </c>
      <c r="F25" s="27" t="s">
        <v>417</v>
      </c>
    </row>
    <row r="26">
      <c r="A26" s="12" t="s">
        <v>439</v>
      </c>
      <c r="B26" s="12" t="s">
        <v>402</v>
      </c>
      <c r="C26" s="12" t="s">
        <v>402</v>
      </c>
      <c r="D26" s="12" t="s">
        <v>407</v>
      </c>
      <c r="E26" s="14">
        <v>1.0</v>
      </c>
      <c r="F26" s="27" t="s">
        <v>419</v>
      </c>
    </row>
    <row r="27">
      <c r="A27" s="12" t="s">
        <v>440</v>
      </c>
      <c r="B27" s="12" t="s">
        <v>402</v>
      </c>
      <c r="C27" s="12" t="s">
        <v>402</v>
      </c>
      <c r="D27" s="12" t="s">
        <v>407</v>
      </c>
      <c r="E27" s="14">
        <v>1.0</v>
      </c>
      <c r="F27" s="27" t="s">
        <v>408</v>
      </c>
    </row>
    <row r="28">
      <c r="A28" s="12" t="s">
        <v>441</v>
      </c>
      <c r="B28" s="12" t="s">
        <v>402</v>
      </c>
      <c r="C28" s="12" t="s">
        <v>17</v>
      </c>
      <c r="D28" s="12" t="s">
        <v>399</v>
      </c>
      <c r="E28" s="14">
        <v>2.0</v>
      </c>
      <c r="F28" s="11"/>
    </row>
    <row r="29">
      <c r="A29" s="12" t="s">
        <v>442</v>
      </c>
      <c r="B29" s="12" t="s">
        <v>402</v>
      </c>
      <c r="C29" s="12" t="s">
        <v>402</v>
      </c>
      <c r="D29" s="12" t="s">
        <v>436</v>
      </c>
      <c r="E29" s="14">
        <v>1.0</v>
      </c>
      <c r="F29" s="27" t="s">
        <v>443</v>
      </c>
    </row>
    <row r="30">
      <c r="A30" s="12" t="s">
        <v>444</v>
      </c>
      <c r="B30" s="12" t="s">
        <v>402</v>
      </c>
      <c r="C30" s="12" t="s">
        <v>402</v>
      </c>
      <c r="D30" s="12" t="s">
        <v>436</v>
      </c>
      <c r="E30" s="14">
        <v>1.0</v>
      </c>
      <c r="F30" s="27" t="s">
        <v>443</v>
      </c>
    </row>
    <row r="31">
      <c r="A31" s="12" t="s">
        <v>445</v>
      </c>
      <c r="B31" s="12" t="s">
        <v>402</v>
      </c>
      <c r="C31" s="12" t="s">
        <v>17</v>
      </c>
      <c r="D31" s="12" t="s">
        <v>399</v>
      </c>
      <c r="E31" s="14">
        <v>4.0</v>
      </c>
      <c r="F31" s="27" t="s">
        <v>421</v>
      </c>
    </row>
    <row r="32">
      <c r="A32" s="12" t="s">
        <v>446</v>
      </c>
      <c r="B32" s="12" t="s">
        <v>402</v>
      </c>
      <c r="C32" s="12" t="s">
        <v>402</v>
      </c>
      <c r="D32" s="12" t="s">
        <v>436</v>
      </c>
      <c r="E32" s="14">
        <v>1.0</v>
      </c>
      <c r="F32" s="27" t="s">
        <v>410</v>
      </c>
    </row>
    <row r="33">
      <c r="A33" s="12" t="s">
        <v>447</v>
      </c>
      <c r="B33" s="12" t="s">
        <v>402</v>
      </c>
      <c r="C33" s="12" t="s">
        <v>402</v>
      </c>
      <c r="D33" s="12" t="s">
        <v>407</v>
      </c>
      <c r="E33" s="14">
        <v>1.0</v>
      </c>
      <c r="F33" s="27" t="s">
        <v>448</v>
      </c>
    </row>
    <row r="34">
      <c r="A34" s="12" t="s">
        <v>449</v>
      </c>
      <c r="B34" s="12" t="s">
        <v>402</v>
      </c>
      <c r="C34" s="12" t="s">
        <v>402</v>
      </c>
      <c r="D34" s="12" t="s">
        <v>407</v>
      </c>
      <c r="E34" s="14">
        <v>1.0</v>
      </c>
      <c r="F34" s="27" t="s">
        <v>450</v>
      </c>
    </row>
    <row r="35">
      <c r="A35" s="26" t="s">
        <v>451</v>
      </c>
      <c r="B35" s="12" t="s">
        <v>402</v>
      </c>
      <c r="C35" s="12" t="s">
        <v>17</v>
      </c>
      <c r="D35" s="12" t="s">
        <v>399</v>
      </c>
      <c r="E35" s="14">
        <v>2.0</v>
      </c>
      <c r="F35" s="27" t="s">
        <v>417</v>
      </c>
    </row>
    <row r="36">
      <c r="A36" s="12" t="s">
        <v>452</v>
      </c>
      <c r="B36" s="12" t="s">
        <v>402</v>
      </c>
      <c r="C36" s="12" t="s">
        <v>17</v>
      </c>
      <c r="D36" s="12" t="s">
        <v>399</v>
      </c>
      <c r="E36" s="14">
        <v>4.0</v>
      </c>
      <c r="F36" s="27" t="s">
        <v>453</v>
      </c>
    </row>
    <row r="37">
      <c r="A37" s="13" t="s">
        <v>454</v>
      </c>
      <c r="B37" s="13" t="s">
        <v>402</v>
      </c>
      <c r="C37" s="13" t="s">
        <v>17</v>
      </c>
      <c r="D37" s="13" t="s">
        <v>399</v>
      </c>
      <c r="E37" s="74">
        <v>4.0</v>
      </c>
      <c r="F37" s="23" t="s">
        <v>453</v>
      </c>
    </row>
    <row r="38">
      <c r="A38" s="23" t="s">
        <v>455</v>
      </c>
      <c r="B38" s="13" t="s">
        <v>402</v>
      </c>
      <c r="C38" s="13" t="s">
        <v>17</v>
      </c>
      <c r="D38" s="13" t="s">
        <v>399</v>
      </c>
      <c r="E38" s="23">
        <v>4.0</v>
      </c>
      <c r="F38" s="23" t="s">
        <v>453</v>
      </c>
    </row>
    <row r="39">
      <c r="A39" s="23" t="s">
        <v>456</v>
      </c>
      <c r="B39" s="13" t="s">
        <v>402</v>
      </c>
      <c r="C39" s="13" t="s">
        <v>17</v>
      </c>
      <c r="D39" s="13" t="s">
        <v>399</v>
      </c>
      <c r="E39" s="23">
        <v>1.0</v>
      </c>
      <c r="F39" s="23" t="s">
        <v>419</v>
      </c>
    </row>
    <row r="40">
      <c r="A40" s="23" t="s">
        <v>457</v>
      </c>
      <c r="B40" s="23" t="s">
        <v>402</v>
      </c>
      <c r="C40" s="23" t="s">
        <v>17</v>
      </c>
      <c r="D40" s="13" t="s">
        <v>399</v>
      </c>
      <c r="E40" s="23">
        <v>1.0</v>
      </c>
      <c r="F40" s="23" t="s">
        <v>443</v>
      </c>
    </row>
    <row r="41">
      <c r="A41" s="23" t="s">
        <v>458</v>
      </c>
      <c r="B41" s="23" t="s">
        <v>402</v>
      </c>
      <c r="C41" s="23" t="s">
        <v>17</v>
      </c>
      <c r="D41" s="23" t="s">
        <v>399</v>
      </c>
      <c r="E41" s="23">
        <v>1.0</v>
      </c>
      <c r="F41" s="23" t="s">
        <v>443</v>
      </c>
    </row>
    <row r="42">
      <c r="A42" s="4"/>
      <c r="B42" s="11"/>
      <c r="C42" s="11"/>
      <c r="D42" s="11"/>
      <c r="E42" s="11"/>
      <c r="F42" s="11"/>
    </row>
    <row r="43">
      <c r="A43" s="11"/>
      <c r="B43" s="11"/>
      <c r="C43" s="11"/>
      <c r="D43" s="11"/>
      <c r="E43" s="11"/>
      <c r="F43" s="11"/>
    </row>
    <row r="44">
      <c r="A44" s="28"/>
      <c r="B44" s="28"/>
      <c r="C44" s="28"/>
      <c r="D44" s="28"/>
      <c r="E44" s="28"/>
      <c r="F44" s="28"/>
    </row>
    <row r="45">
      <c r="A45" s="28"/>
      <c r="B45" s="28"/>
      <c r="C45" s="28"/>
      <c r="D45" s="28"/>
      <c r="E45" s="28"/>
      <c r="F45" s="28"/>
    </row>
    <row r="46">
      <c r="A46" s="28"/>
      <c r="B46" s="28"/>
      <c r="C46" s="28"/>
      <c r="D46" s="28"/>
      <c r="E46" s="28"/>
      <c r="F46" s="28"/>
    </row>
    <row r="47">
      <c r="A47" s="28"/>
      <c r="B47" s="28"/>
      <c r="C47" s="28"/>
      <c r="D47" s="28"/>
      <c r="E47" s="28"/>
      <c r="F47" s="28"/>
    </row>
    <row r="48">
      <c r="A48" s="28"/>
      <c r="B48" s="28"/>
      <c r="C48" s="28"/>
      <c r="D48" s="28"/>
      <c r="E48" s="28"/>
      <c r="F48" s="28"/>
    </row>
    <row r="49">
      <c r="A49" s="28"/>
      <c r="B49" s="28"/>
      <c r="C49" s="28"/>
      <c r="D49" s="28"/>
      <c r="E49" s="28"/>
      <c r="F49" s="28"/>
    </row>
    <row r="50">
      <c r="A50" s="28"/>
      <c r="B50" s="28"/>
      <c r="C50" s="28"/>
      <c r="D50" s="28"/>
      <c r="E50" s="28"/>
      <c r="F50" s="28"/>
    </row>
    <row r="51">
      <c r="A51" s="28"/>
      <c r="B51" s="28"/>
      <c r="C51" s="28"/>
      <c r="D51" s="28"/>
      <c r="E51" s="28"/>
      <c r="F51" s="28"/>
    </row>
    <row r="52">
      <c r="A52" s="28"/>
      <c r="B52" s="28"/>
      <c r="C52" s="28"/>
      <c r="D52" s="28"/>
      <c r="E52" s="28"/>
      <c r="F52" s="28"/>
    </row>
    <row r="53">
      <c r="A53" s="28"/>
      <c r="B53" s="28"/>
      <c r="C53" s="28"/>
      <c r="D53" s="28"/>
      <c r="E53" s="28"/>
      <c r="F53" s="28"/>
    </row>
    <row r="54">
      <c r="A54" s="28"/>
      <c r="B54" s="28"/>
      <c r="C54" s="28"/>
      <c r="D54" s="28"/>
      <c r="E54" s="28"/>
      <c r="F54" s="28"/>
    </row>
    <row r="55">
      <c r="A55" s="28"/>
      <c r="B55" s="28"/>
      <c r="C55" s="28"/>
      <c r="D55" s="28"/>
      <c r="E55" s="28"/>
      <c r="F55" s="28"/>
    </row>
    <row r="56">
      <c r="A56" s="28"/>
      <c r="B56" s="28"/>
      <c r="C56" s="28"/>
      <c r="D56" s="28"/>
      <c r="E56" s="28"/>
      <c r="F56" s="28"/>
    </row>
    <row r="57">
      <c r="A57" s="28"/>
      <c r="B57" s="28"/>
      <c r="C57" s="28"/>
      <c r="D57" s="28"/>
      <c r="E57" s="28"/>
      <c r="F57" s="28"/>
    </row>
    <row r="58">
      <c r="A58" s="28"/>
      <c r="B58" s="28"/>
      <c r="C58" s="28"/>
      <c r="D58" s="28"/>
      <c r="E58" s="28"/>
      <c r="F58" s="28"/>
    </row>
    <row r="59">
      <c r="A59" s="28"/>
      <c r="B59" s="28"/>
      <c r="C59" s="28"/>
      <c r="D59" s="28"/>
      <c r="E59" s="28"/>
      <c r="F59" s="28"/>
    </row>
    <row r="60">
      <c r="A60" s="28"/>
      <c r="B60" s="28"/>
      <c r="C60" s="28"/>
      <c r="D60" s="28"/>
      <c r="E60" s="28"/>
      <c r="F60" s="28"/>
    </row>
    <row r="61">
      <c r="A61" s="28"/>
      <c r="B61" s="28"/>
      <c r="C61" s="28"/>
      <c r="D61" s="28"/>
      <c r="E61" s="28"/>
      <c r="F61" s="28"/>
    </row>
    <row r="62">
      <c r="A62" s="28"/>
      <c r="B62" s="28"/>
      <c r="C62" s="28"/>
      <c r="D62" s="28"/>
      <c r="E62" s="28"/>
      <c r="F62" s="28"/>
    </row>
    <row r="63">
      <c r="A63" s="28"/>
      <c r="B63" s="28"/>
      <c r="C63" s="28"/>
      <c r="D63" s="28"/>
      <c r="E63" s="28"/>
      <c r="F63" s="28"/>
    </row>
    <row r="64">
      <c r="A64" s="28"/>
      <c r="B64" s="28"/>
      <c r="C64" s="28"/>
      <c r="D64" s="28"/>
      <c r="E64" s="28"/>
      <c r="F64" s="28"/>
    </row>
    <row r="65">
      <c r="A65" s="28"/>
      <c r="B65" s="28"/>
      <c r="C65" s="28"/>
      <c r="D65" s="28"/>
      <c r="E65" s="28"/>
      <c r="F65" s="28"/>
    </row>
    <row r="66">
      <c r="A66" s="28"/>
      <c r="B66" s="28"/>
      <c r="C66" s="28"/>
      <c r="D66" s="28"/>
      <c r="E66" s="28"/>
      <c r="F66" s="28"/>
    </row>
    <row r="67">
      <c r="A67" s="28"/>
      <c r="B67" s="28"/>
      <c r="C67" s="28"/>
      <c r="D67" s="28"/>
      <c r="E67" s="28"/>
      <c r="F67" s="28"/>
    </row>
    <row r="68">
      <c r="A68" s="28"/>
      <c r="B68" s="28"/>
      <c r="C68" s="28"/>
      <c r="D68" s="28"/>
      <c r="E68" s="28"/>
      <c r="F68" s="28"/>
    </row>
    <row r="69">
      <c r="A69" s="28"/>
      <c r="B69" s="28"/>
      <c r="C69" s="28"/>
      <c r="D69" s="28"/>
      <c r="E69" s="28"/>
      <c r="F69" s="28"/>
    </row>
    <row r="70">
      <c r="A70" s="28"/>
      <c r="B70" s="28"/>
      <c r="C70" s="28"/>
      <c r="D70" s="28"/>
      <c r="E70" s="28"/>
      <c r="F70" s="28"/>
    </row>
    <row r="71">
      <c r="A71" s="28"/>
      <c r="B71" s="28"/>
      <c r="C71" s="28"/>
      <c r="D71" s="28"/>
      <c r="E71" s="28"/>
      <c r="F71" s="28"/>
    </row>
    <row r="72">
      <c r="A72" s="28"/>
      <c r="B72" s="28"/>
      <c r="C72" s="28"/>
      <c r="D72" s="28"/>
      <c r="E72" s="28"/>
      <c r="F72" s="28"/>
    </row>
    <row r="73">
      <c r="A73" s="28"/>
      <c r="B73" s="28"/>
      <c r="C73" s="28"/>
      <c r="D73" s="28"/>
      <c r="E73" s="28"/>
      <c r="F73" s="28"/>
    </row>
    <row r="74">
      <c r="A74" s="28"/>
      <c r="B74" s="28"/>
      <c r="C74" s="28"/>
      <c r="D74" s="28"/>
      <c r="E74" s="28"/>
      <c r="F74" s="28"/>
    </row>
    <row r="75">
      <c r="A75" s="28"/>
      <c r="B75" s="28"/>
      <c r="C75" s="28"/>
      <c r="D75" s="28"/>
      <c r="E75" s="28"/>
      <c r="F75" s="28"/>
    </row>
    <row r="76">
      <c r="A76" s="28"/>
      <c r="B76" s="28"/>
      <c r="C76" s="28"/>
      <c r="D76" s="28"/>
      <c r="E76" s="28"/>
      <c r="F76" s="28"/>
    </row>
    <row r="77">
      <c r="A77" s="28"/>
      <c r="B77" s="28"/>
      <c r="C77" s="28"/>
      <c r="D77" s="28"/>
      <c r="E77" s="28"/>
      <c r="F77" s="28"/>
    </row>
    <row r="78">
      <c r="A78" s="28"/>
      <c r="B78" s="28"/>
      <c r="C78" s="28"/>
      <c r="D78" s="28"/>
      <c r="E78" s="28"/>
      <c r="F78" s="28"/>
    </row>
    <row r="79">
      <c r="A79" s="28"/>
      <c r="B79" s="28"/>
      <c r="C79" s="28"/>
      <c r="D79" s="28"/>
      <c r="E79" s="28"/>
      <c r="F79" s="28"/>
    </row>
    <row r="80">
      <c r="A80" s="28"/>
      <c r="B80" s="28"/>
      <c r="C80" s="28"/>
      <c r="D80" s="28"/>
      <c r="E80" s="28"/>
      <c r="F80" s="28"/>
    </row>
    <row r="81">
      <c r="A81" s="28"/>
      <c r="B81" s="28"/>
      <c r="C81" s="28"/>
      <c r="D81" s="28"/>
      <c r="E81" s="28"/>
      <c r="F81" s="28"/>
    </row>
    <row r="82">
      <c r="A82" s="28"/>
      <c r="B82" s="28"/>
      <c r="C82" s="28"/>
      <c r="D82" s="28"/>
      <c r="E82" s="28"/>
      <c r="F82" s="28"/>
    </row>
    <row r="83">
      <c r="A83" s="28"/>
      <c r="B83" s="28"/>
      <c r="C83" s="28"/>
      <c r="D83" s="28"/>
      <c r="E83" s="28"/>
      <c r="F83" s="28"/>
    </row>
    <row r="84">
      <c r="A84" s="28"/>
      <c r="B84" s="28"/>
      <c r="C84" s="28"/>
      <c r="D84" s="28"/>
      <c r="E84" s="28"/>
      <c r="F84" s="28"/>
    </row>
    <row r="85">
      <c r="A85" s="28"/>
      <c r="B85" s="28"/>
      <c r="C85" s="28"/>
      <c r="D85" s="28"/>
      <c r="E85" s="28"/>
      <c r="F85" s="28"/>
    </row>
    <row r="86">
      <c r="A86" s="28"/>
      <c r="B86" s="28"/>
      <c r="C86" s="28"/>
      <c r="D86" s="28"/>
      <c r="E86" s="28"/>
      <c r="F86" s="28"/>
    </row>
    <row r="87">
      <c r="A87" s="28"/>
      <c r="B87" s="28"/>
      <c r="C87" s="28"/>
      <c r="D87" s="28"/>
      <c r="E87" s="28"/>
      <c r="F87" s="28"/>
    </row>
    <row r="88">
      <c r="A88" s="28"/>
      <c r="B88" s="28"/>
      <c r="C88" s="28"/>
      <c r="D88" s="28"/>
      <c r="E88" s="28"/>
      <c r="F88" s="28"/>
    </row>
    <row r="89">
      <c r="A89" s="28"/>
      <c r="B89" s="28"/>
      <c r="C89" s="28"/>
      <c r="D89" s="28"/>
      <c r="E89" s="28"/>
      <c r="F89" s="28"/>
    </row>
    <row r="90">
      <c r="A90" s="28"/>
      <c r="B90" s="28"/>
      <c r="C90" s="28"/>
      <c r="D90" s="28"/>
      <c r="E90" s="28"/>
      <c r="F90" s="28"/>
    </row>
    <row r="91">
      <c r="A91" s="28"/>
      <c r="B91" s="28"/>
      <c r="C91" s="28"/>
      <c r="D91" s="28"/>
      <c r="E91" s="28"/>
      <c r="F91" s="28"/>
    </row>
    <row r="92">
      <c r="A92" s="28"/>
      <c r="B92" s="28"/>
      <c r="C92" s="28"/>
      <c r="D92" s="28"/>
      <c r="E92" s="28"/>
      <c r="F92" s="28"/>
    </row>
    <row r="93">
      <c r="A93" s="28"/>
      <c r="B93" s="28"/>
      <c r="C93" s="28"/>
      <c r="D93" s="28"/>
      <c r="E93" s="28"/>
      <c r="F93" s="28"/>
    </row>
    <row r="94">
      <c r="A94" s="28"/>
      <c r="B94" s="28"/>
      <c r="C94" s="28"/>
      <c r="D94" s="28"/>
      <c r="E94" s="28"/>
      <c r="F94" s="28"/>
    </row>
    <row r="95">
      <c r="A95" s="28"/>
      <c r="B95" s="28"/>
      <c r="C95" s="28"/>
      <c r="D95" s="28"/>
      <c r="E95" s="28"/>
      <c r="F95" s="28"/>
    </row>
    <row r="96">
      <c r="A96" s="28"/>
      <c r="B96" s="28"/>
      <c r="C96" s="28"/>
      <c r="D96" s="28"/>
      <c r="E96" s="28"/>
      <c r="F96" s="28"/>
    </row>
    <row r="97">
      <c r="A97" s="28"/>
      <c r="B97" s="28"/>
      <c r="C97" s="28"/>
      <c r="D97" s="28"/>
      <c r="E97" s="28"/>
      <c r="F97" s="28"/>
    </row>
    <row r="98">
      <c r="A98" s="28"/>
      <c r="B98" s="28"/>
      <c r="C98" s="28"/>
      <c r="D98" s="28"/>
      <c r="E98" s="28"/>
      <c r="F98" s="28"/>
    </row>
    <row r="99">
      <c r="A99" s="28"/>
      <c r="B99" s="28"/>
      <c r="C99" s="28"/>
      <c r="D99" s="28"/>
      <c r="E99" s="28"/>
      <c r="F99" s="28"/>
    </row>
    <row r="100">
      <c r="A100" s="28"/>
      <c r="B100" s="28"/>
      <c r="C100" s="28"/>
      <c r="D100" s="28"/>
      <c r="E100" s="28"/>
      <c r="F100" s="28"/>
    </row>
    <row r="101">
      <c r="A101" s="28"/>
      <c r="B101" s="28"/>
      <c r="C101" s="28"/>
      <c r="D101" s="28"/>
      <c r="E101" s="28"/>
      <c r="F101" s="28"/>
    </row>
    <row r="102">
      <c r="A102" s="28"/>
      <c r="B102" s="28"/>
      <c r="C102" s="28"/>
      <c r="D102" s="28"/>
      <c r="E102" s="28"/>
      <c r="F102" s="28"/>
    </row>
    <row r="103">
      <c r="A103" s="28"/>
      <c r="B103" s="28"/>
      <c r="C103" s="28"/>
      <c r="D103" s="28"/>
      <c r="E103" s="28"/>
      <c r="F103" s="28"/>
    </row>
    <row r="104">
      <c r="A104" s="28"/>
      <c r="B104" s="28"/>
      <c r="C104" s="28"/>
      <c r="D104" s="28"/>
      <c r="E104" s="28"/>
      <c r="F104" s="28"/>
    </row>
    <row r="105">
      <c r="A105" s="28"/>
      <c r="B105" s="28"/>
      <c r="C105" s="28"/>
      <c r="D105" s="28"/>
      <c r="E105" s="28"/>
      <c r="F105" s="28"/>
    </row>
    <row r="106">
      <c r="A106" s="28"/>
      <c r="B106" s="28"/>
      <c r="C106" s="28"/>
      <c r="D106" s="28"/>
      <c r="E106" s="28"/>
      <c r="F106" s="28"/>
    </row>
    <row r="107">
      <c r="A107" s="28"/>
      <c r="B107" s="28"/>
      <c r="C107" s="28"/>
      <c r="D107" s="28"/>
      <c r="E107" s="28"/>
      <c r="F107" s="28"/>
    </row>
    <row r="108">
      <c r="A108" s="28"/>
      <c r="B108" s="28"/>
      <c r="C108" s="28"/>
      <c r="D108" s="28"/>
      <c r="E108" s="28"/>
      <c r="F108" s="28"/>
    </row>
    <row r="109">
      <c r="A109" s="28"/>
      <c r="B109" s="28"/>
      <c r="C109" s="28"/>
      <c r="D109" s="28"/>
      <c r="E109" s="28"/>
      <c r="F109" s="28"/>
    </row>
    <row r="110">
      <c r="A110" s="28"/>
      <c r="B110" s="28"/>
      <c r="C110" s="28"/>
      <c r="D110" s="28"/>
      <c r="E110" s="28"/>
      <c r="F110" s="28"/>
    </row>
    <row r="111">
      <c r="A111" s="28"/>
      <c r="B111" s="28"/>
      <c r="C111" s="28"/>
      <c r="D111" s="28"/>
      <c r="E111" s="28"/>
      <c r="F111" s="28"/>
    </row>
    <row r="112">
      <c r="A112" s="28"/>
      <c r="B112" s="28"/>
      <c r="C112" s="28"/>
      <c r="D112" s="28"/>
      <c r="E112" s="28"/>
      <c r="F112" s="28"/>
    </row>
    <row r="113">
      <c r="A113" s="28"/>
      <c r="B113" s="28"/>
      <c r="C113" s="28"/>
      <c r="D113" s="28"/>
      <c r="E113" s="28"/>
      <c r="F113" s="28"/>
    </row>
    <row r="114">
      <c r="A114" s="28"/>
      <c r="B114" s="28"/>
      <c r="C114" s="28"/>
      <c r="D114" s="28"/>
      <c r="E114" s="28"/>
      <c r="F114" s="28"/>
    </row>
    <row r="115">
      <c r="A115" s="28"/>
      <c r="B115" s="28"/>
      <c r="C115" s="28"/>
      <c r="D115" s="28"/>
      <c r="E115" s="28"/>
      <c r="F115" s="28"/>
    </row>
    <row r="116">
      <c r="A116" s="28"/>
      <c r="B116" s="28"/>
      <c r="C116" s="28"/>
      <c r="D116" s="28"/>
      <c r="E116" s="28"/>
      <c r="F116" s="28"/>
    </row>
    <row r="117">
      <c r="A117" s="28"/>
      <c r="B117" s="28"/>
      <c r="C117" s="28"/>
      <c r="D117" s="28"/>
      <c r="E117" s="28"/>
      <c r="F117" s="28"/>
    </row>
    <row r="118">
      <c r="A118" s="28"/>
      <c r="B118" s="28"/>
      <c r="C118" s="28"/>
      <c r="D118" s="28"/>
      <c r="E118" s="28"/>
      <c r="F118" s="28"/>
    </row>
    <row r="119">
      <c r="A119" s="28"/>
      <c r="B119" s="28"/>
      <c r="C119" s="28"/>
      <c r="D119" s="28"/>
      <c r="E119" s="28"/>
      <c r="F119" s="28"/>
    </row>
    <row r="120">
      <c r="A120" s="28"/>
      <c r="B120" s="28"/>
      <c r="C120" s="28"/>
      <c r="D120" s="28"/>
      <c r="E120" s="28"/>
      <c r="F120" s="28"/>
    </row>
    <row r="121">
      <c r="A121" s="28"/>
      <c r="B121" s="28"/>
      <c r="C121" s="28"/>
      <c r="D121" s="28"/>
      <c r="E121" s="28"/>
      <c r="F121" s="28"/>
    </row>
    <row r="122">
      <c r="A122" s="28"/>
      <c r="B122" s="28"/>
      <c r="C122" s="28"/>
      <c r="D122" s="28"/>
      <c r="E122" s="28"/>
      <c r="F122" s="28"/>
    </row>
    <row r="123">
      <c r="A123" s="28"/>
      <c r="B123" s="28"/>
      <c r="C123" s="28"/>
      <c r="D123" s="28"/>
      <c r="E123" s="28"/>
      <c r="F123" s="28"/>
    </row>
    <row r="124">
      <c r="A124" s="28"/>
      <c r="B124" s="28"/>
      <c r="C124" s="28"/>
      <c r="D124" s="28"/>
      <c r="E124" s="28"/>
      <c r="F124" s="28"/>
    </row>
    <row r="125">
      <c r="A125" s="28"/>
      <c r="B125" s="28"/>
      <c r="C125" s="28"/>
      <c r="D125" s="28"/>
      <c r="E125" s="28"/>
      <c r="F125" s="28"/>
    </row>
    <row r="126">
      <c r="A126" s="28"/>
      <c r="B126" s="28"/>
      <c r="C126" s="28"/>
      <c r="D126" s="28"/>
      <c r="E126" s="28"/>
      <c r="F126" s="28"/>
    </row>
    <row r="127">
      <c r="A127" s="28"/>
      <c r="B127" s="28"/>
      <c r="C127" s="28"/>
      <c r="D127" s="28"/>
      <c r="E127" s="28"/>
      <c r="F127" s="28"/>
    </row>
    <row r="128">
      <c r="A128" s="28"/>
      <c r="B128" s="28"/>
      <c r="C128" s="28"/>
      <c r="D128" s="28"/>
      <c r="E128" s="28"/>
      <c r="F128" s="28"/>
    </row>
    <row r="129">
      <c r="A129" s="28"/>
      <c r="B129" s="28"/>
      <c r="C129" s="28"/>
      <c r="D129" s="28"/>
      <c r="E129" s="28"/>
      <c r="F129" s="28"/>
    </row>
    <row r="130">
      <c r="A130" s="28"/>
      <c r="B130" s="28"/>
      <c r="C130" s="28"/>
      <c r="D130" s="28"/>
      <c r="E130" s="28"/>
      <c r="F130" s="28"/>
    </row>
    <row r="131">
      <c r="A131" s="28"/>
      <c r="B131" s="28"/>
      <c r="C131" s="28"/>
      <c r="D131" s="28"/>
      <c r="E131" s="28"/>
      <c r="F131" s="28"/>
    </row>
    <row r="132">
      <c r="A132" s="28"/>
      <c r="B132" s="28"/>
      <c r="C132" s="28"/>
      <c r="D132" s="28"/>
      <c r="E132" s="28"/>
      <c r="F132" s="28"/>
    </row>
    <row r="133">
      <c r="A133" s="28"/>
      <c r="B133" s="28"/>
      <c r="C133" s="28"/>
      <c r="D133" s="28"/>
      <c r="E133" s="28"/>
      <c r="F133" s="28"/>
    </row>
    <row r="134">
      <c r="A134" s="28"/>
      <c r="B134" s="28"/>
      <c r="C134" s="28"/>
      <c r="D134" s="28"/>
      <c r="E134" s="28"/>
      <c r="F134" s="28"/>
    </row>
    <row r="135">
      <c r="A135" s="28"/>
      <c r="B135" s="28"/>
      <c r="C135" s="28"/>
      <c r="D135" s="28"/>
      <c r="E135" s="28"/>
      <c r="F135" s="28"/>
    </row>
    <row r="136">
      <c r="A136" s="28"/>
      <c r="B136" s="28"/>
      <c r="C136" s="28"/>
      <c r="D136" s="28"/>
      <c r="E136" s="28"/>
      <c r="F136" s="28"/>
    </row>
    <row r="137">
      <c r="A137" s="28"/>
      <c r="B137" s="28"/>
      <c r="C137" s="28"/>
      <c r="D137" s="28"/>
      <c r="E137" s="28"/>
      <c r="F137" s="28"/>
    </row>
    <row r="138">
      <c r="A138" s="28"/>
      <c r="B138" s="28"/>
      <c r="C138" s="28"/>
      <c r="D138" s="28"/>
      <c r="E138" s="28"/>
      <c r="F138" s="28"/>
    </row>
    <row r="139">
      <c r="A139" s="28"/>
      <c r="B139" s="28"/>
      <c r="C139" s="28"/>
      <c r="D139" s="28"/>
      <c r="E139" s="28"/>
      <c r="F139" s="28"/>
    </row>
    <row r="140">
      <c r="A140" s="28"/>
      <c r="B140" s="28"/>
      <c r="C140" s="28"/>
      <c r="D140" s="28"/>
      <c r="E140" s="28"/>
      <c r="F140" s="28"/>
    </row>
    <row r="141">
      <c r="A141" s="28"/>
      <c r="B141" s="28"/>
      <c r="C141" s="28"/>
      <c r="D141" s="28"/>
      <c r="E141" s="28"/>
      <c r="F141" s="28"/>
    </row>
    <row r="142">
      <c r="A142" s="28"/>
      <c r="B142" s="28"/>
      <c r="C142" s="28"/>
      <c r="D142" s="28"/>
      <c r="E142" s="28"/>
      <c r="F142" s="28"/>
    </row>
    <row r="143">
      <c r="A143" s="28"/>
      <c r="B143" s="28"/>
      <c r="C143" s="28"/>
      <c r="D143" s="28"/>
      <c r="E143" s="28"/>
      <c r="F143" s="28"/>
    </row>
    <row r="144">
      <c r="A144" s="28"/>
      <c r="B144" s="28"/>
      <c r="C144" s="28"/>
      <c r="D144" s="28"/>
      <c r="E144" s="28"/>
      <c r="F144" s="28"/>
    </row>
    <row r="145">
      <c r="A145" s="28"/>
      <c r="B145" s="28"/>
      <c r="C145" s="28"/>
      <c r="D145" s="28"/>
      <c r="E145" s="28"/>
      <c r="F145" s="28"/>
    </row>
    <row r="146">
      <c r="A146" s="28"/>
      <c r="B146" s="28"/>
      <c r="C146" s="28"/>
      <c r="D146" s="28"/>
      <c r="E146" s="28"/>
      <c r="F146" s="28"/>
    </row>
    <row r="147">
      <c r="A147" s="28"/>
      <c r="B147" s="28"/>
      <c r="C147" s="28"/>
      <c r="D147" s="28"/>
      <c r="E147" s="28"/>
      <c r="F147" s="28"/>
    </row>
    <row r="148">
      <c r="A148" s="28"/>
      <c r="B148" s="28"/>
      <c r="C148" s="28"/>
      <c r="D148" s="28"/>
      <c r="E148" s="28"/>
      <c r="F148" s="28"/>
    </row>
    <row r="149">
      <c r="A149" s="28"/>
      <c r="B149" s="28"/>
      <c r="C149" s="28"/>
      <c r="D149" s="28"/>
      <c r="E149" s="28"/>
      <c r="F149" s="28"/>
    </row>
    <row r="150">
      <c r="A150" s="28"/>
      <c r="B150" s="28"/>
      <c r="C150" s="28"/>
      <c r="D150" s="28"/>
      <c r="E150" s="28"/>
      <c r="F150" s="28"/>
    </row>
    <row r="151">
      <c r="A151" s="28"/>
      <c r="B151" s="28"/>
      <c r="C151" s="28"/>
      <c r="D151" s="28"/>
      <c r="E151" s="28"/>
      <c r="F151" s="28"/>
    </row>
    <row r="152">
      <c r="A152" s="28"/>
      <c r="B152" s="28"/>
      <c r="C152" s="28"/>
      <c r="D152" s="28"/>
      <c r="E152" s="28"/>
      <c r="F152" s="28"/>
    </row>
    <row r="153">
      <c r="A153" s="28"/>
      <c r="B153" s="28"/>
      <c r="C153" s="28"/>
      <c r="D153" s="28"/>
      <c r="E153" s="28"/>
      <c r="F153" s="28"/>
    </row>
    <row r="154">
      <c r="A154" s="28"/>
      <c r="B154" s="28"/>
      <c r="C154" s="28"/>
      <c r="D154" s="28"/>
      <c r="E154" s="28"/>
      <c r="F154" s="28"/>
    </row>
    <row r="155">
      <c r="A155" s="28"/>
      <c r="B155" s="28"/>
      <c r="C155" s="28"/>
      <c r="D155" s="28"/>
      <c r="E155" s="28"/>
      <c r="F155" s="28"/>
    </row>
    <row r="156">
      <c r="A156" s="28"/>
      <c r="B156" s="28"/>
      <c r="C156" s="28"/>
      <c r="D156" s="28"/>
      <c r="E156" s="28"/>
      <c r="F156" s="28"/>
    </row>
    <row r="157">
      <c r="A157" s="28"/>
      <c r="B157" s="28"/>
      <c r="C157" s="28"/>
      <c r="D157" s="28"/>
      <c r="E157" s="28"/>
      <c r="F157" s="28"/>
    </row>
    <row r="158">
      <c r="A158" s="28"/>
      <c r="B158" s="28"/>
      <c r="C158" s="28"/>
      <c r="D158" s="28"/>
      <c r="E158" s="28"/>
      <c r="F158" s="28"/>
    </row>
    <row r="159">
      <c r="A159" s="28"/>
      <c r="B159" s="28"/>
      <c r="C159" s="28"/>
      <c r="D159" s="28"/>
      <c r="E159" s="28"/>
      <c r="F159" s="28"/>
    </row>
    <row r="160">
      <c r="A160" s="28"/>
      <c r="B160" s="28"/>
      <c r="C160" s="28"/>
      <c r="D160" s="28"/>
      <c r="E160" s="28"/>
      <c r="F160" s="28"/>
    </row>
    <row r="161">
      <c r="A161" s="28"/>
      <c r="B161" s="28"/>
      <c r="C161" s="28"/>
      <c r="D161" s="28"/>
      <c r="E161" s="28"/>
      <c r="F161" s="28"/>
    </row>
    <row r="162">
      <c r="A162" s="28"/>
      <c r="B162" s="28"/>
      <c r="C162" s="28"/>
      <c r="D162" s="28"/>
      <c r="E162" s="28"/>
      <c r="F162" s="28"/>
    </row>
    <row r="163">
      <c r="A163" s="28"/>
      <c r="B163" s="28"/>
      <c r="C163" s="28"/>
      <c r="D163" s="28"/>
      <c r="E163" s="28"/>
      <c r="F163" s="28"/>
    </row>
    <row r="164">
      <c r="A164" s="28"/>
      <c r="B164" s="28"/>
      <c r="C164" s="28"/>
      <c r="D164" s="28"/>
      <c r="E164" s="28"/>
      <c r="F164" s="28"/>
    </row>
    <row r="165">
      <c r="A165" s="28"/>
      <c r="B165" s="28"/>
      <c r="C165" s="28"/>
      <c r="D165" s="28"/>
      <c r="E165" s="28"/>
      <c r="F165" s="28"/>
    </row>
    <row r="166">
      <c r="A166" s="28"/>
      <c r="B166" s="28"/>
      <c r="C166" s="28"/>
      <c r="D166" s="28"/>
      <c r="E166" s="28"/>
      <c r="F166" s="28"/>
    </row>
    <row r="167">
      <c r="A167" s="28"/>
      <c r="B167" s="28"/>
      <c r="C167" s="28"/>
      <c r="D167" s="28"/>
      <c r="E167" s="28"/>
      <c r="F167" s="28"/>
    </row>
    <row r="168">
      <c r="A168" s="28"/>
      <c r="B168" s="28"/>
      <c r="C168" s="28"/>
      <c r="D168" s="28"/>
      <c r="E168" s="28"/>
      <c r="F168" s="28"/>
    </row>
    <row r="169">
      <c r="A169" s="28"/>
      <c r="B169" s="28"/>
      <c r="C169" s="28"/>
      <c r="D169" s="28"/>
      <c r="E169" s="28"/>
      <c r="F169" s="28"/>
    </row>
    <row r="170">
      <c r="A170" s="28"/>
      <c r="B170" s="28"/>
      <c r="C170" s="28"/>
      <c r="D170" s="28"/>
      <c r="E170" s="28"/>
      <c r="F170" s="28"/>
    </row>
    <row r="171">
      <c r="A171" s="28"/>
      <c r="B171" s="28"/>
      <c r="C171" s="28"/>
      <c r="D171" s="28"/>
      <c r="E171" s="28"/>
      <c r="F171" s="28"/>
    </row>
    <row r="172">
      <c r="A172" s="28"/>
      <c r="B172" s="28"/>
      <c r="C172" s="28"/>
      <c r="D172" s="28"/>
      <c r="E172" s="28"/>
      <c r="F172" s="28"/>
    </row>
    <row r="173">
      <c r="A173" s="28"/>
      <c r="B173" s="28"/>
      <c r="C173" s="28"/>
      <c r="D173" s="28"/>
      <c r="E173" s="28"/>
      <c r="F173" s="28"/>
    </row>
    <row r="174">
      <c r="A174" s="28"/>
      <c r="B174" s="28"/>
      <c r="C174" s="28"/>
      <c r="D174" s="28"/>
      <c r="E174" s="28"/>
      <c r="F174" s="28"/>
    </row>
    <row r="175">
      <c r="A175" s="28"/>
      <c r="B175" s="28"/>
      <c r="C175" s="28"/>
      <c r="D175" s="28"/>
      <c r="E175" s="28"/>
      <c r="F175" s="28"/>
    </row>
    <row r="176">
      <c r="A176" s="28"/>
      <c r="B176" s="28"/>
      <c r="C176" s="28"/>
      <c r="D176" s="28"/>
      <c r="E176" s="28"/>
      <c r="F176" s="28"/>
    </row>
    <row r="177">
      <c r="A177" s="28"/>
      <c r="B177" s="28"/>
      <c r="C177" s="28"/>
      <c r="D177" s="28"/>
      <c r="E177" s="28"/>
      <c r="F177" s="28"/>
    </row>
    <row r="178">
      <c r="A178" s="28"/>
      <c r="B178" s="28"/>
      <c r="C178" s="28"/>
      <c r="D178" s="28"/>
      <c r="E178" s="28"/>
      <c r="F178" s="28"/>
    </row>
    <row r="179">
      <c r="A179" s="28"/>
      <c r="B179" s="28"/>
      <c r="C179" s="28"/>
      <c r="D179" s="28"/>
      <c r="E179" s="28"/>
      <c r="F179" s="28"/>
    </row>
    <row r="180">
      <c r="A180" s="28"/>
      <c r="B180" s="28"/>
      <c r="C180" s="28"/>
      <c r="D180" s="28"/>
      <c r="E180" s="28"/>
      <c r="F180" s="28"/>
    </row>
    <row r="181">
      <c r="A181" s="28"/>
      <c r="B181" s="28"/>
      <c r="C181" s="28"/>
      <c r="D181" s="28"/>
      <c r="E181" s="28"/>
      <c r="F181" s="28"/>
    </row>
    <row r="182">
      <c r="A182" s="28"/>
      <c r="B182" s="28"/>
      <c r="C182" s="28"/>
      <c r="D182" s="28"/>
      <c r="E182" s="28"/>
      <c r="F182" s="28"/>
    </row>
    <row r="183">
      <c r="A183" s="28"/>
      <c r="B183" s="28"/>
      <c r="C183" s="28"/>
      <c r="D183" s="28"/>
      <c r="E183" s="28"/>
      <c r="F183" s="28"/>
    </row>
    <row r="184">
      <c r="A184" s="28"/>
      <c r="B184" s="28"/>
      <c r="C184" s="28"/>
      <c r="D184" s="28"/>
      <c r="E184" s="28"/>
      <c r="F184" s="28"/>
    </row>
    <row r="185">
      <c r="A185" s="28"/>
      <c r="B185" s="28"/>
      <c r="C185" s="28"/>
      <c r="D185" s="28"/>
      <c r="E185" s="28"/>
      <c r="F185" s="28"/>
    </row>
    <row r="186">
      <c r="A186" s="28"/>
      <c r="B186" s="28"/>
      <c r="C186" s="28"/>
      <c r="D186" s="28"/>
      <c r="E186" s="28"/>
      <c r="F186" s="28"/>
    </row>
    <row r="187">
      <c r="A187" s="28"/>
      <c r="B187" s="28"/>
      <c r="C187" s="28"/>
      <c r="D187" s="28"/>
      <c r="E187" s="28"/>
      <c r="F187" s="28"/>
    </row>
    <row r="188">
      <c r="A188" s="28"/>
      <c r="B188" s="28"/>
      <c r="C188" s="28"/>
      <c r="D188" s="28"/>
      <c r="E188" s="28"/>
      <c r="F188" s="28"/>
    </row>
    <row r="189">
      <c r="A189" s="28"/>
      <c r="B189" s="28"/>
      <c r="C189" s="28"/>
      <c r="D189" s="28"/>
      <c r="E189" s="28"/>
      <c r="F189" s="28"/>
    </row>
    <row r="190">
      <c r="A190" s="28"/>
      <c r="B190" s="28"/>
      <c r="C190" s="28"/>
      <c r="D190" s="28"/>
      <c r="E190" s="28"/>
      <c r="F190" s="28"/>
    </row>
    <row r="191">
      <c r="A191" s="28"/>
      <c r="B191" s="28"/>
      <c r="C191" s="28"/>
      <c r="D191" s="28"/>
      <c r="E191" s="28"/>
      <c r="F191" s="28"/>
    </row>
    <row r="192">
      <c r="A192" s="28"/>
      <c r="B192" s="28"/>
      <c r="C192" s="28"/>
      <c r="D192" s="28"/>
      <c r="E192" s="28"/>
      <c r="F192" s="28"/>
    </row>
    <row r="193">
      <c r="A193" s="28"/>
      <c r="B193" s="28"/>
      <c r="C193" s="28"/>
      <c r="D193" s="28"/>
      <c r="E193" s="28"/>
      <c r="F193" s="28"/>
    </row>
    <row r="194">
      <c r="A194" s="28"/>
      <c r="B194" s="28"/>
      <c r="C194" s="28"/>
      <c r="D194" s="28"/>
      <c r="E194" s="28"/>
      <c r="F194" s="28"/>
    </row>
    <row r="195">
      <c r="A195" s="28"/>
      <c r="B195" s="28"/>
      <c r="C195" s="28"/>
      <c r="D195" s="28"/>
      <c r="E195" s="28"/>
      <c r="F195" s="28"/>
    </row>
    <row r="196">
      <c r="A196" s="28"/>
      <c r="B196" s="28"/>
      <c r="C196" s="28"/>
      <c r="D196" s="28"/>
      <c r="E196" s="28"/>
      <c r="F196" s="28"/>
    </row>
    <row r="197">
      <c r="A197" s="28"/>
      <c r="B197" s="28"/>
      <c r="C197" s="28"/>
      <c r="D197" s="28"/>
      <c r="E197" s="28"/>
      <c r="F197" s="28"/>
    </row>
    <row r="198">
      <c r="A198" s="28"/>
      <c r="B198" s="28"/>
      <c r="C198" s="28"/>
      <c r="D198" s="28"/>
      <c r="E198" s="28"/>
      <c r="F198" s="28"/>
    </row>
    <row r="199">
      <c r="A199" s="28"/>
      <c r="B199" s="28"/>
      <c r="C199" s="28"/>
      <c r="D199" s="28"/>
      <c r="E199" s="28"/>
      <c r="F199" s="28"/>
    </row>
    <row r="200">
      <c r="A200" s="28"/>
      <c r="B200" s="28"/>
      <c r="C200" s="28"/>
      <c r="D200" s="28"/>
      <c r="E200" s="28"/>
      <c r="F200" s="28"/>
    </row>
    <row r="201">
      <c r="A201" s="28"/>
      <c r="B201" s="28"/>
      <c r="C201" s="28"/>
      <c r="D201" s="28"/>
      <c r="E201" s="28"/>
      <c r="F201" s="28"/>
    </row>
    <row r="202">
      <c r="A202" s="28"/>
      <c r="B202" s="28"/>
      <c r="C202" s="28"/>
      <c r="D202" s="28"/>
      <c r="E202" s="28"/>
      <c r="F202" s="28"/>
    </row>
    <row r="203">
      <c r="A203" s="28"/>
      <c r="B203" s="28"/>
      <c r="C203" s="28"/>
      <c r="D203" s="28"/>
      <c r="E203" s="28"/>
      <c r="F203" s="28"/>
    </row>
    <row r="204">
      <c r="A204" s="28"/>
      <c r="B204" s="28"/>
      <c r="C204" s="28"/>
      <c r="D204" s="28"/>
      <c r="E204" s="28"/>
      <c r="F204" s="28"/>
    </row>
    <row r="205">
      <c r="A205" s="28"/>
      <c r="B205" s="28"/>
      <c r="C205" s="28"/>
      <c r="D205" s="28"/>
      <c r="E205" s="28"/>
      <c r="F205" s="28"/>
    </row>
    <row r="206">
      <c r="A206" s="28"/>
      <c r="B206" s="28"/>
      <c r="C206" s="28"/>
      <c r="D206" s="28"/>
      <c r="E206" s="28"/>
      <c r="F206" s="28"/>
    </row>
    <row r="207">
      <c r="A207" s="28"/>
      <c r="B207" s="28"/>
      <c r="C207" s="28"/>
      <c r="D207" s="28"/>
      <c r="E207" s="28"/>
      <c r="F207" s="28"/>
    </row>
    <row r="208">
      <c r="A208" s="28"/>
      <c r="B208" s="28"/>
      <c r="C208" s="28"/>
      <c r="D208" s="28"/>
      <c r="E208" s="28"/>
      <c r="F208" s="28"/>
    </row>
    <row r="209">
      <c r="A209" s="28"/>
      <c r="B209" s="28"/>
      <c r="C209" s="28"/>
      <c r="D209" s="28"/>
      <c r="E209" s="28"/>
      <c r="F209" s="28"/>
    </row>
    <row r="210">
      <c r="A210" s="28"/>
      <c r="B210" s="28"/>
      <c r="C210" s="28"/>
      <c r="D210" s="28"/>
      <c r="E210" s="28"/>
      <c r="F210" s="28"/>
    </row>
    <row r="211">
      <c r="A211" s="28"/>
      <c r="B211" s="28"/>
      <c r="C211" s="28"/>
      <c r="D211" s="28"/>
      <c r="E211" s="28"/>
      <c r="F211" s="28"/>
    </row>
    <row r="212">
      <c r="A212" s="28"/>
      <c r="B212" s="28"/>
      <c r="C212" s="28"/>
      <c r="D212" s="28"/>
      <c r="E212" s="28"/>
      <c r="F212" s="28"/>
    </row>
    <row r="213">
      <c r="A213" s="28"/>
      <c r="B213" s="28"/>
      <c r="C213" s="28"/>
      <c r="D213" s="28"/>
      <c r="E213" s="28"/>
      <c r="F213" s="28"/>
    </row>
    <row r="214">
      <c r="A214" s="28"/>
      <c r="B214" s="28"/>
      <c r="C214" s="28"/>
      <c r="D214" s="28"/>
      <c r="E214" s="28"/>
      <c r="F214" s="28"/>
    </row>
    <row r="215">
      <c r="A215" s="28"/>
      <c r="B215" s="28"/>
      <c r="C215" s="28"/>
      <c r="D215" s="28"/>
      <c r="E215" s="28"/>
      <c r="F215" s="28"/>
    </row>
    <row r="216">
      <c r="A216" s="28"/>
      <c r="B216" s="28"/>
      <c r="C216" s="28"/>
      <c r="D216" s="28"/>
      <c r="E216" s="28"/>
      <c r="F216" s="28"/>
    </row>
    <row r="217">
      <c r="A217" s="28"/>
      <c r="B217" s="28"/>
      <c r="C217" s="28"/>
      <c r="D217" s="28"/>
      <c r="E217" s="28"/>
      <c r="F217" s="28"/>
    </row>
    <row r="218">
      <c r="A218" s="28"/>
      <c r="B218" s="28"/>
      <c r="C218" s="28"/>
      <c r="D218" s="28"/>
      <c r="E218" s="28"/>
      <c r="F218" s="28"/>
    </row>
    <row r="219">
      <c r="A219" s="28"/>
      <c r="B219" s="28"/>
      <c r="C219" s="28"/>
      <c r="D219" s="28"/>
      <c r="E219" s="28"/>
      <c r="F219" s="28"/>
    </row>
    <row r="220">
      <c r="A220" s="28"/>
      <c r="B220" s="28"/>
      <c r="C220" s="28"/>
      <c r="D220" s="28"/>
      <c r="E220" s="28"/>
      <c r="F220" s="28"/>
    </row>
    <row r="221">
      <c r="A221" s="28"/>
      <c r="B221" s="28"/>
      <c r="C221" s="28"/>
      <c r="D221" s="28"/>
      <c r="E221" s="28"/>
      <c r="F221" s="28"/>
    </row>
    <row r="222">
      <c r="A222" s="28"/>
      <c r="B222" s="28"/>
      <c r="C222" s="28"/>
      <c r="D222" s="28"/>
      <c r="E222" s="28"/>
      <c r="F222" s="28"/>
    </row>
    <row r="223">
      <c r="A223" s="28"/>
      <c r="B223" s="28"/>
      <c r="C223" s="28"/>
      <c r="D223" s="28"/>
      <c r="E223" s="28"/>
      <c r="F223" s="28"/>
    </row>
    <row r="224">
      <c r="A224" s="28"/>
      <c r="B224" s="28"/>
      <c r="C224" s="28"/>
      <c r="D224" s="28"/>
      <c r="E224" s="28"/>
      <c r="F224" s="28"/>
    </row>
    <row r="225">
      <c r="A225" s="28"/>
      <c r="B225" s="28"/>
      <c r="C225" s="28"/>
      <c r="D225" s="28"/>
      <c r="E225" s="28"/>
      <c r="F225" s="28"/>
    </row>
    <row r="226">
      <c r="A226" s="28"/>
      <c r="B226" s="28"/>
      <c r="C226" s="28"/>
      <c r="D226" s="28"/>
      <c r="E226" s="28"/>
      <c r="F226" s="28"/>
    </row>
    <row r="227">
      <c r="A227" s="28"/>
      <c r="B227" s="28"/>
      <c r="C227" s="28"/>
      <c r="D227" s="28"/>
      <c r="E227" s="28"/>
      <c r="F227" s="28"/>
    </row>
    <row r="228">
      <c r="A228" s="28"/>
      <c r="B228" s="28"/>
      <c r="C228" s="28"/>
      <c r="D228" s="28"/>
      <c r="E228" s="28"/>
      <c r="F228" s="28"/>
    </row>
    <row r="229">
      <c r="A229" s="28"/>
      <c r="B229" s="28"/>
      <c r="C229" s="28"/>
      <c r="D229" s="28"/>
      <c r="E229" s="28"/>
      <c r="F229" s="28"/>
    </row>
    <row r="230">
      <c r="A230" s="28"/>
      <c r="B230" s="28"/>
      <c r="C230" s="28"/>
      <c r="D230" s="28"/>
      <c r="E230" s="28"/>
      <c r="F230" s="28"/>
    </row>
    <row r="231">
      <c r="A231" s="28"/>
      <c r="B231" s="28"/>
      <c r="C231" s="28"/>
      <c r="D231" s="28"/>
      <c r="E231" s="28"/>
      <c r="F231" s="28"/>
    </row>
    <row r="232">
      <c r="A232" s="28"/>
      <c r="B232" s="28"/>
      <c r="C232" s="28"/>
      <c r="D232" s="28"/>
      <c r="E232" s="28"/>
      <c r="F232" s="28"/>
    </row>
    <row r="233">
      <c r="A233" s="28"/>
      <c r="B233" s="28"/>
      <c r="C233" s="28"/>
      <c r="D233" s="28"/>
      <c r="E233" s="28"/>
      <c r="F233" s="28"/>
    </row>
    <row r="234">
      <c r="A234" s="28"/>
      <c r="B234" s="28"/>
      <c r="C234" s="28"/>
      <c r="D234" s="28"/>
      <c r="E234" s="28"/>
      <c r="F234" s="28"/>
    </row>
    <row r="235">
      <c r="A235" s="28"/>
      <c r="B235" s="28"/>
      <c r="C235" s="28"/>
      <c r="D235" s="28"/>
      <c r="E235" s="28"/>
      <c r="F235" s="28"/>
    </row>
    <row r="236">
      <c r="A236" s="28"/>
      <c r="B236" s="28"/>
      <c r="C236" s="28"/>
      <c r="D236" s="28"/>
      <c r="E236" s="28"/>
      <c r="F236" s="28"/>
    </row>
    <row r="237">
      <c r="A237" s="28"/>
      <c r="B237" s="28"/>
      <c r="C237" s="28"/>
      <c r="D237" s="28"/>
      <c r="E237" s="28"/>
      <c r="F237" s="28"/>
    </row>
    <row r="238">
      <c r="A238" s="28"/>
      <c r="B238" s="28"/>
      <c r="C238" s="28"/>
      <c r="D238" s="28"/>
      <c r="E238" s="28"/>
      <c r="F238" s="28"/>
    </row>
    <row r="239">
      <c r="A239" s="28"/>
      <c r="B239" s="28"/>
      <c r="C239" s="28"/>
      <c r="D239" s="28"/>
      <c r="E239" s="28"/>
      <c r="F239" s="28"/>
    </row>
    <row r="240">
      <c r="A240" s="28"/>
      <c r="B240" s="28"/>
      <c r="C240" s="28"/>
      <c r="D240" s="28"/>
      <c r="E240" s="28"/>
      <c r="F240" s="28"/>
    </row>
    <row r="241">
      <c r="A241" s="28"/>
      <c r="B241" s="28"/>
      <c r="C241" s="28"/>
      <c r="D241" s="28"/>
      <c r="E241" s="28"/>
      <c r="F241" s="28"/>
    </row>
    <row r="242">
      <c r="A242" s="28"/>
      <c r="B242" s="28"/>
      <c r="C242" s="28"/>
      <c r="D242" s="28"/>
      <c r="E242" s="28"/>
      <c r="F242" s="28"/>
    </row>
    <row r="243">
      <c r="A243" s="28"/>
      <c r="B243" s="28"/>
      <c r="C243" s="28"/>
      <c r="D243" s="28"/>
      <c r="E243" s="28"/>
      <c r="F243" s="28"/>
    </row>
    <row r="244">
      <c r="A244" s="28"/>
      <c r="B244" s="28"/>
      <c r="C244" s="28"/>
      <c r="D244" s="28"/>
      <c r="E244" s="28"/>
      <c r="F244" s="28"/>
    </row>
    <row r="245">
      <c r="A245" s="28"/>
      <c r="B245" s="28"/>
      <c r="C245" s="28"/>
      <c r="D245" s="28"/>
      <c r="E245" s="28"/>
      <c r="F245" s="28"/>
    </row>
    <row r="246">
      <c r="A246" s="28"/>
      <c r="B246" s="28"/>
      <c r="C246" s="28"/>
      <c r="D246" s="28"/>
      <c r="E246" s="28"/>
      <c r="F246" s="28"/>
    </row>
    <row r="247">
      <c r="A247" s="28"/>
      <c r="B247" s="28"/>
      <c r="C247" s="28"/>
      <c r="D247" s="28"/>
      <c r="E247" s="28"/>
      <c r="F247" s="28"/>
    </row>
    <row r="248">
      <c r="A248" s="28"/>
      <c r="B248" s="28"/>
      <c r="C248" s="28"/>
      <c r="D248" s="28"/>
      <c r="E248" s="28"/>
      <c r="F248" s="28"/>
    </row>
    <row r="249">
      <c r="A249" s="28"/>
      <c r="B249" s="28"/>
      <c r="C249" s="28"/>
      <c r="D249" s="28"/>
      <c r="E249" s="28"/>
      <c r="F249" s="28"/>
    </row>
    <row r="250">
      <c r="A250" s="28"/>
      <c r="B250" s="28"/>
      <c r="C250" s="28"/>
      <c r="D250" s="28"/>
      <c r="E250" s="28"/>
      <c r="F250" s="28"/>
    </row>
    <row r="251">
      <c r="A251" s="28"/>
      <c r="B251" s="28"/>
      <c r="C251" s="28"/>
      <c r="D251" s="28"/>
      <c r="E251" s="28"/>
      <c r="F251" s="28"/>
    </row>
    <row r="252">
      <c r="A252" s="28"/>
      <c r="B252" s="28"/>
      <c r="C252" s="28"/>
      <c r="D252" s="28"/>
      <c r="E252" s="28"/>
      <c r="F252" s="28"/>
    </row>
    <row r="253">
      <c r="A253" s="28"/>
      <c r="B253" s="28"/>
      <c r="C253" s="28"/>
      <c r="D253" s="28"/>
      <c r="E253" s="28"/>
      <c r="F253" s="28"/>
    </row>
    <row r="254">
      <c r="A254" s="28"/>
      <c r="B254" s="28"/>
      <c r="C254" s="28"/>
      <c r="D254" s="28"/>
      <c r="E254" s="28"/>
      <c r="F254" s="28"/>
    </row>
    <row r="255">
      <c r="A255" s="28"/>
      <c r="B255" s="28"/>
      <c r="C255" s="28"/>
      <c r="D255" s="28"/>
      <c r="E255" s="28"/>
      <c r="F255" s="28"/>
    </row>
    <row r="256">
      <c r="A256" s="28"/>
      <c r="B256" s="28"/>
      <c r="C256" s="28"/>
      <c r="D256" s="28"/>
      <c r="E256" s="28"/>
      <c r="F256" s="28"/>
    </row>
    <row r="257">
      <c r="A257" s="28"/>
      <c r="B257" s="28"/>
      <c r="C257" s="28"/>
      <c r="D257" s="28"/>
      <c r="E257" s="28"/>
      <c r="F257" s="28"/>
    </row>
    <row r="258">
      <c r="A258" s="28"/>
      <c r="B258" s="28"/>
      <c r="C258" s="28"/>
      <c r="D258" s="28"/>
      <c r="E258" s="28"/>
      <c r="F258" s="28"/>
    </row>
    <row r="259">
      <c r="A259" s="28"/>
      <c r="B259" s="28"/>
      <c r="C259" s="28"/>
      <c r="D259" s="28"/>
      <c r="E259" s="28"/>
      <c r="F259" s="28"/>
    </row>
    <row r="260">
      <c r="A260" s="28"/>
      <c r="B260" s="28"/>
      <c r="C260" s="28"/>
      <c r="D260" s="28"/>
      <c r="E260" s="28"/>
      <c r="F260" s="28"/>
    </row>
    <row r="261">
      <c r="A261" s="28"/>
      <c r="B261" s="28"/>
      <c r="C261" s="28"/>
      <c r="D261" s="28"/>
      <c r="E261" s="28"/>
      <c r="F261" s="28"/>
    </row>
    <row r="262">
      <c r="A262" s="28"/>
      <c r="B262" s="28"/>
      <c r="C262" s="28"/>
      <c r="D262" s="28"/>
      <c r="E262" s="28"/>
      <c r="F262" s="28"/>
    </row>
    <row r="263">
      <c r="A263" s="28"/>
      <c r="B263" s="28"/>
      <c r="C263" s="28"/>
      <c r="D263" s="28"/>
      <c r="E263" s="28"/>
      <c r="F263" s="28"/>
    </row>
    <row r="264">
      <c r="A264" s="28"/>
      <c r="B264" s="28"/>
      <c r="C264" s="28"/>
      <c r="D264" s="28"/>
      <c r="E264" s="28"/>
      <c r="F264" s="28"/>
    </row>
    <row r="265">
      <c r="A265" s="28"/>
      <c r="B265" s="28"/>
      <c r="C265" s="28"/>
      <c r="D265" s="28"/>
      <c r="E265" s="28"/>
      <c r="F265" s="28"/>
    </row>
    <row r="266">
      <c r="A266" s="28"/>
      <c r="B266" s="28"/>
      <c r="C266" s="28"/>
      <c r="D266" s="28"/>
      <c r="E266" s="28"/>
      <c r="F266" s="28"/>
    </row>
    <row r="267">
      <c r="A267" s="28"/>
      <c r="B267" s="28"/>
      <c r="C267" s="28"/>
      <c r="D267" s="28"/>
      <c r="E267" s="28"/>
      <c r="F267" s="28"/>
    </row>
    <row r="268">
      <c r="A268" s="28"/>
      <c r="B268" s="28"/>
      <c r="C268" s="28"/>
      <c r="D268" s="28"/>
      <c r="E268" s="28"/>
      <c r="F268" s="28"/>
    </row>
    <row r="269">
      <c r="A269" s="28"/>
      <c r="B269" s="28"/>
      <c r="C269" s="28"/>
      <c r="D269" s="28"/>
      <c r="E269" s="28"/>
      <c r="F269" s="28"/>
    </row>
    <row r="270">
      <c r="A270" s="28"/>
      <c r="B270" s="28"/>
      <c r="C270" s="28"/>
      <c r="D270" s="28"/>
      <c r="E270" s="28"/>
      <c r="F270" s="28"/>
    </row>
    <row r="271">
      <c r="A271" s="28"/>
      <c r="B271" s="28"/>
      <c r="C271" s="28"/>
      <c r="D271" s="28"/>
      <c r="E271" s="28"/>
      <c r="F271" s="28"/>
    </row>
    <row r="272">
      <c r="A272" s="28"/>
      <c r="B272" s="28"/>
      <c r="C272" s="28"/>
      <c r="D272" s="28"/>
      <c r="E272" s="28"/>
      <c r="F272" s="28"/>
    </row>
    <row r="273">
      <c r="A273" s="28"/>
      <c r="B273" s="28"/>
      <c r="C273" s="28"/>
      <c r="D273" s="28"/>
      <c r="E273" s="28"/>
      <c r="F273" s="28"/>
    </row>
    <row r="274">
      <c r="A274" s="28"/>
      <c r="B274" s="28"/>
      <c r="C274" s="28"/>
      <c r="D274" s="28"/>
      <c r="E274" s="28"/>
      <c r="F274" s="28"/>
    </row>
    <row r="275">
      <c r="A275" s="28"/>
      <c r="B275" s="28"/>
      <c r="C275" s="28"/>
      <c r="D275" s="28"/>
      <c r="E275" s="28"/>
      <c r="F275" s="28"/>
    </row>
    <row r="276">
      <c r="A276" s="28"/>
      <c r="B276" s="28"/>
      <c r="C276" s="28"/>
      <c r="D276" s="28"/>
      <c r="E276" s="28"/>
      <c r="F276" s="28"/>
    </row>
    <row r="277">
      <c r="A277" s="28"/>
      <c r="B277" s="28"/>
      <c r="C277" s="28"/>
      <c r="D277" s="28"/>
      <c r="E277" s="28"/>
      <c r="F277" s="28"/>
    </row>
    <row r="278">
      <c r="A278" s="28"/>
      <c r="B278" s="28"/>
      <c r="C278" s="28"/>
      <c r="D278" s="28"/>
      <c r="E278" s="28"/>
      <c r="F278" s="28"/>
    </row>
    <row r="279">
      <c r="A279" s="28"/>
      <c r="B279" s="28"/>
      <c r="C279" s="28"/>
      <c r="D279" s="28"/>
      <c r="E279" s="28"/>
      <c r="F279" s="28"/>
    </row>
    <row r="280">
      <c r="A280" s="28"/>
      <c r="B280" s="28"/>
      <c r="C280" s="28"/>
      <c r="D280" s="28"/>
      <c r="E280" s="28"/>
      <c r="F280" s="28"/>
    </row>
    <row r="281">
      <c r="A281" s="28"/>
      <c r="B281" s="28"/>
      <c r="C281" s="28"/>
      <c r="D281" s="28"/>
      <c r="E281" s="28"/>
      <c r="F281" s="28"/>
    </row>
    <row r="282">
      <c r="A282" s="28"/>
      <c r="B282" s="28"/>
      <c r="C282" s="28"/>
      <c r="D282" s="28"/>
      <c r="E282" s="28"/>
      <c r="F282" s="28"/>
    </row>
    <row r="283">
      <c r="A283" s="28"/>
      <c r="B283" s="28"/>
      <c r="C283" s="28"/>
      <c r="D283" s="28"/>
      <c r="E283" s="28"/>
      <c r="F283" s="28"/>
    </row>
    <row r="284">
      <c r="A284" s="28"/>
      <c r="B284" s="28"/>
      <c r="C284" s="28"/>
      <c r="D284" s="28"/>
      <c r="E284" s="28"/>
      <c r="F284" s="28"/>
    </row>
    <row r="285">
      <c r="A285" s="28"/>
      <c r="B285" s="28"/>
      <c r="C285" s="28"/>
      <c r="D285" s="28"/>
      <c r="E285" s="28"/>
      <c r="F285" s="28"/>
    </row>
    <row r="286">
      <c r="A286" s="28"/>
      <c r="B286" s="28"/>
      <c r="C286" s="28"/>
      <c r="D286" s="28"/>
      <c r="E286" s="28"/>
      <c r="F286" s="28"/>
    </row>
    <row r="287">
      <c r="A287" s="28"/>
      <c r="B287" s="28"/>
      <c r="C287" s="28"/>
      <c r="D287" s="28"/>
      <c r="E287" s="28"/>
      <c r="F287" s="28"/>
    </row>
    <row r="288">
      <c r="A288" s="28"/>
      <c r="B288" s="28"/>
      <c r="C288" s="28"/>
      <c r="D288" s="28"/>
      <c r="E288" s="28"/>
      <c r="F288" s="28"/>
    </row>
    <row r="289">
      <c r="A289" s="28"/>
      <c r="B289" s="28"/>
      <c r="C289" s="28"/>
      <c r="D289" s="28"/>
      <c r="E289" s="28"/>
      <c r="F289" s="28"/>
    </row>
    <row r="290">
      <c r="A290" s="28"/>
      <c r="B290" s="28"/>
      <c r="C290" s="28"/>
      <c r="D290" s="28"/>
      <c r="E290" s="28"/>
      <c r="F290" s="28"/>
    </row>
    <row r="291">
      <c r="A291" s="28"/>
      <c r="B291" s="28"/>
      <c r="C291" s="28"/>
      <c r="D291" s="28"/>
      <c r="E291" s="28"/>
      <c r="F291" s="28"/>
    </row>
    <row r="292">
      <c r="A292" s="28"/>
      <c r="B292" s="28"/>
      <c r="C292" s="28"/>
      <c r="D292" s="28"/>
      <c r="E292" s="28"/>
      <c r="F292" s="28"/>
    </row>
    <row r="293">
      <c r="A293" s="28"/>
      <c r="B293" s="28"/>
      <c r="C293" s="28"/>
      <c r="D293" s="28"/>
      <c r="E293" s="28"/>
      <c r="F293" s="28"/>
    </row>
    <row r="294">
      <c r="A294" s="28"/>
      <c r="B294" s="28"/>
      <c r="C294" s="28"/>
      <c r="D294" s="28"/>
      <c r="E294" s="28"/>
      <c r="F294" s="28"/>
    </row>
    <row r="295">
      <c r="A295" s="28"/>
      <c r="B295" s="28"/>
      <c r="C295" s="28"/>
      <c r="D295" s="28"/>
      <c r="E295" s="28"/>
      <c r="F295" s="28"/>
    </row>
    <row r="296">
      <c r="A296" s="28"/>
      <c r="B296" s="28"/>
      <c r="C296" s="28"/>
      <c r="D296" s="28"/>
      <c r="E296" s="28"/>
      <c r="F296" s="28"/>
    </row>
    <row r="297">
      <c r="A297" s="28"/>
      <c r="B297" s="28"/>
      <c r="C297" s="28"/>
      <c r="D297" s="28"/>
      <c r="E297" s="28"/>
      <c r="F297" s="28"/>
    </row>
    <row r="298">
      <c r="A298" s="28"/>
      <c r="B298" s="28"/>
      <c r="C298" s="28"/>
      <c r="D298" s="28"/>
      <c r="E298" s="28"/>
      <c r="F298" s="28"/>
    </row>
    <row r="299">
      <c r="A299" s="28"/>
      <c r="B299" s="28"/>
      <c r="C299" s="28"/>
      <c r="D299" s="28"/>
      <c r="E299" s="28"/>
      <c r="F299" s="28"/>
    </row>
    <row r="300">
      <c r="A300" s="28"/>
      <c r="B300" s="28"/>
      <c r="C300" s="28"/>
      <c r="D300" s="28"/>
      <c r="E300" s="28"/>
      <c r="F300" s="28"/>
    </row>
    <row r="301">
      <c r="A301" s="28"/>
      <c r="B301" s="28"/>
      <c r="C301" s="28"/>
      <c r="D301" s="28"/>
      <c r="E301" s="28"/>
      <c r="F301" s="28"/>
    </row>
    <row r="302">
      <c r="A302" s="28"/>
      <c r="B302" s="28"/>
      <c r="C302" s="28"/>
      <c r="D302" s="28"/>
      <c r="E302" s="28"/>
      <c r="F302" s="28"/>
    </row>
    <row r="303">
      <c r="A303" s="28"/>
      <c r="B303" s="28"/>
      <c r="C303" s="28"/>
      <c r="D303" s="28"/>
      <c r="E303" s="28"/>
      <c r="F303" s="28"/>
    </row>
    <row r="304">
      <c r="A304" s="28"/>
      <c r="B304" s="28"/>
      <c r="C304" s="28"/>
      <c r="D304" s="28"/>
      <c r="E304" s="28"/>
      <c r="F304" s="28"/>
    </row>
    <row r="305">
      <c r="A305" s="28"/>
      <c r="B305" s="28"/>
      <c r="C305" s="28"/>
      <c r="D305" s="28"/>
      <c r="E305" s="28"/>
      <c r="F305" s="28"/>
    </row>
    <row r="306">
      <c r="A306" s="28"/>
      <c r="B306" s="28"/>
      <c r="C306" s="28"/>
      <c r="D306" s="28"/>
      <c r="E306" s="28"/>
      <c r="F306" s="28"/>
    </row>
    <row r="307">
      <c r="A307" s="28"/>
      <c r="B307" s="28"/>
      <c r="C307" s="28"/>
      <c r="D307" s="28"/>
      <c r="E307" s="28"/>
      <c r="F307" s="28"/>
    </row>
    <row r="308">
      <c r="A308" s="28"/>
      <c r="B308" s="28"/>
      <c r="C308" s="28"/>
      <c r="D308" s="28"/>
      <c r="E308" s="28"/>
      <c r="F308" s="28"/>
    </row>
    <row r="309">
      <c r="A309" s="28"/>
      <c r="B309" s="28"/>
      <c r="C309" s="28"/>
      <c r="D309" s="28"/>
      <c r="E309" s="28"/>
      <c r="F309" s="28"/>
    </row>
    <row r="310">
      <c r="A310" s="28"/>
      <c r="B310" s="28"/>
      <c r="C310" s="28"/>
      <c r="D310" s="28"/>
      <c r="E310" s="28"/>
      <c r="F310" s="28"/>
    </row>
    <row r="311">
      <c r="A311" s="28"/>
      <c r="B311" s="28"/>
      <c r="C311" s="28"/>
      <c r="D311" s="28"/>
      <c r="E311" s="28"/>
      <c r="F311" s="28"/>
    </row>
    <row r="312">
      <c r="A312" s="28"/>
      <c r="B312" s="28"/>
      <c r="C312" s="28"/>
      <c r="D312" s="28"/>
      <c r="E312" s="28"/>
      <c r="F312" s="28"/>
    </row>
    <row r="313">
      <c r="A313" s="28"/>
      <c r="B313" s="28"/>
      <c r="C313" s="28"/>
      <c r="D313" s="28"/>
      <c r="E313" s="28"/>
      <c r="F313" s="28"/>
    </row>
    <row r="314">
      <c r="A314" s="28"/>
      <c r="B314" s="28"/>
      <c r="C314" s="28"/>
      <c r="D314" s="28"/>
      <c r="E314" s="28"/>
      <c r="F314" s="28"/>
    </row>
    <row r="315">
      <c r="A315" s="28"/>
      <c r="B315" s="28"/>
      <c r="C315" s="28"/>
      <c r="D315" s="28"/>
      <c r="E315" s="28"/>
      <c r="F315" s="28"/>
    </row>
    <row r="316">
      <c r="A316" s="28"/>
      <c r="B316" s="28"/>
      <c r="C316" s="28"/>
      <c r="D316" s="28"/>
      <c r="E316" s="28"/>
      <c r="F316" s="28"/>
    </row>
    <row r="317">
      <c r="A317" s="28"/>
      <c r="B317" s="28"/>
      <c r="C317" s="28"/>
      <c r="D317" s="28"/>
      <c r="E317" s="28"/>
      <c r="F317" s="28"/>
    </row>
    <row r="318">
      <c r="A318" s="28"/>
      <c r="B318" s="28"/>
      <c r="C318" s="28"/>
      <c r="D318" s="28"/>
      <c r="E318" s="28"/>
      <c r="F318" s="28"/>
    </row>
    <row r="319">
      <c r="A319" s="28"/>
      <c r="B319" s="28"/>
      <c r="C319" s="28"/>
      <c r="D319" s="28"/>
      <c r="E319" s="28"/>
      <c r="F319" s="28"/>
    </row>
    <row r="320">
      <c r="A320" s="28"/>
      <c r="B320" s="28"/>
      <c r="C320" s="28"/>
      <c r="D320" s="28"/>
      <c r="E320" s="28"/>
      <c r="F320" s="28"/>
    </row>
    <row r="321">
      <c r="A321" s="28"/>
      <c r="B321" s="28"/>
      <c r="C321" s="28"/>
      <c r="D321" s="28"/>
      <c r="E321" s="28"/>
      <c r="F321" s="28"/>
    </row>
    <row r="322">
      <c r="A322" s="28"/>
      <c r="B322" s="28"/>
      <c r="C322" s="28"/>
      <c r="D322" s="28"/>
      <c r="E322" s="28"/>
      <c r="F322" s="28"/>
    </row>
    <row r="323">
      <c r="A323" s="28"/>
      <c r="B323" s="28"/>
      <c r="C323" s="28"/>
      <c r="D323" s="28"/>
      <c r="E323" s="28"/>
      <c r="F323" s="28"/>
    </row>
    <row r="324">
      <c r="A324" s="28"/>
      <c r="B324" s="28"/>
      <c r="C324" s="28"/>
      <c r="D324" s="28"/>
      <c r="E324" s="28"/>
      <c r="F324" s="28"/>
    </row>
    <row r="325">
      <c r="A325" s="28"/>
      <c r="B325" s="28"/>
      <c r="C325" s="28"/>
      <c r="D325" s="28"/>
      <c r="E325" s="28"/>
      <c r="F325" s="28"/>
    </row>
    <row r="326">
      <c r="A326" s="28"/>
      <c r="B326" s="28"/>
      <c r="C326" s="28"/>
      <c r="D326" s="28"/>
      <c r="E326" s="28"/>
      <c r="F326" s="28"/>
    </row>
    <row r="327">
      <c r="A327" s="28"/>
      <c r="B327" s="28"/>
      <c r="C327" s="28"/>
      <c r="D327" s="28"/>
      <c r="E327" s="28"/>
      <c r="F327" s="28"/>
    </row>
    <row r="328">
      <c r="A328" s="28"/>
      <c r="B328" s="28"/>
      <c r="C328" s="28"/>
      <c r="D328" s="28"/>
      <c r="E328" s="28"/>
      <c r="F328" s="28"/>
    </row>
    <row r="329">
      <c r="A329" s="28"/>
      <c r="B329" s="28"/>
      <c r="C329" s="28"/>
      <c r="D329" s="28"/>
      <c r="E329" s="28"/>
      <c r="F329" s="28"/>
    </row>
    <row r="330">
      <c r="A330" s="28"/>
      <c r="B330" s="28"/>
      <c r="C330" s="28"/>
      <c r="D330" s="28"/>
      <c r="E330" s="28"/>
      <c r="F330" s="28"/>
    </row>
    <row r="331">
      <c r="A331" s="28"/>
      <c r="B331" s="28"/>
      <c r="C331" s="28"/>
      <c r="D331" s="28"/>
      <c r="E331" s="28"/>
      <c r="F331" s="28"/>
    </row>
    <row r="332">
      <c r="A332" s="28"/>
      <c r="B332" s="28"/>
      <c r="C332" s="28"/>
      <c r="D332" s="28"/>
      <c r="E332" s="28"/>
      <c r="F332" s="28"/>
    </row>
    <row r="333">
      <c r="A333" s="28"/>
      <c r="B333" s="28"/>
      <c r="C333" s="28"/>
      <c r="D333" s="28"/>
      <c r="E333" s="28"/>
      <c r="F333" s="28"/>
    </row>
    <row r="334">
      <c r="A334" s="28"/>
      <c r="B334" s="28"/>
      <c r="C334" s="28"/>
      <c r="D334" s="28"/>
      <c r="E334" s="28"/>
      <c r="F334" s="28"/>
    </row>
    <row r="335">
      <c r="A335" s="28"/>
      <c r="B335" s="28"/>
      <c r="C335" s="28"/>
      <c r="D335" s="28"/>
      <c r="E335" s="28"/>
      <c r="F335" s="28"/>
    </row>
    <row r="336">
      <c r="A336" s="28"/>
      <c r="B336" s="28"/>
      <c r="C336" s="28"/>
      <c r="D336" s="28"/>
      <c r="E336" s="28"/>
      <c r="F336" s="28"/>
    </row>
    <row r="337">
      <c r="A337" s="28"/>
      <c r="B337" s="28"/>
      <c r="C337" s="28"/>
      <c r="D337" s="28"/>
      <c r="E337" s="28"/>
      <c r="F337" s="28"/>
    </row>
    <row r="338">
      <c r="A338" s="28"/>
      <c r="B338" s="28"/>
      <c r="C338" s="28"/>
      <c r="D338" s="28"/>
      <c r="E338" s="28"/>
      <c r="F338" s="28"/>
    </row>
    <row r="339">
      <c r="A339" s="28"/>
      <c r="B339" s="28"/>
      <c r="C339" s="28"/>
      <c r="D339" s="28"/>
      <c r="E339" s="28"/>
      <c r="F339" s="28"/>
    </row>
    <row r="340">
      <c r="A340" s="28"/>
      <c r="B340" s="28"/>
      <c r="C340" s="28"/>
      <c r="D340" s="28"/>
      <c r="E340" s="28"/>
      <c r="F340" s="28"/>
    </row>
    <row r="341">
      <c r="A341" s="28"/>
      <c r="B341" s="28"/>
      <c r="C341" s="28"/>
      <c r="D341" s="28"/>
      <c r="E341" s="28"/>
      <c r="F341" s="28"/>
    </row>
    <row r="342">
      <c r="A342" s="28"/>
      <c r="B342" s="28"/>
      <c r="C342" s="28"/>
      <c r="D342" s="28"/>
      <c r="E342" s="28"/>
      <c r="F342" s="28"/>
    </row>
    <row r="343">
      <c r="A343" s="28"/>
      <c r="B343" s="28"/>
      <c r="C343" s="28"/>
      <c r="D343" s="28"/>
      <c r="E343" s="28"/>
      <c r="F343" s="28"/>
    </row>
    <row r="344">
      <c r="A344" s="28"/>
      <c r="B344" s="28"/>
      <c r="C344" s="28"/>
      <c r="D344" s="28"/>
      <c r="E344" s="28"/>
      <c r="F344" s="28"/>
    </row>
    <row r="345">
      <c r="A345" s="28"/>
      <c r="B345" s="28"/>
      <c r="C345" s="28"/>
      <c r="D345" s="28"/>
      <c r="E345" s="28"/>
      <c r="F345" s="28"/>
    </row>
    <row r="346">
      <c r="A346" s="28"/>
      <c r="B346" s="28"/>
      <c r="C346" s="28"/>
      <c r="D346" s="28"/>
      <c r="E346" s="28"/>
      <c r="F346" s="28"/>
    </row>
    <row r="347">
      <c r="A347" s="28"/>
      <c r="B347" s="28"/>
      <c r="C347" s="28"/>
      <c r="D347" s="28"/>
      <c r="E347" s="28"/>
      <c r="F347" s="28"/>
    </row>
    <row r="348">
      <c r="A348" s="28"/>
      <c r="B348" s="28"/>
      <c r="C348" s="28"/>
      <c r="D348" s="28"/>
      <c r="E348" s="28"/>
      <c r="F348" s="28"/>
    </row>
    <row r="349">
      <c r="A349" s="28"/>
      <c r="B349" s="28"/>
      <c r="C349" s="28"/>
      <c r="D349" s="28"/>
      <c r="E349" s="28"/>
      <c r="F349" s="28"/>
    </row>
    <row r="350">
      <c r="A350" s="28"/>
      <c r="B350" s="28"/>
      <c r="C350" s="28"/>
      <c r="D350" s="28"/>
      <c r="E350" s="28"/>
      <c r="F350" s="28"/>
    </row>
    <row r="351">
      <c r="A351" s="28"/>
      <c r="B351" s="28"/>
      <c r="C351" s="28"/>
      <c r="D351" s="28"/>
      <c r="E351" s="28"/>
      <c r="F351" s="28"/>
    </row>
    <row r="352">
      <c r="A352" s="28"/>
      <c r="B352" s="28"/>
      <c r="C352" s="28"/>
      <c r="D352" s="28"/>
      <c r="E352" s="28"/>
      <c r="F352" s="28"/>
    </row>
    <row r="353">
      <c r="A353" s="28"/>
      <c r="B353" s="28"/>
      <c r="C353" s="28"/>
      <c r="D353" s="28"/>
      <c r="E353" s="28"/>
      <c r="F353" s="28"/>
    </row>
    <row r="354">
      <c r="A354" s="28"/>
      <c r="B354" s="28"/>
      <c r="C354" s="28"/>
      <c r="D354" s="28"/>
      <c r="E354" s="28"/>
      <c r="F354" s="28"/>
    </row>
    <row r="355">
      <c r="A355" s="28"/>
      <c r="B355" s="28"/>
      <c r="C355" s="28"/>
      <c r="D355" s="28"/>
      <c r="E355" s="28"/>
      <c r="F355" s="28"/>
    </row>
    <row r="356">
      <c r="A356" s="28"/>
      <c r="B356" s="28"/>
      <c r="C356" s="28"/>
      <c r="D356" s="28"/>
      <c r="E356" s="28"/>
      <c r="F356" s="28"/>
    </row>
    <row r="357">
      <c r="A357" s="28"/>
      <c r="B357" s="28"/>
      <c r="C357" s="28"/>
      <c r="D357" s="28"/>
      <c r="E357" s="28"/>
      <c r="F357" s="28"/>
    </row>
    <row r="358">
      <c r="A358" s="28"/>
      <c r="B358" s="28"/>
      <c r="C358" s="28"/>
      <c r="D358" s="28"/>
      <c r="E358" s="28"/>
      <c r="F358" s="28"/>
    </row>
    <row r="359">
      <c r="A359" s="28"/>
      <c r="B359" s="28"/>
      <c r="C359" s="28"/>
      <c r="D359" s="28"/>
      <c r="E359" s="28"/>
      <c r="F359" s="28"/>
    </row>
    <row r="360">
      <c r="A360" s="28"/>
      <c r="B360" s="28"/>
      <c r="C360" s="28"/>
      <c r="D360" s="28"/>
      <c r="E360" s="28"/>
      <c r="F360" s="28"/>
    </row>
    <row r="361">
      <c r="A361" s="28"/>
      <c r="B361" s="28"/>
      <c r="C361" s="28"/>
      <c r="D361" s="28"/>
      <c r="E361" s="28"/>
      <c r="F361" s="28"/>
    </row>
    <row r="362">
      <c r="A362" s="28"/>
      <c r="B362" s="28"/>
      <c r="C362" s="28"/>
      <c r="D362" s="28"/>
      <c r="E362" s="28"/>
      <c r="F362" s="28"/>
    </row>
    <row r="363">
      <c r="A363" s="28"/>
      <c r="B363" s="28"/>
      <c r="C363" s="28"/>
      <c r="D363" s="28"/>
      <c r="E363" s="28"/>
      <c r="F363" s="28"/>
    </row>
    <row r="364">
      <c r="A364" s="28"/>
      <c r="B364" s="28"/>
      <c r="C364" s="28"/>
      <c r="D364" s="28"/>
      <c r="E364" s="28"/>
      <c r="F364" s="28"/>
    </row>
    <row r="365">
      <c r="A365" s="28"/>
      <c r="B365" s="28"/>
      <c r="C365" s="28"/>
      <c r="D365" s="28"/>
      <c r="E365" s="28"/>
      <c r="F365" s="28"/>
    </row>
    <row r="366">
      <c r="A366" s="28"/>
      <c r="B366" s="28"/>
      <c r="C366" s="28"/>
      <c r="D366" s="28"/>
      <c r="E366" s="28"/>
      <c r="F366" s="28"/>
    </row>
    <row r="367">
      <c r="A367" s="28"/>
      <c r="B367" s="28"/>
      <c r="C367" s="28"/>
      <c r="D367" s="28"/>
      <c r="E367" s="28"/>
      <c r="F367" s="28"/>
    </row>
    <row r="368">
      <c r="A368" s="28"/>
      <c r="B368" s="28"/>
      <c r="C368" s="28"/>
      <c r="D368" s="28"/>
      <c r="E368" s="28"/>
      <c r="F368" s="28"/>
    </row>
    <row r="369">
      <c r="A369" s="28"/>
      <c r="B369" s="28"/>
      <c r="C369" s="28"/>
      <c r="D369" s="28"/>
      <c r="E369" s="28"/>
      <c r="F369" s="28"/>
    </row>
    <row r="370">
      <c r="A370" s="28"/>
      <c r="B370" s="28"/>
      <c r="C370" s="28"/>
      <c r="D370" s="28"/>
      <c r="E370" s="28"/>
      <c r="F370" s="28"/>
    </row>
    <row r="371">
      <c r="A371" s="28"/>
      <c r="B371" s="28"/>
      <c r="C371" s="28"/>
      <c r="D371" s="28"/>
      <c r="E371" s="28"/>
      <c r="F371" s="28"/>
    </row>
    <row r="372">
      <c r="A372" s="28"/>
      <c r="B372" s="28"/>
      <c r="C372" s="28"/>
      <c r="D372" s="28"/>
      <c r="E372" s="28"/>
      <c r="F372" s="28"/>
    </row>
    <row r="373">
      <c r="A373" s="28"/>
      <c r="B373" s="28"/>
      <c r="C373" s="28"/>
      <c r="D373" s="28"/>
      <c r="E373" s="28"/>
      <c r="F373" s="28"/>
    </row>
    <row r="374">
      <c r="A374" s="28"/>
      <c r="B374" s="28"/>
      <c r="C374" s="28"/>
      <c r="D374" s="28"/>
      <c r="E374" s="28"/>
      <c r="F374" s="28"/>
    </row>
    <row r="375">
      <c r="A375" s="28"/>
      <c r="B375" s="28"/>
      <c r="C375" s="28"/>
      <c r="D375" s="28"/>
      <c r="E375" s="28"/>
      <c r="F375" s="28"/>
    </row>
    <row r="376">
      <c r="A376" s="28"/>
      <c r="B376" s="28"/>
      <c r="C376" s="28"/>
      <c r="D376" s="28"/>
      <c r="E376" s="28"/>
      <c r="F376" s="28"/>
    </row>
    <row r="377">
      <c r="A377" s="28"/>
      <c r="B377" s="28"/>
      <c r="C377" s="28"/>
      <c r="D377" s="28"/>
      <c r="E377" s="28"/>
      <c r="F377" s="28"/>
    </row>
    <row r="378">
      <c r="A378" s="28"/>
      <c r="B378" s="28"/>
      <c r="C378" s="28"/>
      <c r="D378" s="28"/>
      <c r="E378" s="28"/>
      <c r="F378" s="28"/>
    </row>
    <row r="379">
      <c r="A379" s="28"/>
      <c r="B379" s="28"/>
      <c r="C379" s="28"/>
      <c r="D379" s="28"/>
      <c r="E379" s="28"/>
      <c r="F379" s="28"/>
    </row>
    <row r="380">
      <c r="A380" s="28"/>
      <c r="B380" s="28"/>
      <c r="C380" s="28"/>
      <c r="D380" s="28"/>
      <c r="E380" s="28"/>
      <c r="F380" s="28"/>
    </row>
    <row r="381">
      <c r="A381" s="28"/>
      <c r="B381" s="28"/>
      <c r="C381" s="28"/>
      <c r="D381" s="28"/>
      <c r="E381" s="28"/>
      <c r="F381" s="28"/>
    </row>
    <row r="382">
      <c r="A382" s="28"/>
      <c r="B382" s="28"/>
      <c r="C382" s="28"/>
      <c r="D382" s="28"/>
      <c r="E382" s="28"/>
      <c r="F382" s="28"/>
    </row>
    <row r="383">
      <c r="A383" s="28"/>
      <c r="B383" s="28"/>
      <c r="C383" s="28"/>
      <c r="D383" s="28"/>
      <c r="E383" s="28"/>
      <c r="F383" s="28"/>
    </row>
    <row r="384">
      <c r="A384" s="28"/>
      <c r="B384" s="28"/>
      <c r="C384" s="28"/>
      <c r="D384" s="28"/>
      <c r="E384" s="28"/>
      <c r="F384" s="28"/>
    </row>
    <row r="385">
      <c r="A385" s="28"/>
      <c r="B385" s="28"/>
      <c r="C385" s="28"/>
      <c r="D385" s="28"/>
      <c r="E385" s="28"/>
      <c r="F385" s="28"/>
    </row>
    <row r="386">
      <c r="A386" s="28"/>
      <c r="B386" s="28"/>
      <c r="C386" s="28"/>
      <c r="D386" s="28"/>
      <c r="E386" s="28"/>
      <c r="F386" s="28"/>
    </row>
    <row r="387">
      <c r="A387" s="28"/>
      <c r="B387" s="28"/>
      <c r="C387" s="28"/>
      <c r="D387" s="28"/>
      <c r="E387" s="28"/>
      <c r="F387" s="28"/>
    </row>
    <row r="388">
      <c r="A388" s="28"/>
      <c r="B388" s="28"/>
      <c r="C388" s="28"/>
      <c r="D388" s="28"/>
      <c r="E388" s="28"/>
      <c r="F388" s="28"/>
    </row>
    <row r="389">
      <c r="A389" s="28"/>
      <c r="B389" s="28"/>
      <c r="C389" s="28"/>
      <c r="D389" s="28"/>
      <c r="E389" s="28"/>
      <c r="F389" s="28"/>
    </row>
    <row r="390">
      <c r="A390" s="28"/>
      <c r="B390" s="28"/>
      <c r="C390" s="28"/>
      <c r="D390" s="28"/>
      <c r="E390" s="28"/>
      <c r="F390" s="28"/>
    </row>
    <row r="391">
      <c r="A391" s="28"/>
      <c r="B391" s="28"/>
      <c r="C391" s="28"/>
      <c r="D391" s="28"/>
      <c r="E391" s="28"/>
      <c r="F391" s="28"/>
    </row>
    <row r="392">
      <c r="A392" s="28"/>
      <c r="B392" s="28"/>
      <c r="C392" s="28"/>
      <c r="D392" s="28"/>
      <c r="E392" s="28"/>
      <c r="F392" s="28"/>
    </row>
    <row r="393">
      <c r="A393" s="28"/>
      <c r="B393" s="28"/>
      <c r="C393" s="28"/>
      <c r="D393" s="28"/>
      <c r="E393" s="28"/>
      <c r="F393" s="28"/>
    </row>
    <row r="394">
      <c r="A394" s="28"/>
      <c r="B394" s="28"/>
      <c r="C394" s="28"/>
      <c r="D394" s="28"/>
      <c r="E394" s="28"/>
      <c r="F394" s="28"/>
    </row>
    <row r="395">
      <c r="A395" s="28"/>
      <c r="B395" s="28"/>
      <c r="C395" s="28"/>
      <c r="D395" s="28"/>
      <c r="E395" s="28"/>
      <c r="F395" s="28"/>
    </row>
    <row r="396">
      <c r="A396" s="28"/>
      <c r="B396" s="28"/>
      <c r="C396" s="28"/>
      <c r="D396" s="28"/>
      <c r="E396" s="28"/>
      <c r="F396" s="28"/>
    </row>
    <row r="397">
      <c r="A397" s="28"/>
      <c r="B397" s="28"/>
      <c r="C397" s="28"/>
      <c r="D397" s="28"/>
      <c r="E397" s="28"/>
      <c r="F397" s="28"/>
    </row>
    <row r="398">
      <c r="A398" s="28"/>
      <c r="B398" s="28"/>
      <c r="C398" s="28"/>
      <c r="D398" s="28"/>
      <c r="E398" s="28"/>
      <c r="F398" s="28"/>
    </row>
    <row r="399">
      <c r="A399" s="28"/>
      <c r="B399" s="28"/>
      <c r="C399" s="28"/>
      <c r="D399" s="28"/>
      <c r="E399" s="28"/>
      <c r="F399" s="28"/>
    </row>
    <row r="400">
      <c r="A400" s="28"/>
      <c r="B400" s="28"/>
      <c r="C400" s="28"/>
      <c r="D400" s="28"/>
      <c r="E400" s="28"/>
      <c r="F400" s="28"/>
    </row>
    <row r="401">
      <c r="A401" s="28"/>
      <c r="B401" s="28"/>
      <c r="C401" s="28"/>
      <c r="D401" s="28"/>
      <c r="E401" s="28"/>
      <c r="F401" s="28"/>
    </row>
    <row r="402">
      <c r="A402" s="28"/>
      <c r="B402" s="28"/>
      <c r="C402" s="28"/>
      <c r="D402" s="28"/>
      <c r="E402" s="28"/>
      <c r="F402" s="28"/>
    </row>
    <row r="403">
      <c r="A403" s="28"/>
      <c r="B403" s="28"/>
      <c r="C403" s="28"/>
      <c r="D403" s="28"/>
      <c r="E403" s="28"/>
      <c r="F403" s="28"/>
    </row>
    <row r="404">
      <c r="A404" s="28"/>
      <c r="B404" s="28"/>
      <c r="C404" s="28"/>
      <c r="D404" s="28"/>
      <c r="E404" s="28"/>
      <c r="F404" s="28"/>
    </row>
    <row r="405">
      <c r="A405" s="28"/>
      <c r="B405" s="28"/>
      <c r="C405" s="28"/>
      <c r="D405" s="28"/>
      <c r="E405" s="28"/>
      <c r="F405" s="28"/>
    </row>
    <row r="406">
      <c r="A406" s="28"/>
      <c r="B406" s="28"/>
      <c r="C406" s="28"/>
      <c r="D406" s="28"/>
      <c r="E406" s="28"/>
      <c r="F406" s="28"/>
    </row>
    <row r="407">
      <c r="A407" s="28"/>
      <c r="B407" s="28"/>
      <c r="C407" s="28"/>
      <c r="D407" s="28"/>
      <c r="E407" s="28"/>
      <c r="F407" s="28"/>
    </row>
    <row r="408">
      <c r="A408" s="28"/>
      <c r="B408" s="28"/>
      <c r="C408" s="28"/>
      <c r="D408" s="28"/>
      <c r="E408" s="28"/>
      <c r="F408" s="28"/>
    </row>
    <row r="409">
      <c r="A409" s="28"/>
      <c r="B409" s="28"/>
      <c r="C409" s="28"/>
      <c r="D409" s="28"/>
      <c r="E409" s="28"/>
      <c r="F409" s="28"/>
    </row>
    <row r="410">
      <c r="A410" s="28"/>
      <c r="B410" s="28"/>
      <c r="C410" s="28"/>
      <c r="D410" s="28"/>
      <c r="E410" s="28"/>
      <c r="F410" s="28"/>
    </row>
    <row r="411">
      <c r="A411" s="28"/>
      <c r="B411" s="28"/>
      <c r="C411" s="28"/>
      <c r="D411" s="28"/>
      <c r="E411" s="28"/>
      <c r="F411" s="28"/>
    </row>
    <row r="412">
      <c r="A412" s="28"/>
      <c r="B412" s="28"/>
      <c r="C412" s="28"/>
      <c r="D412" s="28"/>
      <c r="E412" s="28"/>
      <c r="F412" s="28"/>
    </row>
    <row r="413">
      <c r="A413" s="28"/>
      <c r="B413" s="28"/>
      <c r="C413" s="28"/>
      <c r="D413" s="28"/>
      <c r="E413" s="28"/>
      <c r="F413" s="28"/>
    </row>
    <row r="414">
      <c r="A414" s="28"/>
      <c r="B414" s="28"/>
      <c r="C414" s="28"/>
      <c r="D414" s="28"/>
      <c r="E414" s="28"/>
      <c r="F414" s="28"/>
    </row>
    <row r="415">
      <c r="A415" s="28"/>
      <c r="B415" s="28"/>
      <c r="C415" s="28"/>
      <c r="D415" s="28"/>
      <c r="E415" s="28"/>
      <c r="F415" s="28"/>
    </row>
    <row r="416">
      <c r="A416" s="28"/>
      <c r="B416" s="28"/>
      <c r="C416" s="28"/>
      <c r="D416" s="28"/>
      <c r="E416" s="28"/>
      <c r="F416" s="28"/>
    </row>
    <row r="417">
      <c r="A417" s="28"/>
      <c r="B417" s="28"/>
      <c r="C417" s="28"/>
      <c r="D417" s="28"/>
      <c r="E417" s="28"/>
      <c r="F417" s="28"/>
    </row>
    <row r="418">
      <c r="A418" s="28"/>
      <c r="B418" s="28"/>
      <c r="C418" s="28"/>
      <c r="D418" s="28"/>
      <c r="E418" s="28"/>
      <c r="F418" s="28"/>
    </row>
    <row r="419">
      <c r="A419" s="28"/>
      <c r="B419" s="28"/>
      <c r="C419" s="28"/>
      <c r="D419" s="28"/>
      <c r="E419" s="28"/>
      <c r="F419" s="28"/>
    </row>
    <row r="420">
      <c r="A420" s="28"/>
      <c r="B420" s="28"/>
      <c r="C420" s="28"/>
      <c r="D420" s="28"/>
      <c r="E420" s="28"/>
      <c r="F420" s="28"/>
    </row>
    <row r="421">
      <c r="A421" s="28"/>
      <c r="B421" s="28"/>
      <c r="C421" s="28"/>
      <c r="D421" s="28"/>
      <c r="E421" s="28"/>
      <c r="F421" s="28"/>
    </row>
    <row r="422">
      <c r="A422" s="28"/>
      <c r="B422" s="28"/>
      <c r="C422" s="28"/>
      <c r="D422" s="28"/>
      <c r="E422" s="28"/>
      <c r="F422" s="28"/>
    </row>
    <row r="423">
      <c r="A423" s="28"/>
      <c r="B423" s="28"/>
      <c r="C423" s="28"/>
      <c r="D423" s="28"/>
      <c r="E423" s="28"/>
      <c r="F423" s="28"/>
    </row>
    <row r="424">
      <c r="A424" s="28"/>
      <c r="B424" s="28"/>
      <c r="C424" s="28"/>
      <c r="D424" s="28"/>
      <c r="E424" s="28"/>
      <c r="F424" s="28"/>
    </row>
    <row r="425">
      <c r="A425" s="28"/>
      <c r="B425" s="28"/>
      <c r="C425" s="28"/>
      <c r="D425" s="28"/>
      <c r="E425" s="28"/>
      <c r="F425" s="28"/>
    </row>
    <row r="426">
      <c r="A426" s="28"/>
      <c r="B426" s="28"/>
      <c r="C426" s="28"/>
      <c r="D426" s="28"/>
      <c r="E426" s="28"/>
      <c r="F426" s="28"/>
    </row>
    <row r="427">
      <c r="A427" s="28"/>
      <c r="B427" s="28"/>
      <c r="C427" s="28"/>
      <c r="D427" s="28"/>
      <c r="E427" s="28"/>
      <c r="F427" s="28"/>
    </row>
    <row r="428">
      <c r="A428" s="28"/>
      <c r="B428" s="28"/>
      <c r="C428" s="28"/>
      <c r="D428" s="28"/>
      <c r="E428" s="28"/>
      <c r="F428" s="28"/>
    </row>
    <row r="429">
      <c r="A429" s="28"/>
      <c r="B429" s="28"/>
      <c r="C429" s="28"/>
      <c r="D429" s="28"/>
      <c r="E429" s="28"/>
      <c r="F429" s="28"/>
    </row>
    <row r="430">
      <c r="A430" s="28"/>
      <c r="B430" s="28"/>
      <c r="C430" s="28"/>
      <c r="D430" s="28"/>
      <c r="E430" s="28"/>
      <c r="F430" s="28"/>
    </row>
    <row r="431">
      <c r="A431" s="28"/>
      <c r="B431" s="28"/>
      <c r="C431" s="28"/>
      <c r="D431" s="28"/>
      <c r="E431" s="28"/>
      <c r="F431" s="28"/>
    </row>
    <row r="432">
      <c r="A432" s="28"/>
      <c r="B432" s="28"/>
      <c r="C432" s="28"/>
      <c r="D432" s="28"/>
      <c r="E432" s="28"/>
      <c r="F432" s="28"/>
    </row>
    <row r="433">
      <c r="A433" s="28"/>
      <c r="B433" s="28"/>
      <c r="C433" s="28"/>
      <c r="D433" s="28"/>
      <c r="E433" s="28"/>
      <c r="F433" s="28"/>
    </row>
    <row r="434">
      <c r="A434" s="28"/>
      <c r="B434" s="28"/>
      <c r="C434" s="28"/>
      <c r="D434" s="28"/>
      <c r="E434" s="28"/>
      <c r="F434" s="28"/>
    </row>
    <row r="435">
      <c r="A435" s="28"/>
      <c r="B435" s="28"/>
      <c r="C435" s="28"/>
      <c r="D435" s="28"/>
      <c r="E435" s="28"/>
      <c r="F435" s="28"/>
    </row>
    <row r="436">
      <c r="A436" s="28"/>
      <c r="B436" s="28"/>
      <c r="C436" s="28"/>
      <c r="D436" s="28"/>
      <c r="E436" s="28"/>
      <c r="F436" s="28"/>
    </row>
    <row r="437">
      <c r="A437" s="28"/>
      <c r="B437" s="28"/>
      <c r="C437" s="28"/>
      <c r="D437" s="28"/>
      <c r="E437" s="28"/>
      <c r="F437" s="28"/>
    </row>
    <row r="438">
      <c r="A438" s="28"/>
      <c r="B438" s="28"/>
      <c r="C438" s="28"/>
      <c r="D438" s="28"/>
      <c r="E438" s="28"/>
      <c r="F438" s="28"/>
    </row>
    <row r="439">
      <c r="A439" s="28"/>
      <c r="B439" s="28"/>
      <c r="C439" s="28"/>
      <c r="D439" s="28"/>
      <c r="E439" s="28"/>
      <c r="F439" s="28"/>
    </row>
    <row r="440">
      <c r="A440" s="28"/>
      <c r="B440" s="28"/>
      <c r="C440" s="28"/>
      <c r="D440" s="28"/>
      <c r="E440" s="28"/>
      <c r="F440" s="28"/>
    </row>
    <row r="441">
      <c r="A441" s="28"/>
      <c r="B441" s="28"/>
      <c r="C441" s="28"/>
      <c r="D441" s="28"/>
      <c r="E441" s="28"/>
      <c r="F441" s="28"/>
    </row>
    <row r="442">
      <c r="A442" s="28"/>
      <c r="B442" s="28"/>
      <c r="C442" s="28"/>
      <c r="D442" s="28"/>
      <c r="E442" s="28"/>
      <c r="F442" s="28"/>
    </row>
    <row r="443">
      <c r="A443" s="28"/>
      <c r="B443" s="28"/>
      <c r="C443" s="28"/>
      <c r="D443" s="28"/>
      <c r="E443" s="28"/>
      <c r="F443" s="28"/>
    </row>
    <row r="444">
      <c r="A444" s="28"/>
      <c r="B444" s="28"/>
      <c r="C444" s="28"/>
      <c r="D444" s="28"/>
      <c r="E444" s="28"/>
      <c r="F444" s="28"/>
    </row>
    <row r="445">
      <c r="A445" s="28"/>
      <c r="B445" s="28"/>
      <c r="C445" s="28"/>
      <c r="D445" s="28"/>
      <c r="E445" s="28"/>
      <c r="F445" s="28"/>
    </row>
    <row r="446">
      <c r="A446" s="28"/>
      <c r="B446" s="28"/>
      <c r="C446" s="28"/>
      <c r="D446" s="28"/>
      <c r="E446" s="28"/>
      <c r="F446" s="28"/>
    </row>
    <row r="447">
      <c r="A447" s="28"/>
      <c r="B447" s="28"/>
      <c r="C447" s="28"/>
      <c r="D447" s="28"/>
      <c r="E447" s="28"/>
      <c r="F447" s="28"/>
    </row>
    <row r="448">
      <c r="A448" s="28"/>
      <c r="B448" s="28"/>
      <c r="C448" s="28"/>
      <c r="D448" s="28"/>
      <c r="E448" s="28"/>
      <c r="F448" s="28"/>
    </row>
    <row r="449">
      <c r="A449" s="28"/>
      <c r="B449" s="28"/>
      <c r="C449" s="28"/>
      <c r="D449" s="28"/>
      <c r="E449" s="28"/>
      <c r="F449" s="28"/>
    </row>
    <row r="450">
      <c r="A450" s="28"/>
      <c r="B450" s="28"/>
      <c r="C450" s="28"/>
      <c r="D450" s="28"/>
      <c r="E450" s="28"/>
      <c r="F450" s="28"/>
    </row>
    <row r="451">
      <c r="A451" s="28"/>
      <c r="B451" s="28"/>
      <c r="C451" s="28"/>
      <c r="D451" s="28"/>
      <c r="E451" s="28"/>
      <c r="F451" s="28"/>
    </row>
    <row r="452">
      <c r="A452" s="28"/>
      <c r="B452" s="28"/>
      <c r="C452" s="28"/>
      <c r="D452" s="28"/>
      <c r="E452" s="28"/>
      <c r="F452" s="28"/>
    </row>
    <row r="453">
      <c r="A453" s="28"/>
      <c r="B453" s="28"/>
      <c r="C453" s="28"/>
      <c r="D453" s="28"/>
      <c r="E453" s="28"/>
      <c r="F453" s="28"/>
    </row>
    <row r="454">
      <c r="A454" s="28"/>
      <c r="B454" s="28"/>
      <c r="C454" s="28"/>
      <c r="D454" s="28"/>
      <c r="E454" s="28"/>
      <c r="F454" s="28"/>
    </row>
    <row r="455">
      <c r="A455" s="28"/>
      <c r="B455" s="28"/>
      <c r="C455" s="28"/>
      <c r="D455" s="28"/>
      <c r="E455" s="28"/>
      <c r="F455" s="28"/>
    </row>
    <row r="456">
      <c r="A456" s="28"/>
      <c r="B456" s="28"/>
      <c r="C456" s="28"/>
      <c r="D456" s="28"/>
      <c r="E456" s="28"/>
      <c r="F456" s="28"/>
    </row>
    <row r="457">
      <c r="A457" s="28"/>
      <c r="B457" s="28"/>
      <c r="C457" s="28"/>
      <c r="D457" s="28"/>
      <c r="E457" s="28"/>
      <c r="F457" s="28"/>
    </row>
    <row r="458">
      <c r="A458" s="28"/>
      <c r="B458" s="28"/>
      <c r="C458" s="28"/>
      <c r="D458" s="28"/>
      <c r="E458" s="28"/>
      <c r="F458" s="28"/>
    </row>
    <row r="459">
      <c r="A459" s="28"/>
      <c r="B459" s="28"/>
      <c r="C459" s="28"/>
      <c r="D459" s="28"/>
      <c r="E459" s="28"/>
      <c r="F459" s="28"/>
    </row>
    <row r="460">
      <c r="A460" s="28"/>
      <c r="B460" s="28"/>
      <c r="C460" s="28"/>
      <c r="D460" s="28"/>
      <c r="E460" s="28"/>
      <c r="F460" s="28"/>
    </row>
    <row r="461">
      <c r="A461" s="28"/>
      <c r="B461" s="28"/>
      <c r="C461" s="28"/>
      <c r="D461" s="28"/>
      <c r="E461" s="28"/>
      <c r="F461" s="28"/>
    </row>
    <row r="462">
      <c r="A462" s="28"/>
      <c r="B462" s="28"/>
      <c r="C462" s="28"/>
      <c r="D462" s="28"/>
      <c r="E462" s="28"/>
      <c r="F462" s="28"/>
    </row>
    <row r="463">
      <c r="A463" s="28"/>
      <c r="B463" s="28"/>
      <c r="C463" s="28"/>
      <c r="D463" s="28"/>
      <c r="E463" s="28"/>
      <c r="F463" s="28"/>
    </row>
    <row r="464">
      <c r="A464" s="28"/>
      <c r="B464" s="28"/>
      <c r="C464" s="28"/>
      <c r="D464" s="28"/>
      <c r="E464" s="28"/>
      <c r="F464" s="28"/>
    </row>
    <row r="465">
      <c r="A465" s="28"/>
      <c r="B465" s="28"/>
      <c r="C465" s="28"/>
      <c r="D465" s="28"/>
      <c r="E465" s="28"/>
      <c r="F465" s="28"/>
    </row>
    <row r="466">
      <c r="A466" s="28"/>
      <c r="B466" s="28"/>
      <c r="C466" s="28"/>
      <c r="D466" s="28"/>
      <c r="E466" s="28"/>
      <c r="F466" s="28"/>
    </row>
    <row r="467">
      <c r="A467" s="28"/>
      <c r="B467" s="28"/>
      <c r="C467" s="28"/>
      <c r="D467" s="28"/>
      <c r="E467" s="28"/>
      <c r="F467" s="28"/>
    </row>
    <row r="468">
      <c r="A468" s="28"/>
      <c r="B468" s="28"/>
      <c r="C468" s="28"/>
      <c r="D468" s="28"/>
      <c r="E468" s="28"/>
      <c r="F468" s="28"/>
    </row>
    <row r="469">
      <c r="A469" s="28"/>
      <c r="B469" s="28"/>
      <c r="C469" s="28"/>
      <c r="D469" s="28"/>
      <c r="E469" s="28"/>
      <c r="F469" s="28"/>
    </row>
    <row r="470">
      <c r="A470" s="28"/>
      <c r="B470" s="28"/>
      <c r="C470" s="28"/>
      <c r="D470" s="28"/>
      <c r="E470" s="28"/>
      <c r="F470" s="28"/>
    </row>
    <row r="471">
      <c r="A471" s="28"/>
      <c r="B471" s="28"/>
      <c r="C471" s="28"/>
      <c r="D471" s="28"/>
      <c r="E471" s="28"/>
      <c r="F471" s="28"/>
    </row>
    <row r="472">
      <c r="A472" s="28"/>
      <c r="B472" s="28"/>
      <c r="C472" s="28"/>
      <c r="D472" s="28"/>
      <c r="E472" s="28"/>
      <c r="F472" s="28"/>
    </row>
    <row r="473">
      <c r="A473" s="28"/>
      <c r="B473" s="28"/>
      <c r="C473" s="28"/>
      <c r="D473" s="28"/>
      <c r="E473" s="28"/>
      <c r="F473" s="28"/>
    </row>
    <row r="474">
      <c r="A474" s="28"/>
      <c r="B474" s="28"/>
      <c r="C474" s="28"/>
      <c r="D474" s="28"/>
      <c r="E474" s="28"/>
      <c r="F474" s="28"/>
    </row>
    <row r="475">
      <c r="A475" s="28"/>
      <c r="B475" s="28"/>
      <c r="C475" s="28"/>
      <c r="D475" s="28"/>
      <c r="E475" s="28"/>
      <c r="F475" s="28"/>
    </row>
    <row r="476">
      <c r="A476" s="28"/>
      <c r="B476" s="28"/>
      <c r="C476" s="28"/>
      <c r="D476" s="28"/>
      <c r="E476" s="28"/>
      <c r="F476" s="28"/>
    </row>
    <row r="477">
      <c r="A477" s="28"/>
      <c r="B477" s="28"/>
      <c r="C477" s="28"/>
      <c r="D477" s="28"/>
      <c r="E477" s="28"/>
      <c r="F477" s="28"/>
    </row>
    <row r="478">
      <c r="A478" s="28"/>
      <c r="B478" s="28"/>
      <c r="C478" s="28"/>
      <c r="D478" s="28"/>
      <c r="E478" s="28"/>
      <c r="F478" s="28"/>
    </row>
    <row r="479">
      <c r="A479" s="28"/>
      <c r="B479" s="28"/>
      <c r="C479" s="28"/>
      <c r="D479" s="28"/>
      <c r="E479" s="28"/>
      <c r="F479" s="28"/>
    </row>
    <row r="480">
      <c r="A480" s="28"/>
      <c r="B480" s="28"/>
      <c r="C480" s="28"/>
      <c r="D480" s="28"/>
      <c r="E480" s="28"/>
      <c r="F480" s="28"/>
    </row>
    <row r="481">
      <c r="A481" s="28"/>
      <c r="B481" s="28"/>
      <c r="C481" s="28"/>
      <c r="D481" s="28"/>
      <c r="E481" s="28"/>
      <c r="F481" s="28"/>
    </row>
    <row r="482">
      <c r="A482" s="28"/>
      <c r="B482" s="28"/>
      <c r="C482" s="28"/>
      <c r="D482" s="28"/>
      <c r="E482" s="28"/>
      <c r="F482" s="28"/>
    </row>
    <row r="483">
      <c r="A483" s="28"/>
      <c r="B483" s="28"/>
      <c r="C483" s="28"/>
      <c r="D483" s="28"/>
      <c r="E483" s="28"/>
      <c r="F483" s="28"/>
    </row>
    <row r="484">
      <c r="A484" s="28"/>
      <c r="B484" s="28"/>
      <c r="C484" s="28"/>
      <c r="D484" s="28"/>
      <c r="E484" s="28"/>
      <c r="F484" s="28"/>
    </row>
    <row r="485">
      <c r="A485" s="28"/>
      <c r="B485" s="28"/>
      <c r="C485" s="28"/>
      <c r="D485" s="28"/>
      <c r="E485" s="28"/>
      <c r="F485" s="28"/>
    </row>
    <row r="486">
      <c r="A486" s="28"/>
      <c r="B486" s="28"/>
      <c r="C486" s="28"/>
      <c r="D486" s="28"/>
      <c r="E486" s="28"/>
      <c r="F486" s="28"/>
    </row>
    <row r="487">
      <c r="A487" s="28"/>
      <c r="B487" s="28"/>
      <c r="C487" s="28"/>
      <c r="D487" s="28"/>
      <c r="E487" s="28"/>
      <c r="F487" s="28"/>
    </row>
    <row r="488">
      <c r="A488" s="28"/>
      <c r="B488" s="28"/>
      <c r="C488" s="28"/>
      <c r="D488" s="28"/>
      <c r="E488" s="28"/>
      <c r="F488" s="28"/>
    </row>
    <row r="489">
      <c r="A489" s="28"/>
      <c r="B489" s="28"/>
      <c r="C489" s="28"/>
      <c r="D489" s="28"/>
      <c r="E489" s="28"/>
      <c r="F489" s="28"/>
    </row>
    <row r="490">
      <c r="A490" s="28"/>
      <c r="B490" s="28"/>
      <c r="C490" s="28"/>
      <c r="D490" s="28"/>
      <c r="E490" s="28"/>
      <c r="F490" s="28"/>
    </row>
    <row r="491">
      <c r="A491" s="28"/>
      <c r="B491" s="28"/>
      <c r="C491" s="28"/>
      <c r="D491" s="28"/>
      <c r="E491" s="28"/>
      <c r="F491" s="28"/>
    </row>
    <row r="492">
      <c r="A492" s="28"/>
      <c r="B492" s="28"/>
      <c r="C492" s="28"/>
      <c r="D492" s="28"/>
      <c r="E492" s="28"/>
      <c r="F492" s="28"/>
    </row>
    <row r="493">
      <c r="A493" s="28"/>
      <c r="B493" s="28"/>
      <c r="C493" s="28"/>
      <c r="D493" s="28"/>
      <c r="E493" s="28"/>
      <c r="F493" s="28"/>
    </row>
    <row r="494">
      <c r="A494" s="28"/>
      <c r="B494" s="28"/>
      <c r="C494" s="28"/>
      <c r="D494" s="28"/>
      <c r="E494" s="28"/>
      <c r="F494" s="28"/>
    </row>
    <row r="495">
      <c r="A495" s="28"/>
      <c r="B495" s="28"/>
      <c r="C495" s="28"/>
      <c r="D495" s="28"/>
      <c r="E495" s="28"/>
      <c r="F495" s="28"/>
    </row>
    <row r="496">
      <c r="A496" s="28"/>
      <c r="B496" s="28"/>
      <c r="C496" s="28"/>
      <c r="D496" s="28"/>
      <c r="E496" s="28"/>
      <c r="F496" s="28"/>
    </row>
    <row r="497">
      <c r="A497" s="28"/>
      <c r="B497" s="28"/>
      <c r="C497" s="28"/>
      <c r="D497" s="28"/>
      <c r="E497" s="28"/>
      <c r="F497" s="28"/>
    </row>
    <row r="498">
      <c r="A498" s="28"/>
      <c r="B498" s="28"/>
      <c r="C498" s="28"/>
      <c r="D498" s="28"/>
      <c r="E498" s="28"/>
      <c r="F498" s="28"/>
    </row>
    <row r="499">
      <c r="A499" s="28"/>
      <c r="B499" s="28"/>
      <c r="C499" s="28"/>
      <c r="D499" s="28"/>
      <c r="E499" s="28"/>
      <c r="F499" s="28"/>
    </row>
    <row r="500">
      <c r="A500" s="28"/>
      <c r="B500" s="28"/>
      <c r="C500" s="28"/>
      <c r="D500" s="28"/>
      <c r="E500" s="28"/>
      <c r="F500" s="28"/>
    </row>
    <row r="501">
      <c r="A501" s="28"/>
      <c r="B501" s="28"/>
      <c r="C501" s="28"/>
      <c r="D501" s="28"/>
      <c r="E501" s="28"/>
      <c r="F501" s="28"/>
    </row>
    <row r="502">
      <c r="A502" s="28"/>
      <c r="B502" s="28"/>
      <c r="C502" s="28"/>
      <c r="D502" s="28"/>
      <c r="E502" s="28"/>
      <c r="F502" s="28"/>
    </row>
    <row r="503">
      <c r="A503" s="28"/>
      <c r="B503" s="28"/>
      <c r="C503" s="28"/>
      <c r="D503" s="28"/>
      <c r="E503" s="28"/>
      <c r="F503" s="28"/>
    </row>
    <row r="504">
      <c r="A504" s="28"/>
      <c r="B504" s="28"/>
      <c r="C504" s="28"/>
      <c r="D504" s="28"/>
      <c r="E504" s="28"/>
      <c r="F504" s="28"/>
    </row>
    <row r="505">
      <c r="A505" s="28"/>
      <c r="B505" s="28"/>
      <c r="C505" s="28"/>
      <c r="D505" s="28"/>
      <c r="E505" s="28"/>
      <c r="F505" s="28"/>
    </row>
    <row r="506">
      <c r="A506" s="28"/>
      <c r="B506" s="28"/>
      <c r="C506" s="28"/>
      <c r="D506" s="28"/>
      <c r="E506" s="28"/>
      <c r="F506" s="28"/>
    </row>
    <row r="507">
      <c r="A507" s="28"/>
      <c r="B507" s="28"/>
      <c r="C507" s="28"/>
      <c r="D507" s="28"/>
      <c r="E507" s="28"/>
      <c r="F507" s="28"/>
    </row>
    <row r="508">
      <c r="A508" s="28"/>
      <c r="B508" s="28"/>
      <c r="C508" s="28"/>
      <c r="D508" s="28"/>
      <c r="E508" s="28"/>
      <c r="F508" s="28"/>
    </row>
    <row r="509">
      <c r="A509" s="28"/>
      <c r="B509" s="28"/>
      <c r="C509" s="28"/>
      <c r="D509" s="28"/>
      <c r="E509" s="28"/>
      <c r="F509" s="28"/>
    </row>
    <row r="510">
      <c r="A510" s="28"/>
      <c r="B510" s="28"/>
      <c r="C510" s="28"/>
      <c r="D510" s="28"/>
      <c r="E510" s="28"/>
      <c r="F510" s="28"/>
    </row>
    <row r="511">
      <c r="A511" s="28"/>
      <c r="B511" s="28"/>
      <c r="C511" s="28"/>
      <c r="D511" s="28"/>
      <c r="E511" s="28"/>
      <c r="F511" s="28"/>
    </row>
    <row r="512">
      <c r="A512" s="28"/>
      <c r="B512" s="28"/>
      <c r="C512" s="28"/>
      <c r="D512" s="28"/>
      <c r="E512" s="28"/>
      <c r="F512" s="28"/>
    </row>
    <row r="513">
      <c r="A513" s="28"/>
      <c r="B513" s="28"/>
      <c r="C513" s="28"/>
      <c r="D513" s="28"/>
      <c r="E513" s="28"/>
      <c r="F513" s="28"/>
    </row>
    <row r="514">
      <c r="A514" s="28"/>
      <c r="B514" s="28"/>
      <c r="C514" s="28"/>
      <c r="D514" s="28"/>
      <c r="E514" s="28"/>
      <c r="F514" s="28"/>
    </row>
    <row r="515">
      <c r="A515" s="28"/>
      <c r="B515" s="28"/>
      <c r="C515" s="28"/>
      <c r="D515" s="28"/>
      <c r="E515" s="28"/>
      <c r="F515" s="28"/>
    </row>
    <row r="516">
      <c r="A516" s="28"/>
      <c r="B516" s="28"/>
      <c r="C516" s="28"/>
      <c r="D516" s="28"/>
      <c r="E516" s="28"/>
      <c r="F516" s="28"/>
    </row>
    <row r="517">
      <c r="A517" s="28"/>
      <c r="B517" s="28"/>
      <c r="C517" s="28"/>
      <c r="D517" s="28"/>
      <c r="E517" s="28"/>
      <c r="F517" s="28"/>
    </row>
    <row r="518">
      <c r="A518" s="28"/>
      <c r="B518" s="28"/>
      <c r="C518" s="28"/>
      <c r="D518" s="28"/>
      <c r="E518" s="28"/>
      <c r="F518" s="28"/>
    </row>
    <row r="519">
      <c r="A519" s="28"/>
      <c r="B519" s="28"/>
      <c r="C519" s="28"/>
      <c r="D519" s="28"/>
      <c r="E519" s="28"/>
      <c r="F519" s="28"/>
    </row>
    <row r="520">
      <c r="A520" s="28"/>
      <c r="B520" s="28"/>
      <c r="C520" s="28"/>
      <c r="D520" s="28"/>
      <c r="E520" s="28"/>
      <c r="F520" s="28"/>
    </row>
    <row r="521">
      <c r="A521" s="28"/>
      <c r="B521" s="28"/>
      <c r="C521" s="28"/>
      <c r="D521" s="28"/>
      <c r="E521" s="28"/>
      <c r="F521" s="28"/>
    </row>
    <row r="522">
      <c r="A522" s="28"/>
      <c r="B522" s="28"/>
      <c r="C522" s="28"/>
      <c r="D522" s="28"/>
      <c r="E522" s="28"/>
      <c r="F522" s="28"/>
    </row>
    <row r="523">
      <c r="A523" s="28"/>
      <c r="B523" s="28"/>
      <c r="C523" s="28"/>
      <c r="D523" s="28"/>
      <c r="E523" s="28"/>
      <c r="F523" s="28"/>
    </row>
    <row r="524">
      <c r="A524" s="28"/>
      <c r="B524" s="28"/>
      <c r="C524" s="28"/>
      <c r="D524" s="28"/>
      <c r="E524" s="28"/>
      <c r="F524" s="28"/>
    </row>
    <row r="525">
      <c r="A525" s="28"/>
      <c r="B525" s="28"/>
      <c r="C525" s="28"/>
      <c r="D525" s="28"/>
      <c r="E525" s="28"/>
      <c r="F525" s="28"/>
    </row>
    <row r="526">
      <c r="A526" s="28"/>
      <c r="B526" s="28"/>
      <c r="C526" s="28"/>
      <c r="D526" s="28"/>
      <c r="E526" s="28"/>
      <c r="F526" s="28"/>
    </row>
    <row r="527">
      <c r="A527" s="28"/>
      <c r="B527" s="28"/>
      <c r="C527" s="28"/>
      <c r="D527" s="28"/>
      <c r="E527" s="28"/>
      <c r="F527" s="28"/>
    </row>
    <row r="528">
      <c r="A528" s="28"/>
      <c r="B528" s="28"/>
      <c r="C528" s="28"/>
      <c r="D528" s="28"/>
      <c r="E528" s="28"/>
      <c r="F528" s="28"/>
    </row>
    <row r="529">
      <c r="A529" s="28"/>
      <c r="B529" s="28"/>
      <c r="C529" s="28"/>
      <c r="D529" s="28"/>
      <c r="E529" s="28"/>
      <c r="F529" s="28"/>
    </row>
    <row r="530">
      <c r="A530" s="28"/>
      <c r="B530" s="28"/>
      <c r="C530" s="28"/>
      <c r="D530" s="28"/>
      <c r="E530" s="28"/>
      <c r="F530" s="28"/>
    </row>
    <row r="531">
      <c r="A531" s="28"/>
      <c r="B531" s="28"/>
      <c r="C531" s="28"/>
      <c r="D531" s="28"/>
      <c r="E531" s="28"/>
      <c r="F531" s="28"/>
    </row>
    <row r="532">
      <c r="A532" s="28"/>
      <c r="B532" s="28"/>
      <c r="C532" s="28"/>
      <c r="D532" s="28"/>
      <c r="E532" s="28"/>
      <c r="F532" s="28"/>
    </row>
    <row r="533">
      <c r="A533" s="28"/>
      <c r="B533" s="28"/>
      <c r="C533" s="28"/>
      <c r="D533" s="28"/>
      <c r="E533" s="28"/>
      <c r="F533" s="28"/>
    </row>
    <row r="534">
      <c r="A534" s="28"/>
      <c r="B534" s="28"/>
      <c r="C534" s="28"/>
      <c r="D534" s="28"/>
      <c r="E534" s="28"/>
      <c r="F534" s="28"/>
    </row>
    <row r="535">
      <c r="A535" s="28"/>
      <c r="B535" s="28"/>
      <c r="C535" s="28"/>
      <c r="D535" s="28"/>
      <c r="E535" s="28"/>
      <c r="F535" s="28"/>
    </row>
    <row r="536">
      <c r="A536" s="28"/>
      <c r="B536" s="28"/>
      <c r="C536" s="28"/>
      <c r="D536" s="28"/>
      <c r="E536" s="28"/>
      <c r="F536" s="28"/>
    </row>
    <row r="537">
      <c r="A537" s="28"/>
      <c r="B537" s="28"/>
      <c r="C537" s="28"/>
      <c r="D537" s="28"/>
      <c r="E537" s="28"/>
      <c r="F537" s="28"/>
    </row>
    <row r="538">
      <c r="A538" s="28"/>
      <c r="B538" s="28"/>
      <c r="C538" s="28"/>
      <c r="D538" s="28"/>
      <c r="E538" s="28"/>
      <c r="F538" s="28"/>
    </row>
    <row r="539">
      <c r="A539" s="28"/>
      <c r="B539" s="28"/>
      <c r="C539" s="28"/>
      <c r="D539" s="28"/>
      <c r="E539" s="28"/>
      <c r="F539" s="28"/>
    </row>
    <row r="540">
      <c r="A540" s="28"/>
      <c r="B540" s="28"/>
      <c r="C540" s="28"/>
      <c r="D540" s="28"/>
      <c r="E540" s="28"/>
      <c r="F540" s="28"/>
    </row>
    <row r="541">
      <c r="A541" s="28"/>
      <c r="B541" s="28"/>
      <c r="C541" s="28"/>
      <c r="D541" s="28"/>
      <c r="E541" s="28"/>
      <c r="F541" s="28"/>
    </row>
    <row r="542">
      <c r="A542" s="28"/>
      <c r="B542" s="28"/>
      <c r="C542" s="28"/>
      <c r="D542" s="28"/>
      <c r="E542" s="28"/>
      <c r="F542" s="28"/>
    </row>
    <row r="543">
      <c r="A543" s="28"/>
      <c r="B543" s="28"/>
      <c r="C543" s="28"/>
      <c r="D543" s="28"/>
      <c r="E543" s="28"/>
      <c r="F543" s="28"/>
    </row>
    <row r="544">
      <c r="A544" s="28"/>
      <c r="B544" s="28"/>
      <c r="C544" s="28"/>
      <c r="D544" s="28"/>
      <c r="E544" s="28"/>
      <c r="F544" s="28"/>
    </row>
    <row r="545">
      <c r="A545" s="28"/>
      <c r="B545" s="28"/>
      <c r="C545" s="28"/>
      <c r="D545" s="28"/>
      <c r="E545" s="28"/>
      <c r="F545" s="28"/>
    </row>
    <row r="546">
      <c r="A546" s="28"/>
      <c r="B546" s="28"/>
      <c r="C546" s="28"/>
      <c r="D546" s="28"/>
      <c r="E546" s="28"/>
      <c r="F546" s="28"/>
    </row>
    <row r="547">
      <c r="A547" s="28"/>
      <c r="B547" s="28"/>
      <c r="C547" s="28"/>
      <c r="D547" s="28"/>
      <c r="E547" s="28"/>
      <c r="F547" s="28"/>
    </row>
    <row r="548">
      <c r="A548" s="28"/>
      <c r="B548" s="28"/>
      <c r="C548" s="28"/>
      <c r="D548" s="28"/>
      <c r="E548" s="28"/>
      <c r="F548" s="28"/>
    </row>
    <row r="549">
      <c r="A549" s="28"/>
      <c r="B549" s="28"/>
      <c r="C549" s="28"/>
      <c r="D549" s="28"/>
      <c r="E549" s="28"/>
      <c r="F549" s="28"/>
    </row>
    <row r="550">
      <c r="A550" s="28"/>
      <c r="B550" s="28"/>
      <c r="C550" s="28"/>
      <c r="D550" s="28"/>
      <c r="E550" s="28"/>
      <c r="F550" s="28"/>
    </row>
    <row r="551">
      <c r="A551" s="28"/>
      <c r="B551" s="28"/>
      <c r="C551" s="28"/>
      <c r="D551" s="28"/>
      <c r="E551" s="28"/>
      <c r="F551" s="28"/>
    </row>
    <row r="552">
      <c r="A552" s="28"/>
      <c r="B552" s="28"/>
      <c r="C552" s="28"/>
      <c r="D552" s="28"/>
      <c r="E552" s="28"/>
      <c r="F552" s="28"/>
    </row>
    <row r="553">
      <c r="A553" s="28"/>
      <c r="B553" s="28"/>
      <c r="C553" s="28"/>
      <c r="D553" s="28"/>
      <c r="E553" s="28"/>
      <c r="F553" s="28"/>
    </row>
    <row r="554">
      <c r="A554" s="28"/>
      <c r="B554" s="28"/>
      <c r="C554" s="28"/>
      <c r="D554" s="28"/>
      <c r="E554" s="28"/>
      <c r="F554" s="28"/>
    </row>
    <row r="555">
      <c r="A555" s="28"/>
      <c r="B555" s="28"/>
      <c r="C555" s="28"/>
      <c r="D555" s="28"/>
      <c r="E555" s="28"/>
      <c r="F555" s="28"/>
    </row>
    <row r="556">
      <c r="A556" s="28"/>
      <c r="B556" s="28"/>
      <c r="C556" s="28"/>
      <c r="D556" s="28"/>
      <c r="E556" s="28"/>
      <c r="F556" s="28"/>
    </row>
    <row r="557">
      <c r="A557" s="28"/>
      <c r="B557" s="28"/>
      <c r="C557" s="28"/>
      <c r="D557" s="28"/>
      <c r="E557" s="28"/>
      <c r="F557" s="28"/>
    </row>
    <row r="558">
      <c r="A558" s="28"/>
      <c r="B558" s="28"/>
      <c r="C558" s="28"/>
      <c r="D558" s="28"/>
      <c r="E558" s="28"/>
      <c r="F558" s="28"/>
    </row>
    <row r="559">
      <c r="A559" s="28"/>
      <c r="B559" s="28"/>
      <c r="C559" s="28"/>
      <c r="D559" s="28"/>
      <c r="E559" s="28"/>
      <c r="F559" s="28"/>
    </row>
    <row r="560">
      <c r="A560" s="28"/>
      <c r="B560" s="28"/>
      <c r="C560" s="28"/>
      <c r="D560" s="28"/>
      <c r="E560" s="28"/>
      <c r="F560" s="28"/>
    </row>
    <row r="561">
      <c r="A561" s="28"/>
      <c r="B561" s="28"/>
      <c r="C561" s="28"/>
      <c r="D561" s="28"/>
      <c r="E561" s="28"/>
      <c r="F561" s="28"/>
    </row>
    <row r="562">
      <c r="A562" s="28"/>
      <c r="B562" s="28"/>
      <c r="C562" s="28"/>
      <c r="D562" s="28"/>
      <c r="E562" s="28"/>
      <c r="F562" s="28"/>
    </row>
    <row r="563">
      <c r="A563" s="28"/>
      <c r="B563" s="28"/>
      <c r="C563" s="28"/>
      <c r="D563" s="28"/>
      <c r="E563" s="28"/>
      <c r="F563" s="28"/>
    </row>
    <row r="564">
      <c r="A564" s="28"/>
      <c r="B564" s="28"/>
      <c r="C564" s="28"/>
      <c r="D564" s="28"/>
      <c r="E564" s="28"/>
      <c r="F564" s="28"/>
    </row>
    <row r="565">
      <c r="A565" s="28"/>
      <c r="B565" s="28"/>
      <c r="C565" s="28"/>
      <c r="D565" s="28"/>
      <c r="E565" s="28"/>
      <c r="F565" s="28"/>
    </row>
    <row r="566">
      <c r="A566" s="28"/>
      <c r="B566" s="28"/>
      <c r="C566" s="28"/>
      <c r="D566" s="28"/>
      <c r="E566" s="28"/>
      <c r="F566" s="28"/>
    </row>
    <row r="567">
      <c r="A567" s="28"/>
      <c r="B567" s="28"/>
      <c r="C567" s="28"/>
      <c r="D567" s="28"/>
      <c r="E567" s="28"/>
      <c r="F567" s="28"/>
    </row>
    <row r="568">
      <c r="A568" s="28"/>
      <c r="B568" s="28"/>
      <c r="C568" s="28"/>
      <c r="D568" s="28"/>
      <c r="E568" s="28"/>
      <c r="F568" s="28"/>
    </row>
    <row r="569">
      <c r="A569" s="28"/>
      <c r="B569" s="28"/>
      <c r="C569" s="28"/>
      <c r="D569" s="28"/>
      <c r="E569" s="28"/>
      <c r="F569" s="28"/>
    </row>
    <row r="570">
      <c r="A570" s="28"/>
      <c r="B570" s="28"/>
      <c r="C570" s="28"/>
      <c r="D570" s="28"/>
      <c r="E570" s="28"/>
      <c r="F570" s="28"/>
    </row>
    <row r="571">
      <c r="A571" s="28"/>
      <c r="B571" s="28"/>
      <c r="C571" s="28"/>
      <c r="D571" s="28"/>
      <c r="E571" s="28"/>
      <c r="F571" s="28"/>
    </row>
    <row r="572">
      <c r="A572" s="28"/>
      <c r="B572" s="28"/>
      <c r="C572" s="28"/>
      <c r="D572" s="28"/>
      <c r="E572" s="28"/>
      <c r="F572" s="28"/>
    </row>
    <row r="573">
      <c r="A573" s="28"/>
      <c r="B573" s="28"/>
      <c r="C573" s="28"/>
      <c r="D573" s="28"/>
      <c r="E573" s="28"/>
      <c r="F573" s="28"/>
    </row>
    <row r="574">
      <c r="A574" s="28"/>
      <c r="B574" s="28"/>
      <c r="C574" s="28"/>
      <c r="D574" s="28"/>
      <c r="E574" s="28"/>
      <c r="F574" s="28"/>
    </row>
    <row r="575">
      <c r="A575" s="28"/>
      <c r="B575" s="28"/>
      <c r="C575" s="28"/>
      <c r="D575" s="28"/>
      <c r="E575" s="28"/>
      <c r="F575" s="28"/>
    </row>
    <row r="576">
      <c r="A576" s="28"/>
      <c r="B576" s="28"/>
      <c r="C576" s="28"/>
      <c r="D576" s="28"/>
      <c r="E576" s="28"/>
      <c r="F576" s="28"/>
    </row>
    <row r="577">
      <c r="A577" s="28"/>
      <c r="B577" s="28"/>
      <c r="C577" s="28"/>
      <c r="D577" s="28"/>
      <c r="E577" s="28"/>
      <c r="F577" s="28"/>
    </row>
    <row r="578">
      <c r="A578" s="28"/>
      <c r="B578" s="28"/>
      <c r="C578" s="28"/>
      <c r="D578" s="28"/>
      <c r="E578" s="28"/>
      <c r="F578" s="28"/>
    </row>
    <row r="579">
      <c r="A579" s="28"/>
      <c r="B579" s="28"/>
      <c r="C579" s="28"/>
      <c r="D579" s="28"/>
      <c r="E579" s="28"/>
      <c r="F579" s="28"/>
    </row>
    <row r="580">
      <c r="A580" s="28"/>
      <c r="B580" s="28"/>
      <c r="C580" s="28"/>
      <c r="D580" s="28"/>
      <c r="E580" s="28"/>
      <c r="F580" s="28"/>
    </row>
    <row r="581">
      <c r="A581" s="28"/>
      <c r="B581" s="28"/>
      <c r="C581" s="28"/>
      <c r="D581" s="28"/>
      <c r="E581" s="28"/>
      <c r="F581" s="28"/>
    </row>
    <row r="582">
      <c r="A582" s="28"/>
      <c r="B582" s="28"/>
      <c r="C582" s="28"/>
      <c r="D582" s="28"/>
      <c r="E582" s="28"/>
      <c r="F582" s="28"/>
    </row>
    <row r="583">
      <c r="A583" s="28"/>
      <c r="B583" s="28"/>
      <c r="C583" s="28"/>
      <c r="D583" s="28"/>
      <c r="E583" s="28"/>
      <c r="F583" s="28"/>
    </row>
    <row r="584">
      <c r="A584" s="28"/>
      <c r="B584" s="28"/>
      <c r="C584" s="28"/>
      <c r="D584" s="28"/>
      <c r="E584" s="28"/>
      <c r="F584" s="28"/>
    </row>
    <row r="585">
      <c r="A585" s="28"/>
      <c r="B585" s="28"/>
      <c r="C585" s="28"/>
      <c r="D585" s="28"/>
      <c r="E585" s="28"/>
      <c r="F585" s="28"/>
    </row>
    <row r="586">
      <c r="A586" s="28"/>
      <c r="B586" s="28"/>
      <c r="C586" s="28"/>
      <c r="D586" s="28"/>
      <c r="E586" s="28"/>
      <c r="F586" s="28"/>
    </row>
    <row r="587">
      <c r="A587" s="28"/>
      <c r="B587" s="28"/>
      <c r="C587" s="28"/>
      <c r="D587" s="28"/>
      <c r="E587" s="28"/>
      <c r="F587" s="28"/>
    </row>
    <row r="588">
      <c r="A588" s="28"/>
      <c r="B588" s="28"/>
      <c r="C588" s="28"/>
      <c r="D588" s="28"/>
      <c r="E588" s="28"/>
      <c r="F588" s="28"/>
    </row>
    <row r="589">
      <c r="A589" s="28"/>
      <c r="B589" s="28"/>
      <c r="C589" s="28"/>
      <c r="D589" s="28"/>
      <c r="E589" s="28"/>
      <c r="F589" s="28"/>
    </row>
    <row r="590">
      <c r="A590" s="28"/>
      <c r="B590" s="28"/>
      <c r="C590" s="28"/>
      <c r="D590" s="28"/>
      <c r="E590" s="28"/>
      <c r="F590" s="28"/>
    </row>
    <row r="591">
      <c r="A591" s="28"/>
      <c r="B591" s="28"/>
      <c r="C591" s="28"/>
      <c r="D591" s="28"/>
      <c r="E591" s="28"/>
      <c r="F591" s="28"/>
    </row>
    <row r="592">
      <c r="A592" s="28"/>
      <c r="B592" s="28"/>
      <c r="C592" s="28"/>
      <c r="D592" s="28"/>
      <c r="E592" s="28"/>
      <c r="F592" s="28"/>
    </row>
    <row r="593">
      <c r="A593" s="28"/>
      <c r="B593" s="28"/>
      <c r="C593" s="28"/>
      <c r="D593" s="28"/>
      <c r="E593" s="28"/>
      <c r="F593" s="28"/>
    </row>
    <row r="594">
      <c r="A594" s="28"/>
      <c r="B594" s="28"/>
      <c r="C594" s="28"/>
      <c r="D594" s="28"/>
      <c r="E594" s="28"/>
      <c r="F594" s="28"/>
    </row>
    <row r="595">
      <c r="A595" s="28"/>
      <c r="B595" s="28"/>
      <c r="C595" s="28"/>
      <c r="D595" s="28"/>
      <c r="E595" s="28"/>
      <c r="F595" s="28"/>
    </row>
    <row r="596">
      <c r="A596" s="28"/>
      <c r="B596" s="28"/>
      <c r="C596" s="28"/>
      <c r="D596" s="28"/>
      <c r="E596" s="28"/>
      <c r="F596" s="28"/>
    </row>
    <row r="597">
      <c r="A597" s="28"/>
      <c r="B597" s="28"/>
      <c r="C597" s="28"/>
      <c r="D597" s="28"/>
      <c r="E597" s="28"/>
      <c r="F597" s="28"/>
    </row>
    <row r="598">
      <c r="A598" s="28"/>
      <c r="B598" s="28"/>
      <c r="C598" s="28"/>
      <c r="D598" s="28"/>
      <c r="E598" s="28"/>
      <c r="F598" s="28"/>
    </row>
    <row r="599">
      <c r="A599" s="28"/>
      <c r="B599" s="28"/>
      <c r="C599" s="28"/>
      <c r="D599" s="28"/>
      <c r="E599" s="28"/>
      <c r="F599" s="28"/>
    </row>
    <row r="600">
      <c r="A600" s="28"/>
      <c r="B600" s="28"/>
      <c r="C600" s="28"/>
      <c r="D600" s="28"/>
      <c r="E600" s="28"/>
      <c r="F600" s="28"/>
    </row>
    <row r="601">
      <c r="A601" s="28"/>
      <c r="B601" s="28"/>
      <c r="C601" s="28"/>
      <c r="D601" s="28"/>
      <c r="E601" s="28"/>
      <c r="F601" s="28"/>
    </row>
    <row r="602">
      <c r="A602" s="28"/>
      <c r="B602" s="28"/>
      <c r="C602" s="28"/>
      <c r="D602" s="28"/>
      <c r="E602" s="28"/>
      <c r="F602" s="28"/>
    </row>
    <row r="603">
      <c r="A603" s="28"/>
      <c r="B603" s="28"/>
      <c r="C603" s="28"/>
      <c r="D603" s="28"/>
      <c r="E603" s="28"/>
      <c r="F603" s="28"/>
    </row>
    <row r="604">
      <c r="A604" s="28"/>
      <c r="B604" s="28"/>
      <c r="C604" s="28"/>
      <c r="D604" s="28"/>
      <c r="E604" s="28"/>
      <c r="F604" s="28"/>
    </row>
    <row r="605">
      <c r="A605" s="28"/>
      <c r="B605" s="28"/>
      <c r="C605" s="28"/>
      <c r="D605" s="28"/>
      <c r="E605" s="28"/>
      <c r="F605" s="28"/>
    </row>
    <row r="606">
      <c r="A606" s="28"/>
      <c r="B606" s="28"/>
      <c r="C606" s="28"/>
      <c r="D606" s="28"/>
      <c r="E606" s="28"/>
      <c r="F606" s="28"/>
    </row>
    <row r="607">
      <c r="A607" s="28"/>
      <c r="B607" s="28"/>
      <c r="C607" s="28"/>
      <c r="D607" s="28"/>
      <c r="E607" s="28"/>
      <c r="F607" s="28"/>
    </row>
    <row r="608">
      <c r="A608" s="28"/>
      <c r="B608" s="28"/>
      <c r="C608" s="28"/>
      <c r="D608" s="28"/>
      <c r="E608" s="28"/>
      <c r="F608" s="28"/>
    </row>
    <row r="609">
      <c r="A609" s="28"/>
      <c r="B609" s="28"/>
      <c r="C609" s="28"/>
      <c r="D609" s="28"/>
      <c r="E609" s="28"/>
      <c r="F609" s="28"/>
    </row>
    <row r="610">
      <c r="A610" s="28"/>
      <c r="B610" s="28"/>
      <c r="C610" s="28"/>
      <c r="D610" s="28"/>
      <c r="E610" s="28"/>
      <c r="F610" s="28"/>
    </row>
    <row r="611">
      <c r="A611" s="28"/>
      <c r="B611" s="28"/>
      <c r="C611" s="28"/>
      <c r="D611" s="28"/>
      <c r="E611" s="28"/>
      <c r="F611" s="28"/>
    </row>
    <row r="612">
      <c r="A612" s="28"/>
      <c r="B612" s="28"/>
      <c r="C612" s="28"/>
      <c r="D612" s="28"/>
      <c r="E612" s="28"/>
      <c r="F612" s="28"/>
    </row>
    <row r="613">
      <c r="A613" s="28"/>
      <c r="B613" s="28"/>
      <c r="C613" s="28"/>
      <c r="D613" s="28"/>
      <c r="E613" s="28"/>
      <c r="F613" s="28"/>
    </row>
    <row r="614">
      <c r="A614" s="28"/>
      <c r="B614" s="28"/>
      <c r="C614" s="28"/>
      <c r="D614" s="28"/>
      <c r="E614" s="28"/>
      <c r="F614" s="28"/>
    </row>
    <row r="615">
      <c r="A615" s="28"/>
      <c r="B615" s="28"/>
      <c r="C615" s="28"/>
      <c r="D615" s="28"/>
      <c r="E615" s="28"/>
      <c r="F615" s="28"/>
    </row>
    <row r="616">
      <c r="A616" s="28"/>
      <c r="B616" s="28"/>
      <c r="C616" s="28"/>
      <c r="D616" s="28"/>
      <c r="E616" s="28"/>
      <c r="F616" s="28"/>
    </row>
    <row r="617">
      <c r="A617" s="28"/>
      <c r="B617" s="28"/>
      <c r="C617" s="28"/>
      <c r="D617" s="28"/>
      <c r="E617" s="28"/>
      <c r="F617" s="28"/>
    </row>
    <row r="618">
      <c r="A618" s="28"/>
      <c r="B618" s="28"/>
      <c r="C618" s="28"/>
      <c r="D618" s="28"/>
      <c r="E618" s="28"/>
      <c r="F618" s="28"/>
    </row>
    <row r="619">
      <c r="A619" s="28"/>
      <c r="B619" s="28"/>
      <c r="C619" s="28"/>
      <c r="D619" s="28"/>
      <c r="E619" s="28"/>
      <c r="F619" s="28"/>
    </row>
    <row r="620">
      <c r="A620" s="28"/>
      <c r="B620" s="28"/>
      <c r="C620" s="28"/>
      <c r="D620" s="28"/>
      <c r="E620" s="28"/>
      <c r="F620" s="28"/>
    </row>
    <row r="621">
      <c r="A621" s="28"/>
      <c r="B621" s="28"/>
      <c r="C621" s="28"/>
      <c r="D621" s="28"/>
      <c r="E621" s="28"/>
      <c r="F621" s="28"/>
    </row>
    <row r="622">
      <c r="A622" s="28"/>
      <c r="B622" s="28"/>
      <c r="C622" s="28"/>
      <c r="D622" s="28"/>
      <c r="E622" s="28"/>
      <c r="F622" s="28"/>
    </row>
    <row r="623">
      <c r="A623" s="28"/>
      <c r="B623" s="28"/>
      <c r="C623" s="28"/>
      <c r="D623" s="28"/>
      <c r="E623" s="28"/>
      <c r="F623" s="28"/>
    </row>
    <row r="624">
      <c r="A624" s="28"/>
      <c r="B624" s="28"/>
      <c r="C624" s="28"/>
      <c r="D624" s="28"/>
      <c r="E624" s="28"/>
      <c r="F624" s="28"/>
    </row>
    <row r="625">
      <c r="A625" s="28"/>
      <c r="B625" s="28"/>
      <c r="C625" s="28"/>
      <c r="D625" s="28"/>
      <c r="E625" s="28"/>
      <c r="F625" s="28"/>
    </row>
    <row r="626">
      <c r="A626" s="28"/>
      <c r="B626" s="28"/>
      <c r="C626" s="28"/>
      <c r="D626" s="28"/>
      <c r="E626" s="28"/>
      <c r="F626" s="28"/>
    </row>
    <row r="627">
      <c r="A627" s="28"/>
      <c r="B627" s="28"/>
      <c r="C627" s="28"/>
      <c r="D627" s="28"/>
      <c r="E627" s="28"/>
      <c r="F627" s="28"/>
    </row>
    <row r="628">
      <c r="A628" s="28"/>
      <c r="B628" s="28"/>
      <c r="C628" s="28"/>
      <c r="D628" s="28"/>
      <c r="E628" s="28"/>
      <c r="F628" s="28"/>
    </row>
    <row r="629">
      <c r="A629" s="28"/>
      <c r="B629" s="28"/>
      <c r="C629" s="28"/>
      <c r="D629" s="28"/>
      <c r="E629" s="28"/>
      <c r="F629" s="28"/>
    </row>
    <row r="630">
      <c r="A630" s="28"/>
      <c r="B630" s="28"/>
      <c r="C630" s="28"/>
      <c r="D630" s="28"/>
      <c r="E630" s="28"/>
      <c r="F630" s="28"/>
    </row>
    <row r="631">
      <c r="A631" s="28"/>
      <c r="B631" s="28"/>
      <c r="C631" s="28"/>
      <c r="D631" s="28"/>
      <c r="E631" s="28"/>
      <c r="F631" s="28"/>
    </row>
    <row r="632">
      <c r="A632" s="28"/>
      <c r="B632" s="28"/>
      <c r="C632" s="28"/>
      <c r="D632" s="28"/>
      <c r="E632" s="28"/>
      <c r="F632" s="28"/>
    </row>
    <row r="633">
      <c r="A633" s="28"/>
      <c r="B633" s="28"/>
      <c r="C633" s="28"/>
      <c r="D633" s="28"/>
      <c r="E633" s="28"/>
      <c r="F633" s="28"/>
    </row>
    <row r="634">
      <c r="A634" s="28"/>
      <c r="B634" s="28"/>
      <c r="C634" s="28"/>
      <c r="D634" s="28"/>
      <c r="E634" s="28"/>
      <c r="F634" s="28"/>
    </row>
    <row r="635">
      <c r="A635" s="28"/>
      <c r="B635" s="28"/>
      <c r="C635" s="28"/>
      <c r="D635" s="28"/>
      <c r="E635" s="28"/>
      <c r="F635" s="28"/>
    </row>
    <row r="636">
      <c r="A636" s="28"/>
      <c r="B636" s="28"/>
      <c r="C636" s="28"/>
      <c r="D636" s="28"/>
      <c r="E636" s="28"/>
      <c r="F636" s="28"/>
    </row>
    <row r="637">
      <c r="A637" s="28"/>
      <c r="B637" s="28"/>
      <c r="C637" s="28"/>
      <c r="D637" s="28"/>
      <c r="E637" s="28"/>
      <c r="F637" s="28"/>
    </row>
    <row r="638">
      <c r="A638" s="28"/>
      <c r="B638" s="28"/>
      <c r="C638" s="28"/>
      <c r="D638" s="28"/>
      <c r="E638" s="28"/>
      <c r="F638" s="28"/>
    </row>
    <row r="639">
      <c r="A639" s="28"/>
      <c r="B639" s="28"/>
      <c r="C639" s="28"/>
      <c r="D639" s="28"/>
      <c r="E639" s="28"/>
      <c r="F639" s="28"/>
    </row>
    <row r="640">
      <c r="A640" s="28"/>
      <c r="B640" s="28"/>
      <c r="C640" s="28"/>
      <c r="D640" s="28"/>
      <c r="E640" s="28"/>
      <c r="F640" s="28"/>
    </row>
    <row r="641">
      <c r="A641" s="28"/>
      <c r="B641" s="28"/>
      <c r="C641" s="28"/>
      <c r="D641" s="28"/>
      <c r="E641" s="28"/>
      <c r="F641" s="28"/>
    </row>
    <row r="642">
      <c r="A642" s="28"/>
      <c r="B642" s="28"/>
      <c r="C642" s="28"/>
      <c r="D642" s="28"/>
      <c r="E642" s="28"/>
      <c r="F642" s="28"/>
    </row>
    <row r="643">
      <c r="A643" s="28"/>
      <c r="B643" s="28"/>
      <c r="C643" s="28"/>
      <c r="D643" s="28"/>
      <c r="E643" s="28"/>
      <c r="F643" s="28"/>
    </row>
    <row r="644">
      <c r="A644" s="28"/>
      <c r="B644" s="28"/>
      <c r="C644" s="28"/>
      <c r="D644" s="28"/>
      <c r="E644" s="28"/>
      <c r="F644" s="28"/>
    </row>
    <row r="645">
      <c r="A645" s="28"/>
      <c r="B645" s="28"/>
      <c r="C645" s="28"/>
      <c r="D645" s="28"/>
      <c r="E645" s="28"/>
      <c r="F645" s="28"/>
    </row>
    <row r="646">
      <c r="A646" s="28"/>
      <c r="B646" s="28"/>
      <c r="C646" s="28"/>
      <c r="D646" s="28"/>
      <c r="E646" s="28"/>
      <c r="F646" s="28"/>
    </row>
    <row r="647">
      <c r="A647" s="28"/>
      <c r="B647" s="28"/>
      <c r="C647" s="28"/>
      <c r="D647" s="28"/>
      <c r="E647" s="28"/>
      <c r="F647" s="28"/>
    </row>
    <row r="648">
      <c r="A648" s="28"/>
      <c r="B648" s="28"/>
      <c r="C648" s="28"/>
      <c r="D648" s="28"/>
      <c r="E648" s="28"/>
      <c r="F648" s="28"/>
    </row>
    <row r="649">
      <c r="A649" s="28"/>
      <c r="B649" s="28"/>
      <c r="C649" s="28"/>
      <c r="D649" s="28"/>
      <c r="E649" s="28"/>
      <c r="F649" s="28"/>
    </row>
    <row r="650">
      <c r="A650" s="28"/>
      <c r="B650" s="28"/>
      <c r="C650" s="28"/>
      <c r="D650" s="28"/>
      <c r="E650" s="28"/>
      <c r="F650" s="28"/>
    </row>
    <row r="651">
      <c r="A651" s="28"/>
      <c r="B651" s="28"/>
      <c r="C651" s="28"/>
      <c r="D651" s="28"/>
      <c r="E651" s="28"/>
      <c r="F651" s="28"/>
    </row>
    <row r="652">
      <c r="A652" s="28"/>
      <c r="B652" s="28"/>
      <c r="C652" s="28"/>
      <c r="D652" s="28"/>
      <c r="E652" s="28"/>
      <c r="F652" s="28"/>
    </row>
    <row r="653">
      <c r="A653" s="28"/>
      <c r="B653" s="28"/>
      <c r="C653" s="28"/>
      <c r="D653" s="28"/>
      <c r="E653" s="28"/>
      <c r="F653" s="28"/>
    </row>
    <row r="654">
      <c r="A654" s="28"/>
      <c r="B654" s="28"/>
      <c r="C654" s="28"/>
      <c r="D654" s="28"/>
      <c r="E654" s="28"/>
      <c r="F654" s="28"/>
    </row>
    <row r="655">
      <c r="A655" s="28"/>
      <c r="B655" s="28"/>
      <c r="C655" s="28"/>
      <c r="D655" s="28"/>
      <c r="E655" s="28"/>
      <c r="F655" s="28"/>
    </row>
    <row r="656">
      <c r="A656" s="28"/>
      <c r="B656" s="28"/>
      <c r="C656" s="28"/>
      <c r="D656" s="28"/>
      <c r="E656" s="28"/>
      <c r="F656" s="28"/>
    </row>
    <row r="657">
      <c r="A657" s="28"/>
      <c r="B657" s="28"/>
      <c r="C657" s="28"/>
      <c r="D657" s="28"/>
      <c r="E657" s="28"/>
      <c r="F657" s="28"/>
    </row>
    <row r="658">
      <c r="A658" s="28"/>
      <c r="B658" s="28"/>
      <c r="C658" s="28"/>
      <c r="D658" s="28"/>
      <c r="E658" s="28"/>
      <c r="F658" s="28"/>
    </row>
    <row r="659">
      <c r="A659" s="28"/>
      <c r="B659" s="28"/>
      <c r="C659" s="28"/>
      <c r="D659" s="28"/>
      <c r="E659" s="28"/>
      <c r="F659" s="28"/>
    </row>
    <row r="660">
      <c r="A660" s="28"/>
      <c r="B660" s="28"/>
      <c r="C660" s="28"/>
      <c r="D660" s="28"/>
      <c r="E660" s="28"/>
      <c r="F660" s="28"/>
    </row>
    <row r="661">
      <c r="A661" s="28"/>
      <c r="B661" s="28"/>
      <c r="C661" s="28"/>
      <c r="D661" s="28"/>
      <c r="E661" s="28"/>
      <c r="F661" s="28"/>
    </row>
    <row r="662">
      <c r="A662" s="28"/>
      <c r="B662" s="28"/>
      <c r="C662" s="28"/>
      <c r="D662" s="28"/>
      <c r="E662" s="28"/>
      <c r="F662" s="28"/>
    </row>
    <row r="663">
      <c r="A663" s="28"/>
      <c r="B663" s="28"/>
      <c r="C663" s="28"/>
      <c r="D663" s="28"/>
      <c r="E663" s="28"/>
      <c r="F663" s="28"/>
    </row>
    <row r="664">
      <c r="A664" s="28"/>
      <c r="B664" s="28"/>
      <c r="C664" s="28"/>
      <c r="D664" s="28"/>
      <c r="E664" s="28"/>
      <c r="F664" s="28"/>
    </row>
    <row r="665">
      <c r="A665" s="28"/>
      <c r="B665" s="28"/>
      <c r="C665" s="28"/>
      <c r="D665" s="28"/>
      <c r="E665" s="28"/>
      <c r="F665" s="28"/>
    </row>
    <row r="666">
      <c r="A666" s="28"/>
      <c r="B666" s="28"/>
      <c r="C666" s="28"/>
      <c r="D666" s="28"/>
      <c r="E666" s="28"/>
      <c r="F666" s="28"/>
    </row>
    <row r="667">
      <c r="A667" s="28"/>
      <c r="B667" s="28"/>
      <c r="C667" s="28"/>
      <c r="D667" s="28"/>
      <c r="E667" s="28"/>
      <c r="F667" s="28"/>
    </row>
    <row r="668">
      <c r="A668" s="28"/>
      <c r="B668" s="28"/>
      <c r="C668" s="28"/>
      <c r="D668" s="28"/>
      <c r="E668" s="28"/>
      <c r="F668" s="28"/>
    </row>
    <row r="669">
      <c r="A669" s="28"/>
      <c r="B669" s="28"/>
      <c r="C669" s="28"/>
      <c r="D669" s="28"/>
      <c r="E669" s="28"/>
      <c r="F669" s="28"/>
    </row>
    <row r="670">
      <c r="A670" s="28"/>
      <c r="B670" s="28"/>
      <c r="C670" s="28"/>
      <c r="D670" s="28"/>
      <c r="E670" s="28"/>
      <c r="F670" s="28"/>
    </row>
    <row r="671">
      <c r="A671" s="28"/>
      <c r="B671" s="28"/>
      <c r="C671" s="28"/>
      <c r="D671" s="28"/>
      <c r="E671" s="28"/>
      <c r="F671" s="28"/>
    </row>
    <row r="672">
      <c r="A672" s="28"/>
      <c r="B672" s="28"/>
      <c r="C672" s="28"/>
      <c r="D672" s="28"/>
      <c r="E672" s="28"/>
      <c r="F672" s="28"/>
    </row>
    <row r="673">
      <c r="A673" s="28"/>
      <c r="B673" s="28"/>
      <c r="C673" s="28"/>
      <c r="D673" s="28"/>
      <c r="E673" s="28"/>
      <c r="F673" s="28"/>
    </row>
    <row r="674">
      <c r="A674" s="28"/>
      <c r="B674" s="28"/>
      <c r="C674" s="28"/>
      <c r="D674" s="28"/>
      <c r="E674" s="28"/>
      <c r="F674" s="28"/>
    </row>
    <row r="675">
      <c r="A675" s="28"/>
      <c r="B675" s="28"/>
      <c r="C675" s="28"/>
      <c r="D675" s="28"/>
      <c r="E675" s="28"/>
      <c r="F675" s="28"/>
    </row>
    <row r="676">
      <c r="A676" s="28"/>
      <c r="B676" s="28"/>
      <c r="C676" s="28"/>
      <c r="D676" s="28"/>
      <c r="E676" s="28"/>
      <c r="F676" s="28"/>
    </row>
    <row r="677">
      <c r="A677" s="28"/>
      <c r="B677" s="28"/>
      <c r="C677" s="28"/>
      <c r="D677" s="28"/>
      <c r="E677" s="28"/>
      <c r="F677" s="28"/>
    </row>
    <row r="678">
      <c r="A678" s="28"/>
      <c r="B678" s="28"/>
      <c r="C678" s="28"/>
      <c r="D678" s="28"/>
      <c r="E678" s="28"/>
      <c r="F678" s="28"/>
    </row>
    <row r="679">
      <c r="A679" s="28"/>
      <c r="B679" s="28"/>
      <c r="C679" s="28"/>
      <c r="D679" s="28"/>
      <c r="E679" s="28"/>
      <c r="F679" s="28"/>
    </row>
    <row r="680">
      <c r="A680" s="28"/>
      <c r="B680" s="28"/>
      <c r="C680" s="28"/>
      <c r="D680" s="28"/>
      <c r="E680" s="28"/>
      <c r="F680" s="28"/>
    </row>
    <row r="681">
      <c r="A681" s="28"/>
      <c r="B681" s="28"/>
      <c r="C681" s="28"/>
      <c r="D681" s="28"/>
      <c r="E681" s="28"/>
      <c r="F681" s="28"/>
    </row>
    <row r="682">
      <c r="A682" s="28"/>
      <c r="B682" s="28"/>
      <c r="C682" s="28"/>
      <c r="D682" s="28"/>
      <c r="E682" s="28"/>
      <c r="F682" s="28"/>
    </row>
    <row r="683">
      <c r="A683" s="28"/>
      <c r="B683" s="28"/>
      <c r="C683" s="28"/>
      <c r="D683" s="28"/>
      <c r="E683" s="28"/>
      <c r="F683" s="28"/>
    </row>
    <row r="684">
      <c r="A684" s="28"/>
      <c r="B684" s="28"/>
      <c r="C684" s="28"/>
      <c r="D684" s="28"/>
      <c r="E684" s="28"/>
      <c r="F684" s="28"/>
    </row>
    <row r="685">
      <c r="A685" s="28"/>
      <c r="B685" s="28"/>
      <c r="C685" s="28"/>
      <c r="D685" s="28"/>
      <c r="E685" s="28"/>
      <c r="F685" s="28"/>
    </row>
    <row r="686">
      <c r="A686" s="28"/>
      <c r="B686" s="28"/>
      <c r="C686" s="28"/>
      <c r="D686" s="28"/>
      <c r="E686" s="28"/>
      <c r="F686" s="28"/>
    </row>
    <row r="687">
      <c r="A687" s="28"/>
      <c r="B687" s="28"/>
      <c r="C687" s="28"/>
      <c r="D687" s="28"/>
      <c r="E687" s="28"/>
      <c r="F687" s="28"/>
    </row>
    <row r="688">
      <c r="A688" s="28"/>
      <c r="B688" s="28"/>
      <c r="C688" s="28"/>
      <c r="D688" s="28"/>
      <c r="E688" s="28"/>
      <c r="F688" s="28"/>
    </row>
    <row r="689">
      <c r="A689" s="28"/>
      <c r="B689" s="28"/>
      <c r="C689" s="28"/>
      <c r="D689" s="28"/>
      <c r="E689" s="28"/>
      <c r="F689" s="28"/>
    </row>
    <row r="690">
      <c r="A690" s="28"/>
      <c r="B690" s="28"/>
      <c r="C690" s="28"/>
      <c r="D690" s="28"/>
      <c r="E690" s="28"/>
      <c r="F690" s="28"/>
    </row>
    <row r="691">
      <c r="A691" s="28"/>
      <c r="B691" s="28"/>
      <c r="C691" s="28"/>
      <c r="D691" s="28"/>
      <c r="E691" s="28"/>
      <c r="F691" s="28"/>
    </row>
    <row r="692">
      <c r="A692" s="28"/>
      <c r="B692" s="28"/>
      <c r="C692" s="28"/>
      <c r="D692" s="28"/>
      <c r="E692" s="28"/>
      <c r="F692" s="28"/>
    </row>
    <row r="693">
      <c r="A693" s="28"/>
      <c r="B693" s="28"/>
      <c r="C693" s="28"/>
      <c r="D693" s="28"/>
      <c r="E693" s="28"/>
      <c r="F693" s="28"/>
    </row>
    <row r="694">
      <c r="A694" s="28"/>
      <c r="B694" s="28"/>
      <c r="C694" s="28"/>
      <c r="D694" s="28"/>
      <c r="E694" s="28"/>
      <c r="F694" s="28"/>
    </row>
    <row r="695">
      <c r="A695" s="28"/>
      <c r="B695" s="28"/>
      <c r="C695" s="28"/>
      <c r="D695" s="28"/>
      <c r="E695" s="28"/>
      <c r="F695" s="28"/>
    </row>
    <row r="696">
      <c r="A696" s="28"/>
      <c r="B696" s="28"/>
      <c r="C696" s="28"/>
      <c r="D696" s="28"/>
      <c r="E696" s="28"/>
      <c r="F696" s="28"/>
    </row>
    <row r="697">
      <c r="A697" s="28"/>
      <c r="B697" s="28"/>
      <c r="C697" s="28"/>
      <c r="D697" s="28"/>
      <c r="E697" s="28"/>
      <c r="F697" s="28"/>
    </row>
    <row r="698">
      <c r="A698" s="28"/>
      <c r="B698" s="28"/>
      <c r="C698" s="28"/>
      <c r="D698" s="28"/>
      <c r="E698" s="28"/>
      <c r="F698" s="28"/>
    </row>
    <row r="699">
      <c r="A699" s="28"/>
      <c r="B699" s="28"/>
      <c r="C699" s="28"/>
      <c r="D699" s="28"/>
      <c r="E699" s="28"/>
      <c r="F699" s="28"/>
    </row>
    <row r="700">
      <c r="A700" s="28"/>
      <c r="B700" s="28"/>
      <c r="C700" s="28"/>
      <c r="D700" s="28"/>
      <c r="E700" s="28"/>
      <c r="F700" s="28"/>
    </row>
    <row r="701">
      <c r="A701" s="28"/>
      <c r="B701" s="28"/>
      <c r="C701" s="28"/>
      <c r="D701" s="28"/>
      <c r="E701" s="28"/>
      <c r="F701" s="28"/>
    </row>
    <row r="702">
      <c r="A702" s="28"/>
      <c r="B702" s="28"/>
      <c r="C702" s="28"/>
      <c r="D702" s="28"/>
      <c r="E702" s="28"/>
      <c r="F702" s="28"/>
    </row>
    <row r="703">
      <c r="A703" s="28"/>
      <c r="B703" s="28"/>
      <c r="C703" s="28"/>
      <c r="D703" s="28"/>
      <c r="E703" s="28"/>
      <c r="F703" s="28"/>
    </row>
    <row r="704">
      <c r="A704" s="28"/>
      <c r="B704" s="28"/>
      <c r="C704" s="28"/>
      <c r="D704" s="28"/>
      <c r="E704" s="28"/>
      <c r="F704" s="28"/>
    </row>
    <row r="705">
      <c r="A705" s="28"/>
      <c r="B705" s="28"/>
      <c r="C705" s="28"/>
      <c r="D705" s="28"/>
      <c r="E705" s="28"/>
      <c r="F705" s="28"/>
    </row>
    <row r="706">
      <c r="A706" s="28"/>
      <c r="B706" s="28"/>
      <c r="C706" s="28"/>
      <c r="D706" s="28"/>
      <c r="E706" s="28"/>
      <c r="F706" s="28"/>
    </row>
    <row r="707">
      <c r="A707" s="28"/>
      <c r="B707" s="28"/>
      <c r="C707" s="28"/>
      <c r="D707" s="28"/>
      <c r="E707" s="28"/>
      <c r="F707" s="28"/>
    </row>
    <row r="708">
      <c r="A708" s="28"/>
      <c r="B708" s="28"/>
      <c r="C708" s="28"/>
      <c r="D708" s="28"/>
      <c r="E708" s="28"/>
      <c r="F708" s="28"/>
    </row>
    <row r="709">
      <c r="A709" s="28"/>
      <c r="B709" s="28"/>
      <c r="C709" s="28"/>
      <c r="D709" s="28"/>
      <c r="E709" s="28"/>
      <c r="F709" s="28"/>
    </row>
    <row r="710">
      <c r="A710" s="28"/>
      <c r="B710" s="28"/>
      <c r="C710" s="28"/>
      <c r="D710" s="28"/>
      <c r="E710" s="28"/>
      <c r="F710" s="28"/>
    </row>
    <row r="711">
      <c r="A711" s="28"/>
      <c r="B711" s="28"/>
      <c r="C711" s="28"/>
      <c r="D711" s="28"/>
      <c r="E711" s="28"/>
      <c r="F711" s="28"/>
    </row>
    <row r="712">
      <c r="A712" s="28"/>
      <c r="B712" s="28"/>
      <c r="C712" s="28"/>
      <c r="D712" s="28"/>
      <c r="E712" s="28"/>
      <c r="F712" s="28"/>
    </row>
    <row r="713">
      <c r="A713" s="28"/>
      <c r="B713" s="28"/>
      <c r="C713" s="28"/>
      <c r="D713" s="28"/>
      <c r="E713" s="28"/>
      <c r="F713" s="28"/>
    </row>
    <row r="714">
      <c r="A714" s="28"/>
      <c r="B714" s="28"/>
      <c r="C714" s="28"/>
      <c r="D714" s="28"/>
      <c r="E714" s="28"/>
      <c r="F714" s="28"/>
    </row>
    <row r="715">
      <c r="A715" s="28"/>
      <c r="B715" s="28"/>
      <c r="C715" s="28"/>
      <c r="D715" s="28"/>
      <c r="E715" s="28"/>
      <c r="F715" s="28"/>
    </row>
    <row r="716">
      <c r="A716" s="28"/>
      <c r="B716" s="28"/>
      <c r="C716" s="28"/>
      <c r="D716" s="28"/>
      <c r="E716" s="28"/>
      <c r="F716" s="28"/>
    </row>
    <row r="717">
      <c r="A717" s="28"/>
      <c r="B717" s="28"/>
      <c r="C717" s="28"/>
      <c r="D717" s="28"/>
      <c r="E717" s="28"/>
      <c r="F717" s="28"/>
    </row>
    <row r="718">
      <c r="A718" s="28"/>
      <c r="B718" s="28"/>
      <c r="C718" s="28"/>
      <c r="D718" s="28"/>
      <c r="E718" s="28"/>
      <c r="F718" s="28"/>
    </row>
    <row r="719">
      <c r="A719" s="28"/>
      <c r="B719" s="28"/>
      <c r="C719" s="28"/>
      <c r="D719" s="28"/>
      <c r="E719" s="28"/>
      <c r="F719" s="28"/>
    </row>
    <row r="720">
      <c r="A720" s="28"/>
      <c r="B720" s="28"/>
      <c r="C720" s="28"/>
      <c r="D720" s="28"/>
      <c r="E720" s="28"/>
      <c r="F720" s="28"/>
    </row>
    <row r="721">
      <c r="A721" s="28"/>
      <c r="B721" s="28"/>
      <c r="C721" s="28"/>
      <c r="D721" s="28"/>
      <c r="E721" s="28"/>
      <c r="F721" s="28"/>
    </row>
    <row r="722">
      <c r="A722" s="28"/>
      <c r="B722" s="28"/>
      <c r="C722" s="28"/>
      <c r="D722" s="28"/>
      <c r="E722" s="28"/>
      <c r="F722" s="28"/>
    </row>
    <row r="723">
      <c r="A723" s="28"/>
      <c r="B723" s="28"/>
      <c r="C723" s="28"/>
      <c r="D723" s="28"/>
      <c r="E723" s="28"/>
      <c r="F723" s="28"/>
    </row>
    <row r="724">
      <c r="A724" s="28"/>
      <c r="B724" s="28"/>
      <c r="C724" s="28"/>
      <c r="D724" s="28"/>
      <c r="E724" s="28"/>
      <c r="F724" s="28"/>
    </row>
    <row r="725">
      <c r="A725" s="28"/>
      <c r="B725" s="28"/>
      <c r="C725" s="28"/>
      <c r="D725" s="28"/>
      <c r="E725" s="28"/>
      <c r="F725" s="28"/>
    </row>
    <row r="726">
      <c r="A726" s="28"/>
      <c r="B726" s="28"/>
      <c r="C726" s="28"/>
      <c r="D726" s="28"/>
      <c r="E726" s="28"/>
      <c r="F726" s="28"/>
    </row>
    <row r="727">
      <c r="A727" s="28"/>
      <c r="B727" s="28"/>
      <c r="C727" s="28"/>
      <c r="D727" s="28"/>
      <c r="E727" s="28"/>
      <c r="F727" s="28"/>
    </row>
    <row r="728">
      <c r="A728" s="28"/>
      <c r="B728" s="28"/>
      <c r="C728" s="28"/>
      <c r="D728" s="28"/>
      <c r="E728" s="28"/>
      <c r="F728" s="28"/>
    </row>
    <row r="729">
      <c r="A729" s="28"/>
      <c r="B729" s="28"/>
      <c r="C729" s="28"/>
      <c r="D729" s="28"/>
      <c r="E729" s="28"/>
      <c r="F729" s="28"/>
    </row>
    <row r="730">
      <c r="A730" s="28"/>
      <c r="B730" s="28"/>
      <c r="C730" s="28"/>
      <c r="D730" s="28"/>
      <c r="E730" s="28"/>
      <c r="F730" s="28"/>
    </row>
    <row r="731">
      <c r="A731" s="28"/>
      <c r="B731" s="28"/>
      <c r="C731" s="28"/>
      <c r="D731" s="28"/>
      <c r="E731" s="28"/>
      <c r="F731" s="28"/>
    </row>
    <row r="732">
      <c r="A732" s="28"/>
      <c r="B732" s="28"/>
      <c r="C732" s="28"/>
      <c r="D732" s="28"/>
      <c r="E732" s="28"/>
      <c r="F732" s="28"/>
    </row>
    <row r="733">
      <c r="A733" s="28"/>
      <c r="B733" s="28"/>
      <c r="C733" s="28"/>
      <c r="D733" s="28"/>
      <c r="E733" s="28"/>
      <c r="F733" s="28"/>
    </row>
    <row r="734">
      <c r="A734" s="28"/>
      <c r="B734" s="28"/>
      <c r="C734" s="28"/>
      <c r="D734" s="28"/>
      <c r="E734" s="28"/>
      <c r="F734" s="28"/>
    </row>
    <row r="735">
      <c r="A735" s="28"/>
      <c r="B735" s="28"/>
      <c r="C735" s="28"/>
      <c r="D735" s="28"/>
      <c r="E735" s="28"/>
      <c r="F735" s="28"/>
    </row>
    <row r="736">
      <c r="A736" s="28"/>
      <c r="B736" s="28"/>
      <c r="C736" s="28"/>
      <c r="D736" s="28"/>
      <c r="E736" s="28"/>
      <c r="F736" s="28"/>
    </row>
    <row r="737">
      <c r="A737" s="28"/>
      <c r="B737" s="28"/>
      <c r="C737" s="28"/>
      <c r="D737" s="28"/>
      <c r="E737" s="28"/>
      <c r="F737" s="28"/>
    </row>
    <row r="738">
      <c r="A738" s="28"/>
      <c r="B738" s="28"/>
      <c r="C738" s="28"/>
      <c r="D738" s="28"/>
      <c r="E738" s="28"/>
      <c r="F738" s="28"/>
    </row>
    <row r="739">
      <c r="A739" s="28"/>
      <c r="B739" s="28"/>
      <c r="C739" s="28"/>
      <c r="D739" s="28"/>
      <c r="E739" s="28"/>
      <c r="F739" s="28"/>
    </row>
    <row r="740">
      <c r="A740" s="28"/>
      <c r="B740" s="28"/>
      <c r="C740" s="28"/>
      <c r="D740" s="28"/>
      <c r="E740" s="28"/>
      <c r="F740" s="28"/>
    </row>
    <row r="741">
      <c r="A741" s="28"/>
      <c r="B741" s="28"/>
      <c r="C741" s="28"/>
      <c r="D741" s="28"/>
      <c r="E741" s="28"/>
      <c r="F741" s="28"/>
    </row>
    <row r="742">
      <c r="A742" s="28"/>
      <c r="B742" s="28"/>
      <c r="C742" s="28"/>
      <c r="D742" s="28"/>
      <c r="E742" s="28"/>
      <c r="F742" s="28"/>
    </row>
    <row r="743">
      <c r="A743" s="28"/>
      <c r="B743" s="28"/>
      <c r="C743" s="28"/>
      <c r="D743" s="28"/>
      <c r="E743" s="28"/>
      <c r="F743" s="28"/>
    </row>
    <row r="744">
      <c r="A744" s="28"/>
      <c r="B744" s="28"/>
      <c r="C744" s="28"/>
      <c r="D744" s="28"/>
      <c r="E744" s="28"/>
      <c r="F744" s="28"/>
    </row>
    <row r="745">
      <c r="A745" s="28"/>
      <c r="B745" s="28"/>
      <c r="C745" s="28"/>
      <c r="D745" s="28"/>
      <c r="E745" s="28"/>
      <c r="F745" s="28"/>
    </row>
    <row r="746">
      <c r="A746" s="28"/>
      <c r="B746" s="28"/>
      <c r="C746" s="28"/>
      <c r="D746" s="28"/>
      <c r="E746" s="28"/>
      <c r="F746" s="28"/>
    </row>
    <row r="747">
      <c r="A747" s="28"/>
      <c r="B747" s="28"/>
      <c r="C747" s="28"/>
      <c r="D747" s="28"/>
      <c r="E747" s="28"/>
      <c r="F747" s="28"/>
    </row>
    <row r="748">
      <c r="A748" s="28"/>
      <c r="B748" s="28"/>
      <c r="C748" s="28"/>
      <c r="D748" s="28"/>
      <c r="E748" s="28"/>
      <c r="F748" s="28"/>
    </row>
    <row r="749">
      <c r="A749" s="28"/>
      <c r="B749" s="28"/>
      <c r="C749" s="28"/>
      <c r="D749" s="28"/>
      <c r="E749" s="28"/>
      <c r="F749" s="28"/>
    </row>
    <row r="750">
      <c r="A750" s="28"/>
      <c r="B750" s="28"/>
      <c r="C750" s="28"/>
      <c r="D750" s="28"/>
      <c r="E750" s="28"/>
      <c r="F750" s="28"/>
    </row>
    <row r="751">
      <c r="A751" s="28"/>
      <c r="B751" s="28"/>
      <c r="C751" s="28"/>
      <c r="D751" s="28"/>
      <c r="E751" s="28"/>
      <c r="F751" s="28"/>
    </row>
    <row r="752">
      <c r="A752" s="28"/>
      <c r="B752" s="28"/>
      <c r="C752" s="28"/>
      <c r="D752" s="28"/>
      <c r="E752" s="28"/>
      <c r="F752" s="28"/>
    </row>
    <row r="753">
      <c r="A753" s="28"/>
      <c r="B753" s="28"/>
      <c r="C753" s="28"/>
      <c r="D753" s="28"/>
      <c r="E753" s="28"/>
      <c r="F753" s="28"/>
    </row>
    <row r="754">
      <c r="A754" s="28"/>
      <c r="B754" s="28"/>
      <c r="C754" s="28"/>
      <c r="D754" s="28"/>
      <c r="E754" s="28"/>
      <c r="F754" s="28"/>
    </row>
    <row r="755">
      <c r="A755" s="28"/>
      <c r="B755" s="28"/>
      <c r="C755" s="28"/>
      <c r="D755" s="28"/>
      <c r="E755" s="28"/>
      <c r="F755" s="28"/>
    </row>
    <row r="756">
      <c r="A756" s="28"/>
      <c r="B756" s="28"/>
      <c r="C756" s="28"/>
      <c r="D756" s="28"/>
      <c r="E756" s="28"/>
      <c r="F756" s="28"/>
    </row>
    <row r="757">
      <c r="A757" s="28"/>
      <c r="B757" s="28"/>
      <c r="C757" s="28"/>
      <c r="D757" s="28"/>
      <c r="E757" s="28"/>
      <c r="F757" s="28"/>
    </row>
    <row r="758">
      <c r="A758" s="28"/>
      <c r="B758" s="28"/>
      <c r="C758" s="28"/>
      <c r="D758" s="28"/>
      <c r="E758" s="28"/>
      <c r="F758" s="28"/>
    </row>
    <row r="759">
      <c r="A759" s="28"/>
      <c r="B759" s="28"/>
      <c r="C759" s="28"/>
      <c r="D759" s="28"/>
      <c r="E759" s="28"/>
      <c r="F759" s="28"/>
    </row>
    <row r="760">
      <c r="A760" s="28"/>
      <c r="B760" s="28"/>
      <c r="C760" s="28"/>
      <c r="D760" s="28"/>
      <c r="E760" s="28"/>
      <c r="F760" s="28"/>
    </row>
    <row r="761">
      <c r="A761" s="28"/>
      <c r="B761" s="28"/>
      <c r="C761" s="28"/>
      <c r="D761" s="28"/>
      <c r="E761" s="28"/>
      <c r="F761" s="28"/>
    </row>
    <row r="762">
      <c r="A762" s="28"/>
      <c r="B762" s="28"/>
      <c r="C762" s="28"/>
      <c r="D762" s="28"/>
      <c r="E762" s="28"/>
      <c r="F762" s="28"/>
    </row>
    <row r="763">
      <c r="A763" s="28"/>
      <c r="B763" s="28"/>
      <c r="C763" s="28"/>
      <c r="D763" s="28"/>
      <c r="E763" s="28"/>
      <c r="F763" s="28"/>
    </row>
    <row r="764">
      <c r="A764" s="28"/>
      <c r="B764" s="28"/>
      <c r="C764" s="28"/>
      <c r="D764" s="28"/>
      <c r="E764" s="28"/>
      <c r="F764" s="28"/>
    </row>
    <row r="765">
      <c r="A765" s="28"/>
      <c r="B765" s="28"/>
      <c r="C765" s="28"/>
      <c r="D765" s="28"/>
      <c r="E765" s="28"/>
      <c r="F765" s="28"/>
    </row>
    <row r="766">
      <c r="A766" s="28"/>
      <c r="B766" s="28"/>
      <c r="C766" s="28"/>
      <c r="D766" s="28"/>
      <c r="E766" s="28"/>
      <c r="F766" s="28"/>
    </row>
    <row r="767">
      <c r="A767" s="28"/>
      <c r="B767" s="28"/>
      <c r="C767" s="28"/>
      <c r="D767" s="28"/>
      <c r="E767" s="28"/>
      <c r="F767" s="28"/>
    </row>
    <row r="768">
      <c r="A768" s="28"/>
      <c r="B768" s="28"/>
      <c r="C768" s="28"/>
      <c r="D768" s="28"/>
      <c r="E768" s="28"/>
      <c r="F768" s="28"/>
    </row>
    <row r="769">
      <c r="A769" s="28"/>
      <c r="B769" s="28"/>
      <c r="C769" s="28"/>
      <c r="D769" s="28"/>
      <c r="E769" s="28"/>
      <c r="F769" s="28"/>
    </row>
    <row r="770">
      <c r="A770" s="28"/>
      <c r="B770" s="28"/>
      <c r="C770" s="28"/>
      <c r="D770" s="28"/>
      <c r="E770" s="28"/>
      <c r="F770" s="28"/>
    </row>
    <row r="771">
      <c r="A771" s="28"/>
      <c r="B771" s="28"/>
      <c r="C771" s="28"/>
      <c r="D771" s="28"/>
      <c r="E771" s="28"/>
      <c r="F771" s="28"/>
    </row>
    <row r="772">
      <c r="A772" s="28"/>
      <c r="B772" s="28"/>
      <c r="C772" s="28"/>
      <c r="D772" s="28"/>
      <c r="E772" s="28"/>
      <c r="F772" s="28"/>
    </row>
    <row r="773">
      <c r="A773" s="28"/>
      <c r="B773" s="28"/>
      <c r="C773" s="28"/>
      <c r="D773" s="28"/>
      <c r="E773" s="28"/>
      <c r="F773" s="28"/>
    </row>
    <row r="774">
      <c r="A774" s="28"/>
      <c r="B774" s="28"/>
      <c r="C774" s="28"/>
      <c r="D774" s="28"/>
      <c r="E774" s="28"/>
      <c r="F774" s="28"/>
    </row>
    <row r="775">
      <c r="A775" s="28"/>
      <c r="B775" s="28"/>
      <c r="C775" s="28"/>
      <c r="D775" s="28"/>
      <c r="E775" s="28"/>
      <c r="F775" s="28"/>
    </row>
    <row r="776">
      <c r="A776" s="28"/>
      <c r="B776" s="28"/>
      <c r="C776" s="28"/>
      <c r="D776" s="28"/>
      <c r="E776" s="28"/>
      <c r="F776" s="28"/>
    </row>
    <row r="777">
      <c r="A777" s="28"/>
      <c r="B777" s="28"/>
      <c r="C777" s="28"/>
      <c r="D777" s="28"/>
      <c r="E777" s="28"/>
      <c r="F777" s="28"/>
    </row>
    <row r="778">
      <c r="A778" s="28"/>
      <c r="B778" s="28"/>
      <c r="C778" s="28"/>
      <c r="D778" s="28"/>
      <c r="E778" s="28"/>
      <c r="F778" s="28"/>
    </row>
    <row r="779">
      <c r="A779" s="28"/>
      <c r="B779" s="28"/>
      <c r="C779" s="28"/>
      <c r="D779" s="28"/>
      <c r="E779" s="28"/>
      <c r="F779" s="28"/>
    </row>
    <row r="780">
      <c r="A780" s="28"/>
      <c r="B780" s="28"/>
      <c r="C780" s="28"/>
      <c r="D780" s="28"/>
      <c r="E780" s="28"/>
      <c r="F780" s="28"/>
    </row>
    <row r="781">
      <c r="A781" s="28"/>
      <c r="B781" s="28"/>
      <c r="C781" s="28"/>
      <c r="D781" s="28"/>
      <c r="E781" s="28"/>
      <c r="F781" s="28"/>
    </row>
    <row r="782">
      <c r="A782" s="28"/>
      <c r="B782" s="28"/>
      <c r="C782" s="28"/>
      <c r="D782" s="28"/>
      <c r="E782" s="28"/>
      <c r="F782" s="28"/>
    </row>
    <row r="783">
      <c r="A783" s="28"/>
      <c r="B783" s="28"/>
      <c r="C783" s="28"/>
      <c r="D783" s="28"/>
      <c r="E783" s="28"/>
      <c r="F783" s="28"/>
    </row>
    <row r="784">
      <c r="A784" s="28"/>
      <c r="B784" s="28"/>
      <c r="C784" s="28"/>
      <c r="D784" s="28"/>
      <c r="E784" s="28"/>
      <c r="F784" s="28"/>
    </row>
    <row r="785">
      <c r="A785" s="28"/>
      <c r="B785" s="28"/>
      <c r="C785" s="28"/>
      <c r="D785" s="28"/>
      <c r="E785" s="28"/>
      <c r="F785" s="28"/>
    </row>
    <row r="786">
      <c r="A786" s="28"/>
      <c r="B786" s="28"/>
      <c r="C786" s="28"/>
      <c r="D786" s="28"/>
      <c r="E786" s="28"/>
      <c r="F786" s="28"/>
    </row>
    <row r="787">
      <c r="A787" s="28"/>
      <c r="B787" s="28"/>
      <c r="C787" s="28"/>
      <c r="D787" s="28"/>
      <c r="E787" s="28"/>
      <c r="F787" s="28"/>
    </row>
    <row r="788">
      <c r="A788" s="28"/>
      <c r="B788" s="28"/>
      <c r="C788" s="28"/>
      <c r="D788" s="28"/>
      <c r="E788" s="28"/>
      <c r="F788" s="28"/>
    </row>
    <row r="789">
      <c r="A789" s="28"/>
      <c r="B789" s="28"/>
      <c r="C789" s="28"/>
      <c r="D789" s="28"/>
      <c r="E789" s="28"/>
      <c r="F789" s="28"/>
    </row>
    <row r="790">
      <c r="A790" s="28"/>
      <c r="B790" s="28"/>
      <c r="C790" s="28"/>
      <c r="D790" s="28"/>
      <c r="E790" s="28"/>
      <c r="F790" s="28"/>
    </row>
    <row r="791">
      <c r="A791" s="28"/>
      <c r="B791" s="28"/>
      <c r="C791" s="28"/>
      <c r="D791" s="28"/>
      <c r="E791" s="28"/>
      <c r="F791" s="28"/>
    </row>
    <row r="792">
      <c r="A792" s="28"/>
      <c r="B792" s="28"/>
      <c r="C792" s="28"/>
      <c r="D792" s="28"/>
      <c r="E792" s="28"/>
      <c r="F792" s="28"/>
    </row>
    <row r="793">
      <c r="A793" s="28"/>
      <c r="B793" s="28"/>
      <c r="C793" s="28"/>
      <c r="D793" s="28"/>
      <c r="E793" s="28"/>
      <c r="F793" s="28"/>
    </row>
    <row r="794">
      <c r="A794" s="28"/>
      <c r="B794" s="28"/>
      <c r="C794" s="28"/>
      <c r="D794" s="28"/>
      <c r="E794" s="28"/>
      <c r="F794" s="28"/>
    </row>
    <row r="795">
      <c r="A795" s="28"/>
      <c r="B795" s="28"/>
      <c r="C795" s="28"/>
      <c r="D795" s="28"/>
      <c r="E795" s="28"/>
      <c r="F795" s="28"/>
    </row>
    <row r="796">
      <c r="A796" s="28"/>
      <c r="B796" s="28"/>
      <c r="C796" s="28"/>
      <c r="D796" s="28"/>
      <c r="E796" s="28"/>
      <c r="F796" s="28"/>
    </row>
    <row r="797">
      <c r="A797" s="28"/>
      <c r="B797" s="28"/>
      <c r="C797" s="28"/>
      <c r="D797" s="28"/>
      <c r="E797" s="28"/>
      <c r="F797" s="28"/>
    </row>
    <row r="798">
      <c r="A798" s="28"/>
      <c r="B798" s="28"/>
      <c r="C798" s="28"/>
      <c r="D798" s="28"/>
      <c r="E798" s="28"/>
      <c r="F798" s="28"/>
    </row>
    <row r="799">
      <c r="A799" s="28"/>
      <c r="B799" s="28"/>
      <c r="C799" s="28"/>
      <c r="D799" s="28"/>
      <c r="E799" s="28"/>
      <c r="F799" s="28"/>
    </row>
    <row r="800">
      <c r="A800" s="28"/>
      <c r="B800" s="28"/>
      <c r="C800" s="28"/>
      <c r="D800" s="28"/>
      <c r="E800" s="28"/>
      <c r="F800" s="28"/>
    </row>
    <row r="801">
      <c r="A801" s="28"/>
      <c r="B801" s="28"/>
      <c r="C801" s="28"/>
      <c r="D801" s="28"/>
      <c r="E801" s="28"/>
      <c r="F801" s="28"/>
    </row>
    <row r="802">
      <c r="A802" s="28"/>
      <c r="B802" s="28"/>
      <c r="C802" s="28"/>
      <c r="D802" s="28"/>
      <c r="E802" s="28"/>
      <c r="F802" s="28"/>
    </row>
    <row r="803">
      <c r="A803" s="28"/>
      <c r="B803" s="28"/>
      <c r="C803" s="28"/>
      <c r="D803" s="28"/>
      <c r="E803" s="28"/>
      <c r="F803" s="28"/>
    </row>
    <row r="804">
      <c r="A804" s="28"/>
      <c r="B804" s="28"/>
      <c r="C804" s="28"/>
      <c r="D804" s="28"/>
      <c r="E804" s="28"/>
      <c r="F804" s="28"/>
    </row>
    <row r="805">
      <c r="A805" s="28"/>
      <c r="B805" s="28"/>
      <c r="C805" s="28"/>
      <c r="D805" s="28"/>
      <c r="E805" s="28"/>
      <c r="F805" s="28"/>
    </row>
    <row r="806">
      <c r="A806" s="28"/>
      <c r="B806" s="28"/>
      <c r="C806" s="28"/>
      <c r="D806" s="28"/>
      <c r="E806" s="28"/>
      <c r="F806" s="28"/>
    </row>
    <row r="807">
      <c r="A807" s="28"/>
      <c r="B807" s="28"/>
      <c r="C807" s="28"/>
      <c r="D807" s="28"/>
      <c r="E807" s="28"/>
      <c r="F807" s="28"/>
    </row>
    <row r="808">
      <c r="A808" s="28"/>
      <c r="B808" s="28"/>
      <c r="C808" s="28"/>
      <c r="D808" s="28"/>
      <c r="E808" s="28"/>
      <c r="F808" s="28"/>
    </row>
    <row r="809">
      <c r="A809" s="28"/>
      <c r="B809" s="28"/>
      <c r="C809" s="28"/>
      <c r="D809" s="28"/>
      <c r="E809" s="28"/>
      <c r="F809" s="28"/>
    </row>
    <row r="810">
      <c r="A810" s="28"/>
      <c r="B810" s="28"/>
      <c r="C810" s="28"/>
      <c r="D810" s="28"/>
      <c r="E810" s="28"/>
      <c r="F810" s="28"/>
    </row>
    <row r="811">
      <c r="A811" s="28"/>
      <c r="B811" s="28"/>
      <c r="C811" s="28"/>
      <c r="D811" s="28"/>
      <c r="E811" s="28"/>
      <c r="F811" s="28"/>
    </row>
    <row r="812">
      <c r="A812" s="28"/>
      <c r="B812" s="28"/>
      <c r="C812" s="28"/>
      <c r="D812" s="28"/>
      <c r="E812" s="28"/>
      <c r="F812" s="28"/>
    </row>
    <row r="813">
      <c r="A813" s="28"/>
      <c r="B813" s="28"/>
      <c r="C813" s="28"/>
      <c r="D813" s="28"/>
      <c r="E813" s="28"/>
      <c r="F813" s="28"/>
    </row>
    <row r="814">
      <c r="A814" s="28"/>
      <c r="B814" s="28"/>
      <c r="C814" s="28"/>
      <c r="D814" s="28"/>
      <c r="E814" s="28"/>
      <c r="F814" s="28"/>
    </row>
    <row r="815">
      <c r="A815" s="28"/>
      <c r="B815" s="28"/>
      <c r="C815" s="28"/>
      <c r="D815" s="28"/>
      <c r="E815" s="28"/>
      <c r="F815" s="28"/>
    </row>
    <row r="816">
      <c r="A816" s="28"/>
      <c r="B816" s="28"/>
      <c r="C816" s="28"/>
      <c r="D816" s="28"/>
      <c r="E816" s="28"/>
      <c r="F816" s="28"/>
    </row>
    <row r="817">
      <c r="A817" s="28"/>
      <c r="B817" s="28"/>
      <c r="C817" s="28"/>
      <c r="D817" s="28"/>
      <c r="E817" s="28"/>
      <c r="F817" s="28"/>
    </row>
    <row r="818">
      <c r="A818" s="28"/>
      <c r="B818" s="28"/>
      <c r="C818" s="28"/>
      <c r="D818" s="28"/>
      <c r="E818" s="28"/>
      <c r="F818" s="28"/>
    </row>
    <row r="819">
      <c r="A819" s="28"/>
      <c r="B819" s="28"/>
      <c r="C819" s="28"/>
      <c r="D819" s="28"/>
      <c r="E819" s="28"/>
      <c r="F819" s="28"/>
    </row>
    <row r="820">
      <c r="A820" s="28"/>
      <c r="B820" s="28"/>
      <c r="C820" s="28"/>
      <c r="D820" s="28"/>
      <c r="E820" s="28"/>
      <c r="F820" s="28"/>
    </row>
    <row r="821">
      <c r="A821" s="28"/>
      <c r="B821" s="28"/>
      <c r="C821" s="28"/>
      <c r="D821" s="28"/>
      <c r="E821" s="28"/>
      <c r="F821" s="28"/>
    </row>
    <row r="822">
      <c r="A822" s="28"/>
      <c r="B822" s="28"/>
      <c r="C822" s="28"/>
      <c r="D822" s="28"/>
      <c r="E822" s="28"/>
      <c r="F822" s="28"/>
    </row>
    <row r="823">
      <c r="A823" s="28"/>
      <c r="B823" s="28"/>
      <c r="C823" s="28"/>
      <c r="D823" s="28"/>
      <c r="E823" s="28"/>
      <c r="F823" s="28"/>
    </row>
    <row r="824">
      <c r="A824" s="28"/>
      <c r="B824" s="28"/>
      <c r="C824" s="28"/>
      <c r="D824" s="28"/>
      <c r="E824" s="28"/>
      <c r="F824" s="28"/>
    </row>
    <row r="825">
      <c r="A825" s="28"/>
      <c r="B825" s="28"/>
      <c r="C825" s="28"/>
      <c r="D825" s="28"/>
      <c r="E825" s="28"/>
      <c r="F825" s="28"/>
    </row>
    <row r="826">
      <c r="A826" s="28"/>
      <c r="B826" s="28"/>
      <c r="C826" s="28"/>
      <c r="D826" s="28"/>
      <c r="E826" s="28"/>
      <c r="F826" s="28"/>
    </row>
    <row r="827">
      <c r="A827" s="28"/>
      <c r="B827" s="28"/>
      <c r="C827" s="28"/>
      <c r="D827" s="28"/>
      <c r="E827" s="28"/>
      <c r="F827" s="28"/>
    </row>
    <row r="828">
      <c r="A828" s="28"/>
      <c r="B828" s="28"/>
      <c r="C828" s="28"/>
      <c r="D828" s="28"/>
      <c r="E828" s="28"/>
      <c r="F828" s="28"/>
    </row>
    <row r="829">
      <c r="A829" s="28"/>
      <c r="B829" s="28"/>
      <c r="C829" s="28"/>
      <c r="D829" s="28"/>
      <c r="E829" s="28"/>
      <c r="F829" s="28"/>
    </row>
    <row r="830">
      <c r="A830" s="28"/>
      <c r="B830" s="28"/>
      <c r="C830" s="28"/>
      <c r="D830" s="28"/>
      <c r="E830" s="28"/>
      <c r="F830" s="28"/>
    </row>
    <row r="831">
      <c r="A831" s="28"/>
      <c r="B831" s="28"/>
      <c r="C831" s="28"/>
      <c r="D831" s="28"/>
      <c r="E831" s="28"/>
      <c r="F831" s="28"/>
    </row>
    <row r="832">
      <c r="A832" s="28"/>
      <c r="B832" s="28"/>
      <c r="C832" s="28"/>
      <c r="D832" s="28"/>
      <c r="E832" s="28"/>
      <c r="F832" s="28"/>
    </row>
    <row r="833">
      <c r="A833" s="28"/>
      <c r="B833" s="28"/>
      <c r="C833" s="28"/>
      <c r="D833" s="28"/>
      <c r="E833" s="28"/>
      <c r="F833" s="28"/>
    </row>
    <row r="834">
      <c r="A834" s="28"/>
      <c r="B834" s="28"/>
      <c r="C834" s="28"/>
      <c r="D834" s="28"/>
      <c r="E834" s="28"/>
      <c r="F834" s="28"/>
    </row>
    <row r="835">
      <c r="A835" s="28"/>
      <c r="B835" s="28"/>
      <c r="C835" s="28"/>
      <c r="D835" s="28"/>
      <c r="E835" s="28"/>
      <c r="F835" s="28"/>
    </row>
    <row r="836">
      <c r="A836" s="28"/>
      <c r="B836" s="28"/>
      <c r="C836" s="28"/>
      <c r="D836" s="28"/>
      <c r="E836" s="28"/>
      <c r="F836" s="28"/>
    </row>
    <row r="837">
      <c r="A837" s="28"/>
      <c r="B837" s="28"/>
      <c r="C837" s="28"/>
      <c r="D837" s="28"/>
      <c r="E837" s="28"/>
      <c r="F837" s="28"/>
    </row>
    <row r="838">
      <c r="A838" s="28"/>
      <c r="B838" s="28"/>
      <c r="C838" s="28"/>
      <c r="D838" s="28"/>
      <c r="E838" s="28"/>
      <c r="F838" s="28"/>
    </row>
    <row r="839">
      <c r="A839" s="28"/>
      <c r="B839" s="28"/>
      <c r="C839" s="28"/>
      <c r="D839" s="28"/>
      <c r="E839" s="28"/>
      <c r="F839" s="28"/>
    </row>
    <row r="840">
      <c r="A840" s="28"/>
      <c r="B840" s="28"/>
      <c r="C840" s="28"/>
      <c r="D840" s="28"/>
      <c r="E840" s="28"/>
      <c r="F840" s="28"/>
    </row>
    <row r="841">
      <c r="A841" s="28"/>
      <c r="B841" s="28"/>
      <c r="C841" s="28"/>
      <c r="D841" s="28"/>
      <c r="E841" s="28"/>
      <c r="F841" s="28"/>
    </row>
    <row r="842">
      <c r="A842" s="28"/>
      <c r="B842" s="28"/>
      <c r="C842" s="28"/>
      <c r="D842" s="28"/>
      <c r="E842" s="28"/>
      <c r="F842" s="28"/>
    </row>
    <row r="843">
      <c r="A843" s="28"/>
      <c r="B843" s="28"/>
      <c r="C843" s="28"/>
      <c r="D843" s="28"/>
      <c r="E843" s="28"/>
      <c r="F843" s="28"/>
    </row>
    <row r="844">
      <c r="A844" s="28"/>
      <c r="B844" s="28"/>
      <c r="C844" s="28"/>
      <c r="D844" s="28"/>
      <c r="E844" s="28"/>
      <c r="F844" s="28"/>
    </row>
    <row r="845">
      <c r="A845" s="28"/>
      <c r="B845" s="28"/>
      <c r="C845" s="28"/>
      <c r="D845" s="28"/>
      <c r="E845" s="28"/>
      <c r="F845" s="28"/>
    </row>
    <row r="846">
      <c r="A846" s="28"/>
      <c r="B846" s="28"/>
      <c r="C846" s="28"/>
      <c r="D846" s="28"/>
      <c r="E846" s="28"/>
      <c r="F846" s="28"/>
    </row>
    <row r="847">
      <c r="A847" s="28"/>
      <c r="B847" s="28"/>
      <c r="C847" s="28"/>
      <c r="D847" s="28"/>
      <c r="E847" s="28"/>
      <c r="F847" s="28"/>
    </row>
    <row r="848">
      <c r="A848" s="28"/>
      <c r="B848" s="28"/>
      <c r="C848" s="28"/>
      <c r="D848" s="28"/>
      <c r="E848" s="28"/>
      <c r="F848" s="28"/>
    </row>
    <row r="849">
      <c r="A849" s="28"/>
      <c r="B849" s="28"/>
      <c r="C849" s="28"/>
      <c r="D849" s="28"/>
      <c r="E849" s="28"/>
      <c r="F849" s="28"/>
    </row>
    <row r="850">
      <c r="A850" s="28"/>
      <c r="B850" s="28"/>
      <c r="C850" s="28"/>
      <c r="D850" s="28"/>
      <c r="E850" s="28"/>
      <c r="F850" s="28"/>
    </row>
    <row r="851">
      <c r="A851" s="28"/>
      <c r="B851" s="28"/>
      <c r="C851" s="28"/>
      <c r="D851" s="28"/>
      <c r="E851" s="28"/>
      <c r="F851" s="28"/>
    </row>
    <row r="852">
      <c r="A852" s="28"/>
      <c r="B852" s="28"/>
      <c r="C852" s="28"/>
      <c r="D852" s="28"/>
      <c r="E852" s="28"/>
      <c r="F852" s="28"/>
    </row>
    <row r="853">
      <c r="A853" s="28"/>
      <c r="B853" s="28"/>
      <c r="C853" s="28"/>
      <c r="D853" s="28"/>
      <c r="E853" s="28"/>
      <c r="F853" s="28"/>
    </row>
    <row r="854">
      <c r="A854" s="28"/>
      <c r="B854" s="28"/>
      <c r="C854" s="28"/>
      <c r="D854" s="28"/>
      <c r="E854" s="28"/>
      <c r="F854" s="28"/>
    </row>
    <row r="855">
      <c r="A855" s="28"/>
      <c r="B855" s="28"/>
      <c r="C855" s="28"/>
      <c r="D855" s="28"/>
      <c r="E855" s="28"/>
      <c r="F855" s="28"/>
    </row>
    <row r="856">
      <c r="A856" s="28"/>
      <c r="B856" s="28"/>
      <c r="C856" s="28"/>
      <c r="D856" s="28"/>
      <c r="E856" s="28"/>
      <c r="F856" s="28"/>
    </row>
    <row r="857">
      <c r="A857" s="28"/>
      <c r="B857" s="28"/>
      <c r="C857" s="28"/>
      <c r="D857" s="28"/>
      <c r="E857" s="28"/>
      <c r="F857" s="28"/>
    </row>
    <row r="858">
      <c r="A858" s="28"/>
      <c r="B858" s="28"/>
      <c r="C858" s="28"/>
      <c r="D858" s="28"/>
      <c r="E858" s="28"/>
      <c r="F858" s="28"/>
    </row>
    <row r="859">
      <c r="A859" s="28"/>
      <c r="B859" s="28"/>
      <c r="C859" s="28"/>
      <c r="D859" s="28"/>
      <c r="E859" s="28"/>
      <c r="F859" s="28"/>
    </row>
    <row r="860">
      <c r="A860" s="28"/>
      <c r="B860" s="28"/>
      <c r="C860" s="28"/>
      <c r="D860" s="28"/>
      <c r="E860" s="28"/>
      <c r="F860" s="28"/>
    </row>
    <row r="861">
      <c r="A861" s="28"/>
      <c r="B861" s="28"/>
      <c r="C861" s="28"/>
      <c r="D861" s="28"/>
      <c r="E861" s="28"/>
      <c r="F861" s="28"/>
    </row>
    <row r="862">
      <c r="A862" s="28"/>
      <c r="B862" s="28"/>
      <c r="C862" s="28"/>
      <c r="D862" s="28"/>
      <c r="E862" s="28"/>
      <c r="F862" s="28"/>
    </row>
    <row r="863">
      <c r="A863" s="28"/>
      <c r="B863" s="28"/>
      <c r="C863" s="28"/>
      <c r="D863" s="28"/>
      <c r="E863" s="28"/>
      <c r="F863" s="28"/>
    </row>
    <row r="864">
      <c r="A864" s="28"/>
      <c r="B864" s="28"/>
      <c r="C864" s="28"/>
      <c r="D864" s="28"/>
      <c r="E864" s="28"/>
      <c r="F864" s="28"/>
    </row>
    <row r="865">
      <c r="A865" s="28"/>
      <c r="B865" s="28"/>
      <c r="C865" s="28"/>
      <c r="D865" s="28"/>
      <c r="E865" s="28"/>
      <c r="F865" s="28"/>
    </row>
    <row r="866">
      <c r="A866" s="28"/>
      <c r="B866" s="28"/>
      <c r="C866" s="28"/>
      <c r="D866" s="28"/>
      <c r="E866" s="28"/>
      <c r="F866" s="28"/>
    </row>
    <row r="867">
      <c r="A867" s="28"/>
      <c r="B867" s="28"/>
      <c r="C867" s="28"/>
      <c r="D867" s="28"/>
      <c r="E867" s="28"/>
      <c r="F867" s="28"/>
    </row>
    <row r="868">
      <c r="A868" s="28"/>
      <c r="B868" s="28"/>
      <c r="C868" s="28"/>
      <c r="D868" s="28"/>
      <c r="E868" s="28"/>
      <c r="F868" s="28"/>
    </row>
    <row r="869">
      <c r="A869" s="28"/>
      <c r="B869" s="28"/>
      <c r="C869" s="28"/>
      <c r="D869" s="28"/>
      <c r="E869" s="28"/>
      <c r="F869" s="28"/>
    </row>
    <row r="870">
      <c r="A870" s="28"/>
      <c r="B870" s="28"/>
      <c r="C870" s="28"/>
      <c r="D870" s="28"/>
      <c r="E870" s="28"/>
      <c r="F870" s="28"/>
    </row>
    <row r="871">
      <c r="A871" s="28"/>
      <c r="B871" s="28"/>
      <c r="C871" s="28"/>
      <c r="D871" s="28"/>
      <c r="E871" s="28"/>
      <c r="F871" s="28"/>
    </row>
    <row r="872">
      <c r="A872" s="28"/>
      <c r="B872" s="28"/>
      <c r="C872" s="28"/>
      <c r="D872" s="28"/>
      <c r="E872" s="28"/>
      <c r="F872" s="28"/>
    </row>
    <row r="873">
      <c r="A873" s="28"/>
      <c r="B873" s="28"/>
      <c r="C873" s="28"/>
      <c r="D873" s="28"/>
      <c r="E873" s="28"/>
      <c r="F873" s="28"/>
    </row>
    <row r="874">
      <c r="A874" s="28"/>
      <c r="B874" s="28"/>
      <c r="C874" s="28"/>
      <c r="D874" s="28"/>
      <c r="E874" s="28"/>
      <c r="F874" s="28"/>
    </row>
    <row r="875">
      <c r="A875" s="28"/>
      <c r="B875" s="28"/>
      <c r="C875" s="28"/>
      <c r="D875" s="28"/>
      <c r="E875" s="28"/>
      <c r="F875" s="28"/>
    </row>
    <row r="876">
      <c r="A876" s="28"/>
      <c r="B876" s="28"/>
      <c r="C876" s="28"/>
      <c r="D876" s="28"/>
      <c r="E876" s="28"/>
      <c r="F876" s="28"/>
    </row>
    <row r="877">
      <c r="A877" s="28"/>
      <c r="B877" s="28"/>
      <c r="C877" s="28"/>
      <c r="D877" s="28"/>
      <c r="E877" s="28"/>
      <c r="F877" s="28"/>
    </row>
    <row r="878">
      <c r="A878" s="28"/>
      <c r="B878" s="28"/>
      <c r="C878" s="28"/>
      <c r="D878" s="28"/>
      <c r="E878" s="28"/>
      <c r="F878" s="28"/>
    </row>
    <row r="879">
      <c r="A879" s="28"/>
      <c r="B879" s="28"/>
      <c r="C879" s="28"/>
      <c r="D879" s="28"/>
      <c r="E879" s="28"/>
      <c r="F879" s="28"/>
    </row>
    <row r="880">
      <c r="A880" s="28"/>
      <c r="B880" s="28"/>
      <c r="C880" s="28"/>
      <c r="D880" s="28"/>
      <c r="E880" s="28"/>
      <c r="F880" s="28"/>
    </row>
    <row r="881">
      <c r="A881" s="28"/>
      <c r="B881" s="28"/>
      <c r="C881" s="28"/>
      <c r="D881" s="28"/>
      <c r="E881" s="28"/>
      <c r="F881" s="28"/>
    </row>
    <row r="882">
      <c r="A882" s="28"/>
      <c r="B882" s="28"/>
      <c r="C882" s="28"/>
      <c r="D882" s="28"/>
      <c r="E882" s="28"/>
      <c r="F882" s="28"/>
    </row>
    <row r="883">
      <c r="A883" s="28"/>
      <c r="B883" s="28"/>
      <c r="C883" s="28"/>
      <c r="D883" s="28"/>
      <c r="E883" s="28"/>
      <c r="F883" s="28"/>
    </row>
    <row r="884">
      <c r="A884" s="28"/>
      <c r="B884" s="28"/>
      <c r="C884" s="28"/>
      <c r="D884" s="28"/>
      <c r="E884" s="28"/>
      <c r="F884" s="28"/>
    </row>
    <row r="885">
      <c r="A885" s="28"/>
      <c r="B885" s="28"/>
      <c r="C885" s="28"/>
      <c r="D885" s="28"/>
      <c r="E885" s="28"/>
      <c r="F885" s="28"/>
    </row>
    <row r="886">
      <c r="A886" s="28"/>
      <c r="B886" s="28"/>
      <c r="C886" s="28"/>
      <c r="D886" s="28"/>
      <c r="E886" s="28"/>
      <c r="F886" s="28"/>
    </row>
    <row r="887">
      <c r="A887" s="28"/>
      <c r="B887" s="28"/>
      <c r="C887" s="28"/>
      <c r="D887" s="28"/>
      <c r="E887" s="28"/>
      <c r="F887" s="28"/>
    </row>
    <row r="888">
      <c r="A888" s="28"/>
      <c r="B888" s="28"/>
      <c r="C888" s="28"/>
      <c r="D888" s="28"/>
      <c r="E888" s="28"/>
      <c r="F888" s="28"/>
    </row>
    <row r="889">
      <c r="A889" s="28"/>
      <c r="B889" s="28"/>
      <c r="C889" s="28"/>
      <c r="D889" s="28"/>
      <c r="E889" s="28"/>
      <c r="F889" s="28"/>
    </row>
    <row r="890">
      <c r="A890" s="28"/>
      <c r="B890" s="28"/>
      <c r="C890" s="28"/>
      <c r="D890" s="28"/>
      <c r="E890" s="28"/>
      <c r="F890" s="28"/>
    </row>
    <row r="891">
      <c r="A891" s="28"/>
      <c r="B891" s="28"/>
      <c r="C891" s="28"/>
      <c r="D891" s="28"/>
      <c r="E891" s="28"/>
      <c r="F891" s="28"/>
    </row>
    <row r="892">
      <c r="A892" s="28"/>
      <c r="B892" s="28"/>
      <c r="C892" s="28"/>
      <c r="D892" s="28"/>
      <c r="E892" s="28"/>
      <c r="F892" s="28"/>
    </row>
    <row r="893">
      <c r="A893" s="28"/>
      <c r="B893" s="28"/>
      <c r="C893" s="28"/>
      <c r="D893" s="28"/>
      <c r="E893" s="28"/>
      <c r="F893" s="28"/>
    </row>
    <row r="894">
      <c r="A894" s="28"/>
      <c r="B894" s="28"/>
      <c r="C894" s="28"/>
      <c r="D894" s="28"/>
      <c r="E894" s="28"/>
      <c r="F894" s="28"/>
    </row>
    <row r="895">
      <c r="A895" s="28"/>
      <c r="B895" s="28"/>
      <c r="C895" s="28"/>
      <c r="D895" s="28"/>
      <c r="E895" s="28"/>
      <c r="F895" s="28"/>
    </row>
    <row r="896">
      <c r="A896" s="28"/>
      <c r="B896" s="28"/>
      <c r="C896" s="28"/>
      <c r="D896" s="28"/>
      <c r="E896" s="28"/>
      <c r="F896" s="28"/>
    </row>
    <row r="897">
      <c r="A897" s="28"/>
      <c r="B897" s="28"/>
      <c r="C897" s="28"/>
      <c r="D897" s="28"/>
      <c r="E897" s="28"/>
      <c r="F897" s="28"/>
    </row>
    <row r="898">
      <c r="A898" s="28"/>
      <c r="B898" s="28"/>
      <c r="C898" s="28"/>
      <c r="D898" s="28"/>
      <c r="E898" s="28"/>
      <c r="F898" s="28"/>
    </row>
    <row r="899">
      <c r="A899" s="28"/>
      <c r="B899" s="28"/>
      <c r="C899" s="28"/>
      <c r="D899" s="28"/>
      <c r="E899" s="28"/>
      <c r="F899" s="28"/>
    </row>
    <row r="900">
      <c r="A900" s="28"/>
      <c r="B900" s="28"/>
      <c r="C900" s="28"/>
      <c r="D900" s="28"/>
      <c r="E900" s="28"/>
      <c r="F900" s="28"/>
    </row>
    <row r="901">
      <c r="A901" s="28"/>
      <c r="B901" s="28"/>
      <c r="C901" s="28"/>
      <c r="D901" s="28"/>
      <c r="E901" s="28"/>
      <c r="F901" s="28"/>
    </row>
    <row r="902">
      <c r="A902" s="28"/>
      <c r="B902" s="28"/>
      <c r="C902" s="28"/>
      <c r="D902" s="28"/>
      <c r="E902" s="28"/>
      <c r="F902" s="28"/>
    </row>
    <row r="903">
      <c r="A903" s="28"/>
      <c r="B903" s="28"/>
      <c r="C903" s="28"/>
      <c r="D903" s="28"/>
      <c r="E903" s="28"/>
      <c r="F903" s="28"/>
    </row>
    <row r="904">
      <c r="A904" s="28"/>
      <c r="B904" s="28"/>
      <c r="C904" s="28"/>
      <c r="D904" s="28"/>
      <c r="E904" s="28"/>
      <c r="F904" s="28"/>
    </row>
    <row r="905">
      <c r="A905" s="28"/>
      <c r="B905" s="28"/>
      <c r="C905" s="28"/>
      <c r="D905" s="28"/>
      <c r="E905" s="28"/>
      <c r="F905" s="28"/>
    </row>
    <row r="906">
      <c r="A906" s="28"/>
      <c r="B906" s="28"/>
      <c r="C906" s="28"/>
      <c r="D906" s="28"/>
      <c r="E906" s="28"/>
      <c r="F906" s="28"/>
    </row>
    <row r="907">
      <c r="A907" s="28"/>
      <c r="B907" s="28"/>
      <c r="C907" s="28"/>
      <c r="D907" s="28"/>
      <c r="E907" s="28"/>
      <c r="F907" s="28"/>
    </row>
    <row r="908">
      <c r="A908" s="28"/>
      <c r="B908" s="28"/>
      <c r="C908" s="28"/>
      <c r="D908" s="28"/>
      <c r="E908" s="28"/>
      <c r="F908" s="28"/>
    </row>
    <row r="909">
      <c r="A909" s="28"/>
      <c r="B909" s="28"/>
      <c r="C909" s="28"/>
      <c r="D909" s="28"/>
      <c r="E909" s="28"/>
      <c r="F909" s="28"/>
    </row>
    <row r="910">
      <c r="A910" s="28"/>
      <c r="B910" s="28"/>
      <c r="C910" s="28"/>
      <c r="D910" s="28"/>
      <c r="E910" s="28"/>
      <c r="F910" s="28"/>
    </row>
    <row r="911">
      <c r="A911" s="28"/>
      <c r="B911" s="28"/>
      <c r="C911" s="28"/>
      <c r="D911" s="28"/>
      <c r="E911" s="28"/>
      <c r="F911" s="28"/>
    </row>
    <row r="912">
      <c r="A912" s="28"/>
      <c r="B912" s="28"/>
      <c r="C912" s="28"/>
      <c r="D912" s="28"/>
      <c r="E912" s="28"/>
      <c r="F912" s="28"/>
    </row>
    <row r="913">
      <c r="A913" s="28"/>
      <c r="B913" s="28"/>
      <c r="C913" s="28"/>
      <c r="D913" s="28"/>
      <c r="E913" s="28"/>
      <c r="F913" s="28"/>
    </row>
    <row r="914">
      <c r="A914" s="28"/>
      <c r="B914" s="28"/>
      <c r="C914" s="28"/>
      <c r="D914" s="28"/>
      <c r="E914" s="28"/>
      <c r="F914" s="28"/>
    </row>
    <row r="915">
      <c r="A915" s="28"/>
      <c r="B915" s="28"/>
      <c r="C915" s="28"/>
      <c r="D915" s="28"/>
      <c r="E915" s="28"/>
      <c r="F915" s="28"/>
    </row>
    <row r="916">
      <c r="A916" s="28"/>
      <c r="B916" s="28"/>
      <c r="C916" s="28"/>
      <c r="D916" s="28"/>
      <c r="E916" s="28"/>
      <c r="F916" s="28"/>
    </row>
    <row r="917">
      <c r="A917" s="28"/>
      <c r="B917" s="28"/>
      <c r="C917" s="28"/>
      <c r="D917" s="28"/>
      <c r="E917" s="28"/>
      <c r="F917" s="28"/>
    </row>
    <row r="918">
      <c r="A918" s="28"/>
      <c r="B918" s="28"/>
      <c r="C918" s="28"/>
      <c r="D918" s="28"/>
      <c r="E918" s="28"/>
      <c r="F918" s="28"/>
    </row>
    <row r="919">
      <c r="A919" s="28"/>
      <c r="B919" s="28"/>
      <c r="C919" s="28"/>
      <c r="D919" s="28"/>
      <c r="E919" s="28"/>
      <c r="F919" s="28"/>
    </row>
    <row r="920">
      <c r="A920" s="28"/>
      <c r="B920" s="28"/>
      <c r="C920" s="28"/>
      <c r="D920" s="28"/>
      <c r="E920" s="28"/>
      <c r="F920" s="28"/>
    </row>
    <row r="921">
      <c r="A921" s="28"/>
      <c r="B921" s="28"/>
      <c r="C921" s="28"/>
      <c r="D921" s="28"/>
      <c r="E921" s="28"/>
      <c r="F921" s="28"/>
    </row>
    <row r="922">
      <c r="A922" s="28"/>
      <c r="B922" s="28"/>
      <c r="C922" s="28"/>
      <c r="D922" s="28"/>
      <c r="E922" s="28"/>
      <c r="F922" s="28"/>
    </row>
    <row r="923">
      <c r="A923" s="28"/>
      <c r="B923" s="28"/>
      <c r="C923" s="28"/>
      <c r="D923" s="28"/>
      <c r="E923" s="28"/>
      <c r="F923" s="28"/>
    </row>
    <row r="924">
      <c r="A924" s="28"/>
      <c r="B924" s="28"/>
      <c r="C924" s="28"/>
      <c r="D924" s="28"/>
      <c r="E924" s="28"/>
      <c r="F924" s="28"/>
    </row>
    <row r="925">
      <c r="A925" s="28"/>
      <c r="B925" s="28"/>
      <c r="C925" s="28"/>
      <c r="D925" s="28"/>
      <c r="E925" s="28"/>
      <c r="F925" s="28"/>
    </row>
    <row r="926">
      <c r="A926" s="28"/>
      <c r="B926" s="28"/>
      <c r="C926" s="28"/>
      <c r="D926" s="28"/>
      <c r="E926" s="28"/>
      <c r="F926" s="28"/>
    </row>
    <row r="927">
      <c r="A927" s="28"/>
      <c r="B927" s="28"/>
      <c r="C927" s="28"/>
      <c r="D927" s="28"/>
      <c r="E927" s="28"/>
      <c r="F927" s="28"/>
    </row>
    <row r="928">
      <c r="A928" s="28"/>
      <c r="B928" s="28"/>
      <c r="C928" s="28"/>
      <c r="D928" s="28"/>
      <c r="E928" s="28"/>
      <c r="F928" s="28"/>
    </row>
    <row r="929">
      <c r="A929" s="28"/>
      <c r="B929" s="28"/>
      <c r="C929" s="28"/>
      <c r="D929" s="28"/>
      <c r="E929" s="28"/>
      <c r="F929" s="28"/>
    </row>
    <row r="930">
      <c r="A930" s="28"/>
      <c r="B930" s="28"/>
      <c r="C930" s="28"/>
      <c r="D930" s="28"/>
      <c r="E930" s="28"/>
      <c r="F930" s="28"/>
    </row>
    <row r="931">
      <c r="A931" s="28"/>
      <c r="B931" s="28"/>
      <c r="C931" s="28"/>
      <c r="D931" s="28"/>
      <c r="E931" s="28"/>
      <c r="F931" s="28"/>
    </row>
    <row r="932">
      <c r="A932" s="28"/>
      <c r="B932" s="28"/>
      <c r="C932" s="28"/>
      <c r="D932" s="28"/>
      <c r="E932" s="28"/>
      <c r="F932" s="28"/>
    </row>
    <row r="933">
      <c r="A933" s="28"/>
      <c r="B933" s="28"/>
      <c r="C933" s="28"/>
      <c r="D933" s="28"/>
      <c r="E933" s="28"/>
      <c r="F933" s="28"/>
    </row>
    <row r="934">
      <c r="A934" s="28"/>
      <c r="B934" s="28"/>
      <c r="C934" s="28"/>
      <c r="D934" s="28"/>
      <c r="E934" s="28"/>
      <c r="F934" s="28"/>
    </row>
    <row r="935">
      <c r="A935" s="28"/>
      <c r="B935" s="28"/>
      <c r="C935" s="28"/>
      <c r="D935" s="28"/>
      <c r="E935" s="28"/>
      <c r="F935" s="28"/>
    </row>
    <row r="936">
      <c r="A936" s="28"/>
      <c r="B936" s="28"/>
      <c r="C936" s="28"/>
      <c r="D936" s="28"/>
      <c r="E936" s="28"/>
      <c r="F936" s="28"/>
    </row>
    <row r="937">
      <c r="A937" s="28"/>
      <c r="B937" s="28"/>
      <c r="C937" s="28"/>
      <c r="D937" s="28"/>
      <c r="E937" s="28"/>
      <c r="F937" s="28"/>
    </row>
    <row r="938">
      <c r="A938" s="28"/>
      <c r="B938" s="28"/>
      <c r="C938" s="28"/>
      <c r="D938" s="28"/>
      <c r="E938" s="28"/>
      <c r="F938" s="28"/>
    </row>
    <row r="939">
      <c r="A939" s="28"/>
      <c r="B939" s="28"/>
      <c r="C939" s="28"/>
      <c r="D939" s="28"/>
      <c r="E939" s="28"/>
      <c r="F939" s="28"/>
    </row>
    <row r="940">
      <c r="A940" s="28"/>
      <c r="B940" s="28"/>
      <c r="C940" s="28"/>
      <c r="D940" s="28"/>
      <c r="E940" s="28"/>
      <c r="F940" s="28"/>
    </row>
    <row r="941">
      <c r="A941" s="28"/>
      <c r="B941" s="28"/>
      <c r="C941" s="28"/>
      <c r="D941" s="28"/>
      <c r="E941" s="28"/>
      <c r="F941" s="28"/>
    </row>
    <row r="942">
      <c r="A942" s="28"/>
      <c r="B942" s="28"/>
      <c r="C942" s="28"/>
      <c r="D942" s="28"/>
      <c r="E942" s="28"/>
      <c r="F942" s="28"/>
    </row>
    <row r="943">
      <c r="A943" s="28"/>
      <c r="B943" s="28"/>
      <c r="C943" s="28"/>
      <c r="D943" s="28"/>
      <c r="E943" s="28"/>
      <c r="F943" s="28"/>
    </row>
    <row r="944">
      <c r="A944" s="28"/>
      <c r="B944" s="28"/>
      <c r="C944" s="28"/>
      <c r="D944" s="28"/>
      <c r="E944" s="28"/>
      <c r="F944" s="28"/>
    </row>
    <row r="945">
      <c r="A945" s="28"/>
      <c r="B945" s="28"/>
      <c r="C945" s="28"/>
      <c r="D945" s="28"/>
      <c r="E945" s="28"/>
      <c r="F945" s="28"/>
    </row>
    <row r="946">
      <c r="A946" s="28"/>
      <c r="B946" s="28"/>
      <c r="C946" s="28"/>
      <c r="D946" s="28"/>
      <c r="E946" s="28"/>
      <c r="F946" s="28"/>
    </row>
    <row r="947">
      <c r="A947" s="28"/>
      <c r="B947" s="28"/>
      <c r="C947" s="28"/>
      <c r="D947" s="28"/>
      <c r="E947" s="28"/>
      <c r="F947" s="28"/>
    </row>
    <row r="948">
      <c r="A948" s="28"/>
      <c r="B948" s="28"/>
      <c r="C948" s="28"/>
      <c r="D948" s="28"/>
      <c r="E948" s="28"/>
      <c r="F948" s="28"/>
    </row>
    <row r="949">
      <c r="A949" s="28"/>
      <c r="B949" s="28"/>
      <c r="C949" s="28"/>
      <c r="D949" s="28"/>
      <c r="E949" s="28"/>
      <c r="F949" s="28"/>
    </row>
    <row r="950">
      <c r="A950" s="28"/>
      <c r="B950" s="28"/>
      <c r="C950" s="28"/>
      <c r="D950" s="28"/>
      <c r="E950" s="28"/>
      <c r="F950" s="28"/>
    </row>
    <row r="951">
      <c r="A951" s="28"/>
      <c r="B951" s="28"/>
      <c r="C951" s="28"/>
      <c r="D951" s="28"/>
      <c r="E951" s="28"/>
      <c r="F951" s="28"/>
    </row>
    <row r="952">
      <c r="A952" s="28"/>
      <c r="B952" s="28"/>
      <c r="C952" s="28"/>
      <c r="D952" s="28"/>
      <c r="E952" s="28"/>
      <c r="F952" s="28"/>
    </row>
    <row r="953">
      <c r="A953" s="28"/>
      <c r="B953" s="28"/>
      <c r="C953" s="28"/>
      <c r="D953" s="28"/>
      <c r="E953" s="28"/>
      <c r="F953" s="28"/>
    </row>
    <row r="954">
      <c r="A954" s="28"/>
      <c r="B954" s="28"/>
      <c r="C954" s="28"/>
      <c r="D954" s="28"/>
      <c r="E954" s="28"/>
      <c r="F954" s="28"/>
    </row>
    <row r="955">
      <c r="A955" s="28"/>
      <c r="B955" s="28"/>
      <c r="C955" s="28"/>
      <c r="D955" s="28"/>
      <c r="E955" s="28"/>
      <c r="F955" s="28"/>
    </row>
    <row r="956">
      <c r="A956" s="28"/>
      <c r="B956" s="28"/>
      <c r="C956" s="28"/>
      <c r="D956" s="28"/>
      <c r="E956" s="28"/>
      <c r="F956" s="28"/>
    </row>
    <row r="957">
      <c r="A957" s="28"/>
      <c r="B957" s="28"/>
      <c r="C957" s="28"/>
      <c r="D957" s="28"/>
      <c r="E957" s="28"/>
      <c r="F957" s="28"/>
    </row>
    <row r="958">
      <c r="A958" s="28"/>
      <c r="B958" s="28"/>
      <c r="C958" s="28"/>
      <c r="D958" s="28"/>
      <c r="E958" s="28"/>
      <c r="F958" s="28"/>
    </row>
    <row r="959">
      <c r="A959" s="28"/>
      <c r="B959" s="28"/>
      <c r="C959" s="28"/>
      <c r="D959" s="28"/>
      <c r="E959" s="28"/>
      <c r="F959" s="28"/>
    </row>
    <row r="960">
      <c r="A960" s="28"/>
      <c r="B960" s="28"/>
      <c r="C960" s="28"/>
      <c r="D960" s="28"/>
      <c r="E960" s="28"/>
      <c r="F960" s="28"/>
    </row>
    <row r="961">
      <c r="A961" s="28"/>
      <c r="B961" s="28"/>
      <c r="C961" s="28"/>
      <c r="D961" s="28"/>
      <c r="E961" s="28"/>
      <c r="F961" s="28"/>
    </row>
    <row r="962">
      <c r="A962" s="28"/>
      <c r="B962" s="28"/>
      <c r="C962" s="28"/>
      <c r="D962" s="28"/>
      <c r="E962" s="28"/>
      <c r="F962" s="28"/>
    </row>
    <row r="963">
      <c r="A963" s="28"/>
      <c r="B963" s="28"/>
      <c r="C963" s="28"/>
      <c r="D963" s="28"/>
      <c r="E963" s="28"/>
      <c r="F963" s="28"/>
    </row>
    <row r="964">
      <c r="A964" s="28"/>
      <c r="B964" s="28"/>
      <c r="C964" s="28"/>
      <c r="D964" s="28"/>
      <c r="E964" s="28"/>
      <c r="F964" s="28"/>
    </row>
    <row r="965">
      <c r="A965" s="28"/>
      <c r="B965" s="28"/>
      <c r="C965" s="28"/>
      <c r="D965" s="28"/>
      <c r="E965" s="28"/>
      <c r="F965" s="28"/>
    </row>
    <row r="966">
      <c r="A966" s="28"/>
      <c r="B966" s="28"/>
      <c r="C966" s="28"/>
      <c r="D966" s="28"/>
      <c r="E966" s="28"/>
      <c r="F966" s="28"/>
    </row>
    <row r="967">
      <c r="A967" s="28"/>
      <c r="B967" s="28"/>
      <c r="C967" s="28"/>
      <c r="D967" s="28"/>
      <c r="E967" s="28"/>
      <c r="F967" s="28"/>
    </row>
    <row r="968">
      <c r="A968" s="28"/>
      <c r="B968" s="28"/>
      <c r="C968" s="28"/>
      <c r="D968" s="28"/>
      <c r="E968" s="28"/>
      <c r="F968" s="28"/>
    </row>
    <row r="969">
      <c r="A969" s="28"/>
      <c r="B969" s="28"/>
      <c r="C969" s="28"/>
      <c r="D969" s="28"/>
      <c r="E969" s="28"/>
      <c r="F969" s="28"/>
    </row>
    <row r="970">
      <c r="A970" s="28"/>
      <c r="B970" s="28"/>
      <c r="C970" s="28"/>
      <c r="D970" s="28"/>
      <c r="E970" s="28"/>
      <c r="F970" s="28"/>
    </row>
    <row r="971">
      <c r="A971" s="28"/>
      <c r="B971" s="28"/>
      <c r="C971" s="28"/>
      <c r="D971" s="28"/>
      <c r="E971" s="28"/>
      <c r="F971" s="28"/>
    </row>
    <row r="972">
      <c r="A972" s="28"/>
      <c r="B972" s="28"/>
      <c r="C972" s="28"/>
      <c r="D972" s="28"/>
      <c r="E972" s="28"/>
      <c r="F972" s="28"/>
    </row>
    <row r="973">
      <c r="A973" s="28"/>
      <c r="B973" s="28"/>
      <c r="C973" s="28"/>
      <c r="D973" s="28"/>
      <c r="E973" s="28"/>
      <c r="F973" s="28"/>
    </row>
    <row r="974">
      <c r="A974" s="28"/>
      <c r="B974" s="28"/>
      <c r="C974" s="28"/>
      <c r="D974" s="28"/>
      <c r="E974" s="28"/>
      <c r="F974" s="28"/>
    </row>
    <row r="975">
      <c r="A975" s="28"/>
      <c r="B975" s="28"/>
      <c r="C975" s="28"/>
      <c r="D975" s="28"/>
      <c r="E975" s="28"/>
      <c r="F975" s="28"/>
    </row>
    <row r="976">
      <c r="A976" s="28"/>
      <c r="B976" s="28"/>
      <c r="C976" s="28"/>
      <c r="D976" s="28"/>
      <c r="E976" s="28"/>
      <c r="F976" s="28"/>
    </row>
    <row r="977">
      <c r="A977" s="28"/>
      <c r="B977" s="28"/>
      <c r="C977" s="28"/>
      <c r="D977" s="28"/>
      <c r="E977" s="28"/>
      <c r="F977" s="28"/>
    </row>
    <row r="978">
      <c r="A978" s="28"/>
      <c r="B978" s="28"/>
      <c r="C978" s="28"/>
      <c r="D978" s="28"/>
      <c r="E978" s="28"/>
      <c r="F978" s="28"/>
    </row>
    <row r="979">
      <c r="A979" s="28"/>
      <c r="B979" s="28"/>
      <c r="C979" s="28"/>
      <c r="D979" s="28"/>
      <c r="E979" s="28"/>
      <c r="F979" s="28"/>
    </row>
    <row r="980">
      <c r="A980" s="28"/>
      <c r="B980" s="28"/>
      <c r="C980" s="28"/>
      <c r="D980" s="28"/>
      <c r="E980" s="28"/>
      <c r="F980" s="28"/>
    </row>
    <row r="981">
      <c r="A981" s="28"/>
      <c r="B981" s="28"/>
      <c r="C981" s="28"/>
      <c r="D981" s="28"/>
      <c r="E981" s="28"/>
      <c r="F981" s="28"/>
    </row>
    <row r="982">
      <c r="A982" s="28"/>
      <c r="B982" s="28"/>
      <c r="C982" s="28"/>
      <c r="D982" s="28"/>
      <c r="E982" s="28"/>
      <c r="F982" s="28"/>
    </row>
    <row r="983">
      <c r="A983" s="28"/>
      <c r="B983" s="28"/>
      <c r="C983" s="28"/>
      <c r="D983" s="28"/>
      <c r="E983" s="28"/>
      <c r="F983" s="28"/>
    </row>
    <row r="984">
      <c r="A984" s="28"/>
      <c r="B984" s="28"/>
      <c r="C984" s="28"/>
      <c r="D984" s="28"/>
      <c r="E984" s="28"/>
      <c r="F984" s="28"/>
    </row>
    <row r="985">
      <c r="A985" s="28"/>
      <c r="B985" s="28"/>
      <c r="C985" s="28"/>
      <c r="D985" s="28"/>
      <c r="E985" s="28"/>
      <c r="F985" s="28"/>
    </row>
    <row r="986">
      <c r="A986" s="28"/>
      <c r="B986" s="28"/>
      <c r="C986" s="28"/>
      <c r="D986" s="28"/>
      <c r="E986" s="28"/>
      <c r="F986" s="28"/>
    </row>
    <row r="987">
      <c r="A987" s="28"/>
      <c r="B987" s="28"/>
      <c r="C987" s="28"/>
      <c r="D987" s="28"/>
      <c r="E987" s="28"/>
      <c r="F987" s="28"/>
    </row>
    <row r="988">
      <c r="A988" s="28"/>
      <c r="B988" s="28"/>
      <c r="C988" s="28"/>
      <c r="D988" s="28"/>
      <c r="E988" s="28"/>
      <c r="F988" s="28"/>
    </row>
    <row r="989">
      <c r="A989" s="28"/>
      <c r="B989" s="28"/>
      <c r="C989" s="28"/>
      <c r="D989" s="28"/>
      <c r="E989" s="28"/>
      <c r="F989" s="28"/>
    </row>
    <row r="990">
      <c r="A990" s="28"/>
      <c r="B990" s="28"/>
      <c r="C990" s="28"/>
      <c r="D990" s="28"/>
      <c r="E990" s="28"/>
      <c r="F990" s="28"/>
    </row>
    <row r="991">
      <c r="A991" s="28"/>
      <c r="B991" s="28"/>
      <c r="C991" s="28"/>
      <c r="D991" s="28"/>
      <c r="E991" s="28"/>
      <c r="F991" s="28"/>
    </row>
    <row r="992">
      <c r="A992" s="28"/>
      <c r="B992" s="28"/>
      <c r="C992" s="28"/>
      <c r="D992" s="28"/>
      <c r="E992" s="28"/>
      <c r="F992" s="28"/>
    </row>
    <row r="993">
      <c r="A993" s="28"/>
      <c r="B993" s="28"/>
      <c r="C993" s="28"/>
      <c r="D993" s="28"/>
      <c r="E993" s="28"/>
      <c r="F993" s="28"/>
    </row>
    <row r="994">
      <c r="A994" s="28"/>
      <c r="B994" s="28"/>
      <c r="C994" s="28"/>
      <c r="D994" s="28"/>
      <c r="E994" s="28"/>
      <c r="F994" s="28"/>
    </row>
    <row r="995">
      <c r="A995" s="28"/>
      <c r="B995" s="28"/>
      <c r="C995" s="28"/>
      <c r="D995" s="28"/>
      <c r="E995" s="28"/>
      <c r="F995" s="28"/>
    </row>
  </sheetData>
  <mergeCells count="2">
    <mergeCell ref="A1:F1"/>
    <mergeCell ref="D2:E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6.0"/>
    <col customWidth="1" min="3" max="3" width="17.38"/>
    <col customWidth="1" min="4" max="4" width="21.25"/>
    <col customWidth="1" min="5" max="5" width="14.75"/>
  </cols>
  <sheetData>
    <row r="1">
      <c r="A1" s="75" t="s">
        <v>5</v>
      </c>
      <c r="B1" s="75" t="s">
        <v>459</v>
      </c>
      <c r="C1" s="76" t="s">
        <v>460</v>
      </c>
      <c r="D1" s="75" t="s">
        <v>461</v>
      </c>
      <c r="E1" s="75" t="s">
        <v>462</v>
      </c>
      <c r="F1" s="77" t="s">
        <v>9</v>
      </c>
      <c r="G1" s="76" t="s">
        <v>463</v>
      </c>
    </row>
    <row r="2">
      <c r="A2" s="78" t="s">
        <v>287</v>
      </c>
      <c r="B2" s="79" t="s">
        <v>40</v>
      </c>
      <c r="C2" s="80">
        <v>6666.0</v>
      </c>
      <c r="D2" s="81" t="s">
        <v>464</v>
      </c>
      <c r="E2" s="81" t="s">
        <v>465</v>
      </c>
      <c r="F2" s="82">
        <v>2.0</v>
      </c>
      <c r="G2" s="80">
        <f t="shared" ref="G2:G46" si="1">C2/F2</f>
        <v>3333</v>
      </c>
    </row>
    <row r="3">
      <c r="A3" s="78" t="s">
        <v>64</v>
      </c>
      <c r="B3" s="79" t="s">
        <v>40</v>
      </c>
      <c r="C3" s="80">
        <v>4000.0</v>
      </c>
      <c r="D3" s="81" t="s">
        <v>464</v>
      </c>
      <c r="E3" s="78" t="s">
        <v>142</v>
      </c>
      <c r="F3" s="83">
        <v>0.4</v>
      </c>
      <c r="G3" s="80">
        <f t="shared" si="1"/>
        <v>10000</v>
      </c>
    </row>
    <row r="4">
      <c r="A4" s="78" t="s">
        <v>466</v>
      </c>
      <c r="B4" s="79" t="s">
        <v>40</v>
      </c>
      <c r="C4" s="80">
        <v>1500.0</v>
      </c>
      <c r="D4" s="81" t="s">
        <v>464</v>
      </c>
      <c r="E4" s="78" t="s">
        <v>142</v>
      </c>
      <c r="F4" s="83">
        <v>0.1</v>
      </c>
      <c r="G4" s="80">
        <f t="shared" si="1"/>
        <v>15000</v>
      </c>
    </row>
    <row r="5">
      <c r="A5" s="78" t="s">
        <v>467</v>
      </c>
      <c r="B5" s="84" t="s">
        <v>24</v>
      </c>
      <c r="C5" s="80">
        <v>20000.0</v>
      </c>
      <c r="D5" s="78" t="s">
        <v>294</v>
      </c>
      <c r="E5" s="78" t="s">
        <v>468</v>
      </c>
      <c r="F5" s="83">
        <v>0.51</v>
      </c>
      <c r="G5" s="80">
        <f t="shared" si="1"/>
        <v>39215.68627</v>
      </c>
    </row>
    <row r="6">
      <c r="A6" s="78" t="s">
        <v>469</v>
      </c>
      <c r="B6" s="84" t="s">
        <v>24</v>
      </c>
      <c r="C6" s="80">
        <v>15000.0</v>
      </c>
      <c r="D6" s="78" t="s">
        <v>294</v>
      </c>
      <c r="E6" s="78" t="s">
        <v>470</v>
      </c>
      <c r="F6" s="83">
        <v>0.295</v>
      </c>
      <c r="G6" s="80">
        <f t="shared" si="1"/>
        <v>50847.45763</v>
      </c>
    </row>
    <row r="7">
      <c r="A7" s="78" t="s">
        <v>345</v>
      </c>
      <c r="B7" s="84" t="s">
        <v>34</v>
      </c>
      <c r="C7" s="80">
        <v>5000.0</v>
      </c>
      <c r="D7" s="78" t="s">
        <v>14</v>
      </c>
      <c r="E7" s="78" t="s">
        <v>36</v>
      </c>
      <c r="F7" s="83">
        <v>0.4</v>
      </c>
      <c r="G7" s="80">
        <f t="shared" si="1"/>
        <v>12500</v>
      </c>
    </row>
    <row r="8">
      <c r="A8" s="78" t="s">
        <v>471</v>
      </c>
      <c r="B8" s="79" t="s">
        <v>83</v>
      </c>
      <c r="C8" s="80">
        <v>16000.0</v>
      </c>
      <c r="D8" s="78" t="s">
        <v>35</v>
      </c>
      <c r="E8" s="78" t="s">
        <v>36</v>
      </c>
      <c r="F8" s="83">
        <v>0.4</v>
      </c>
      <c r="G8" s="80">
        <f t="shared" si="1"/>
        <v>40000</v>
      </c>
    </row>
    <row r="9">
      <c r="A9" s="78" t="s">
        <v>23</v>
      </c>
      <c r="B9" s="79" t="s">
        <v>83</v>
      </c>
      <c r="C9" s="80">
        <v>1500.0</v>
      </c>
      <c r="D9" s="78" t="s">
        <v>294</v>
      </c>
      <c r="E9" s="78" t="s">
        <v>470</v>
      </c>
      <c r="F9" s="83">
        <v>0.7</v>
      </c>
      <c r="G9" s="80">
        <f t="shared" si="1"/>
        <v>2142.857143</v>
      </c>
    </row>
    <row r="10">
      <c r="A10" s="78" t="s">
        <v>29</v>
      </c>
      <c r="B10" s="84" t="s">
        <v>24</v>
      </c>
      <c r="C10" s="80">
        <v>13000.0</v>
      </c>
      <c r="D10" s="78" t="s">
        <v>294</v>
      </c>
      <c r="E10" s="78" t="s">
        <v>470</v>
      </c>
      <c r="F10" s="83">
        <v>0.473</v>
      </c>
      <c r="G10" s="80">
        <f t="shared" si="1"/>
        <v>27484.14376</v>
      </c>
    </row>
    <row r="11">
      <c r="A11" s="78" t="s">
        <v>30</v>
      </c>
      <c r="B11" s="84" t="s">
        <v>24</v>
      </c>
      <c r="C11" s="80">
        <v>13000.0</v>
      </c>
      <c r="D11" s="78" t="s">
        <v>294</v>
      </c>
      <c r="E11" s="78" t="s">
        <v>470</v>
      </c>
      <c r="F11" s="83">
        <v>0.5</v>
      </c>
      <c r="G11" s="80">
        <f t="shared" si="1"/>
        <v>26000</v>
      </c>
    </row>
    <row r="12">
      <c r="A12" s="78" t="s">
        <v>152</v>
      </c>
      <c r="B12" s="84" t="s">
        <v>34</v>
      </c>
      <c r="C12" s="80">
        <v>9000.0</v>
      </c>
      <c r="D12" s="78" t="s">
        <v>35</v>
      </c>
      <c r="E12" s="78" t="s">
        <v>36</v>
      </c>
      <c r="F12" s="83">
        <v>0.2</v>
      </c>
      <c r="G12" s="80">
        <f t="shared" si="1"/>
        <v>45000</v>
      </c>
    </row>
    <row r="13">
      <c r="A13" s="78" t="s">
        <v>472</v>
      </c>
      <c r="B13" s="84" t="s">
        <v>34</v>
      </c>
      <c r="C13" s="80">
        <v>7000.0</v>
      </c>
      <c r="D13" s="78" t="s">
        <v>35</v>
      </c>
      <c r="E13" s="78" t="s">
        <v>36</v>
      </c>
      <c r="F13" s="83">
        <v>0.415</v>
      </c>
      <c r="G13" s="80">
        <f t="shared" si="1"/>
        <v>16867.46988</v>
      </c>
    </row>
    <row r="14">
      <c r="A14" s="78" t="s">
        <v>33</v>
      </c>
      <c r="B14" s="84" t="s">
        <v>34</v>
      </c>
      <c r="C14" s="80">
        <v>5000.0</v>
      </c>
      <c r="D14" s="78" t="s">
        <v>25</v>
      </c>
      <c r="E14" s="78" t="s">
        <v>473</v>
      </c>
      <c r="F14" s="83">
        <v>0.4</v>
      </c>
      <c r="G14" s="80">
        <f t="shared" si="1"/>
        <v>12500</v>
      </c>
    </row>
    <row r="15">
      <c r="A15" s="78" t="s">
        <v>474</v>
      </c>
      <c r="B15" s="84" t="s">
        <v>475</v>
      </c>
      <c r="C15" s="80">
        <v>34000.0</v>
      </c>
      <c r="D15" s="78" t="s">
        <v>35</v>
      </c>
      <c r="E15" s="78" t="s">
        <v>476</v>
      </c>
      <c r="F15" s="83">
        <v>2.0</v>
      </c>
      <c r="G15" s="80">
        <f t="shared" si="1"/>
        <v>17000</v>
      </c>
    </row>
    <row r="16">
      <c r="A16" s="78" t="s">
        <v>477</v>
      </c>
      <c r="B16" s="84" t="s">
        <v>478</v>
      </c>
      <c r="C16" s="80">
        <v>4500.0</v>
      </c>
      <c r="D16" s="78" t="s">
        <v>35</v>
      </c>
      <c r="E16" s="78" t="s">
        <v>479</v>
      </c>
      <c r="F16" s="83">
        <v>1.0</v>
      </c>
      <c r="G16" s="80">
        <f t="shared" si="1"/>
        <v>4500</v>
      </c>
    </row>
    <row r="17">
      <c r="A17" s="78" t="s">
        <v>480</v>
      </c>
      <c r="B17" s="84" t="s">
        <v>481</v>
      </c>
      <c r="C17" s="80">
        <v>15000.0</v>
      </c>
      <c r="D17" s="78" t="s">
        <v>294</v>
      </c>
      <c r="E17" s="78" t="s">
        <v>470</v>
      </c>
      <c r="F17" s="83">
        <v>0.81</v>
      </c>
      <c r="G17" s="80">
        <f t="shared" si="1"/>
        <v>18518.51852</v>
      </c>
    </row>
    <row r="18">
      <c r="A18" s="78" t="s">
        <v>27</v>
      </c>
      <c r="B18" s="84" t="s">
        <v>24</v>
      </c>
      <c r="C18" s="80">
        <v>6250.0</v>
      </c>
      <c r="D18" s="78" t="s">
        <v>294</v>
      </c>
      <c r="E18" s="78" t="s">
        <v>470</v>
      </c>
      <c r="F18" s="83">
        <v>0.295</v>
      </c>
      <c r="G18" s="80">
        <f t="shared" si="1"/>
        <v>21186.44068</v>
      </c>
    </row>
    <row r="19">
      <c r="A19" s="78" t="s">
        <v>482</v>
      </c>
      <c r="B19" s="84" t="s">
        <v>24</v>
      </c>
      <c r="C19" s="80">
        <v>8000.0</v>
      </c>
      <c r="D19" s="78" t="s">
        <v>294</v>
      </c>
      <c r="E19" s="78" t="s">
        <v>470</v>
      </c>
      <c r="F19" s="83">
        <v>0.5</v>
      </c>
      <c r="G19" s="80">
        <f t="shared" si="1"/>
        <v>16000</v>
      </c>
    </row>
    <row r="20">
      <c r="A20" s="78" t="s">
        <v>86</v>
      </c>
      <c r="B20" s="84" t="s">
        <v>24</v>
      </c>
      <c r="C20" s="80">
        <v>8000.0</v>
      </c>
      <c r="D20" s="78" t="s">
        <v>294</v>
      </c>
      <c r="E20" s="78" t="s">
        <v>470</v>
      </c>
      <c r="F20" s="83">
        <v>0.5</v>
      </c>
      <c r="G20" s="80">
        <f t="shared" si="1"/>
        <v>16000</v>
      </c>
    </row>
    <row r="21">
      <c r="A21" s="78" t="s">
        <v>37</v>
      </c>
      <c r="B21" s="84" t="s">
        <v>24</v>
      </c>
      <c r="C21" s="80">
        <v>1000.0</v>
      </c>
      <c r="D21" s="78" t="s">
        <v>294</v>
      </c>
      <c r="E21" s="78" t="s">
        <v>470</v>
      </c>
      <c r="F21" s="83">
        <v>0.06</v>
      </c>
      <c r="G21" s="80">
        <f t="shared" si="1"/>
        <v>16666.66667</v>
      </c>
    </row>
    <row r="22">
      <c r="A22" s="78" t="s">
        <v>483</v>
      </c>
      <c r="B22" s="84" t="s">
        <v>34</v>
      </c>
      <c r="C22" s="80">
        <v>5000.0</v>
      </c>
      <c r="D22" s="78" t="s">
        <v>294</v>
      </c>
      <c r="E22" s="78" t="s">
        <v>473</v>
      </c>
      <c r="F22" s="83">
        <v>0.4</v>
      </c>
      <c r="G22" s="80">
        <f t="shared" si="1"/>
        <v>12500</v>
      </c>
    </row>
    <row r="23">
      <c r="A23" s="78" t="s">
        <v>484</v>
      </c>
      <c r="B23" s="84" t="s">
        <v>478</v>
      </c>
      <c r="C23" s="80">
        <v>6000.0</v>
      </c>
      <c r="D23" s="78" t="s">
        <v>17</v>
      </c>
      <c r="E23" s="78" t="s">
        <v>257</v>
      </c>
      <c r="F23" s="83">
        <v>50.0</v>
      </c>
      <c r="G23" s="80">
        <f t="shared" si="1"/>
        <v>120</v>
      </c>
    </row>
    <row r="24">
      <c r="A24" s="78" t="s">
        <v>485</v>
      </c>
      <c r="B24" s="78" t="s">
        <v>478</v>
      </c>
      <c r="C24" s="80">
        <v>15000.0</v>
      </c>
      <c r="D24" s="78" t="s">
        <v>35</v>
      </c>
      <c r="E24" s="78" t="s">
        <v>142</v>
      </c>
      <c r="F24" s="83">
        <v>0.5</v>
      </c>
      <c r="G24" s="80">
        <f t="shared" si="1"/>
        <v>30000</v>
      </c>
    </row>
    <row r="25">
      <c r="A25" s="78" t="s">
        <v>251</v>
      </c>
      <c r="B25" s="84" t="s">
        <v>34</v>
      </c>
      <c r="C25" s="80">
        <v>13000.0</v>
      </c>
      <c r="D25" s="78" t="s">
        <v>14</v>
      </c>
      <c r="E25" s="78" t="s">
        <v>36</v>
      </c>
      <c r="F25" s="83">
        <v>0.7</v>
      </c>
      <c r="G25" s="80">
        <f t="shared" si="1"/>
        <v>18571.42857</v>
      </c>
    </row>
    <row r="26">
      <c r="A26" s="78" t="s">
        <v>154</v>
      </c>
      <c r="B26" s="84" t="s">
        <v>59</v>
      </c>
      <c r="C26" s="80">
        <v>625.0</v>
      </c>
      <c r="D26" s="78" t="s">
        <v>155</v>
      </c>
      <c r="E26" s="78" t="s">
        <v>255</v>
      </c>
      <c r="F26" s="83">
        <v>1.0</v>
      </c>
      <c r="G26" s="80">
        <f t="shared" si="1"/>
        <v>625</v>
      </c>
    </row>
    <row r="27">
      <c r="A27" s="78" t="s">
        <v>71</v>
      </c>
      <c r="B27" s="84" t="s">
        <v>59</v>
      </c>
      <c r="C27" s="80">
        <v>17500.0</v>
      </c>
      <c r="D27" s="78" t="s">
        <v>25</v>
      </c>
      <c r="E27" s="78" t="s">
        <v>486</v>
      </c>
      <c r="F27" s="83">
        <v>1.0</v>
      </c>
      <c r="G27" s="80">
        <f t="shared" si="1"/>
        <v>17500</v>
      </c>
    </row>
    <row r="28">
      <c r="A28" s="78" t="s">
        <v>487</v>
      </c>
      <c r="B28" s="84" t="s">
        <v>488</v>
      </c>
      <c r="C28" s="80">
        <v>145000.0</v>
      </c>
      <c r="D28" s="78" t="s">
        <v>25</v>
      </c>
      <c r="E28" s="78" t="s">
        <v>489</v>
      </c>
      <c r="F28" s="83">
        <v>18.75</v>
      </c>
      <c r="G28" s="80">
        <f t="shared" si="1"/>
        <v>7733.333333</v>
      </c>
    </row>
    <row r="29">
      <c r="A29" s="78" t="s">
        <v>490</v>
      </c>
      <c r="B29" s="84" t="s">
        <v>56</v>
      </c>
      <c r="C29" s="80">
        <v>48000.0</v>
      </c>
      <c r="D29" s="78" t="s">
        <v>25</v>
      </c>
      <c r="E29" s="78" t="s">
        <v>489</v>
      </c>
      <c r="F29" s="83">
        <v>4.6</v>
      </c>
      <c r="G29" s="80">
        <f t="shared" si="1"/>
        <v>10434.78261</v>
      </c>
    </row>
    <row r="30">
      <c r="A30" s="78" t="s">
        <v>491</v>
      </c>
      <c r="B30" s="84" t="s">
        <v>34</v>
      </c>
      <c r="C30" s="80">
        <v>95000.0</v>
      </c>
      <c r="D30" s="78" t="s">
        <v>25</v>
      </c>
      <c r="E30" s="78" t="s">
        <v>492</v>
      </c>
      <c r="F30" s="83">
        <v>5.0</v>
      </c>
      <c r="G30" s="80">
        <f t="shared" si="1"/>
        <v>19000</v>
      </c>
    </row>
    <row r="31">
      <c r="A31" s="78" t="s">
        <v>493</v>
      </c>
      <c r="B31" s="78" t="s">
        <v>494</v>
      </c>
      <c r="C31" s="80">
        <v>19000.0</v>
      </c>
      <c r="D31" s="78" t="s">
        <v>25</v>
      </c>
      <c r="E31" s="78" t="s">
        <v>470</v>
      </c>
      <c r="F31" s="83">
        <v>0.51</v>
      </c>
      <c r="G31" s="80">
        <f t="shared" si="1"/>
        <v>37254.90196</v>
      </c>
    </row>
    <row r="32">
      <c r="A32" s="78" t="s">
        <v>495</v>
      </c>
      <c r="B32" s="78" t="s">
        <v>17</v>
      </c>
      <c r="C32" s="80">
        <v>1500.0</v>
      </c>
      <c r="D32" s="78" t="s">
        <v>17</v>
      </c>
      <c r="E32" s="78" t="s">
        <v>496</v>
      </c>
      <c r="F32" s="83">
        <v>1.0</v>
      </c>
      <c r="G32" s="80">
        <f t="shared" si="1"/>
        <v>1500</v>
      </c>
    </row>
    <row r="33">
      <c r="A33" s="78" t="s">
        <v>258</v>
      </c>
      <c r="B33" s="78" t="s">
        <v>17</v>
      </c>
      <c r="C33" s="80">
        <v>800.0</v>
      </c>
      <c r="D33" s="78" t="s">
        <v>17</v>
      </c>
      <c r="E33" s="78" t="s">
        <v>497</v>
      </c>
      <c r="F33" s="83">
        <v>1.0</v>
      </c>
      <c r="G33" s="80">
        <f t="shared" si="1"/>
        <v>800</v>
      </c>
    </row>
    <row r="34">
      <c r="A34" s="78" t="s">
        <v>498</v>
      </c>
      <c r="B34" s="78" t="s">
        <v>59</v>
      </c>
      <c r="C34" s="80">
        <v>560.0</v>
      </c>
      <c r="D34" s="78" t="s">
        <v>17</v>
      </c>
      <c r="E34" s="78" t="s">
        <v>186</v>
      </c>
      <c r="F34" s="83">
        <v>1.0</v>
      </c>
      <c r="G34" s="80">
        <f t="shared" si="1"/>
        <v>560</v>
      </c>
    </row>
    <row r="35">
      <c r="A35" s="78" t="s">
        <v>499</v>
      </c>
      <c r="B35" s="78" t="s">
        <v>59</v>
      </c>
      <c r="C35" s="80">
        <v>107.0</v>
      </c>
      <c r="D35" s="78" t="s">
        <v>17</v>
      </c>
      <c r="E35" s="78" t="s">
        <v>186</v>
      </c>
      <c r="F35" s="83">
        <v>1.0</v>
      </c>
      <c r="G35" s="80">
        <f t="shared" si="1"/>
        <v>107</v>
      </c>
    </row>
    <row r="36">
      <c r="A36" s="78" t="s">
        <v>500</v>
      </c>
      <c r="B36" s="78" t="s">
        <v>59</v>
      </c>
      <c r="C36" s="80">
        <v>640.0</v>
      </c>
      <c r="D36" s="78" t="s">
        <v>17</v>
      </c>
      <c r="E36" s="78" t="s">
        <v>186</v>
      </c>
      <c r="F36" s="83">
        <v>1.0</v>
      </c>
      <c r="G36" s="80">
        <f t="shared" si="1"/>
        <v>640</v>
      </c>
    </row>
    <row r="37">
      <c r="A37" s="78" t="s">
        <v>501</v>
      </c>
      <c r="B37" s="84" t="s">
        <v>59</v>
      </c>
      <c r="C37" s="80">
        <v>160.0</v>
      </c>
      <c r="D37" s="78" t="s">
        <v>17</v>
      </c>
      <c r="E37" s="78" t="s">
        <v>186</v>
      </c>
      <c r="F37" s="83">
        <v>1.0</v>
      </c>
      <c r="G37" s="80">
        <f t="shared" si="1"/>
        <v>160</v>
      </c>
    </row>
    <row r="38">
      <c r="A38" s="78" t="s">
        <v>502</v>
      </c>
      <c r="B38" s="84" t="s">
        <v>17</v>
      </c>
      <c r="C38" s="80">
        <v>90.0</v>
      </c>
      <c r="D38" s="78" t="s">
        <v>17</v>
      </c>
      <c r="E38" s="78" t="s">
        <v>186</v>
      </c>
      <c r="F38" s="83">
        <v>1.0</v>
      </c>
      <c r="G38" s="80">
        <f t="shared" si="1"/>
        <v>90</v>
      </c>
    </row>
    <row r="39">
      <c r="A39" s="78" t="s">
        <v>503</v>
      </c>
      <c r="B39" s="84" t="s">
        <v>59</v>
      </c>
      <c r="C39" s="80">
        <v>4000.0</v>
      </c>
      <c r="D39" s="78" t="s">
        <v>504</v>
      </c>
      <c r="E39" s="78" t="s">
        <v>257</v>
      </c>
      <c r="F39" s="83">
        <v>50.0</v>
      </c>
      <c r="G39" s="80">
        <f t="shared" si="1"/>
        <v>80</v>
      </c>
    </row>
    <row r="40">
      <c r="A40" s="78" t="s">
        <v>505</v>
      </c>
      <c r="B40" s="84" t="s">
        <v>59</v>
      </c>
      <c r="C40" s="80">
        <v>4000.0</v>
      </c>
      <c r="D40" s="78" t="s">
        <v>17</v>
      </c>
      <c r="E40" s="78" t="s">
        <v>257</v>
      </c>
      <c r="F40" s="83">
        <v>50.0</v>
      </c>
      <c r="G40" s="80">
        <f t="shared" si="1"/>
        <v>80</v>
      </c>
    </row>
    <row r="41">
      <c r="A41" s="78" t="s">
        <v>206</v>
      </c>
      <c r="B41" s="84" t="s">
        <v>506</v>
      </c>
      <c r="C41" s="80">
        <v>12000.0</v>
      </c>
      <c r="D41" s="78" t="s">
        <v>17</v>
      </c>
      <c r="E41" s="78" t="s">
        <v>208</v>
      </c>
      <c r="F41" s="83">
        <v>30.0</v>
      </c>
      <c r="G41" s="80">
        <f t="shared" si="1"/>
        <v>400</v>
      </c>
    </row>
    <row r="42">
      <c r="A42" s="78" t="s">
        <v>160</v>
      </c>
      <c r="B42" s="84" t="s">
        <v>34</v>
      </c>
      <c r="C42" s="80">
        <v>10000.0</v>
      </c>
      <c r="D42" s="78" t="s">
        <v>35</v>
      </c>
      <c r="E42" s="78" t="s">
        <v>36</v>
      </c>
      <c r="F42" s="83">
        <v>0.3</v>
      </c>
      <c r="G42" s="80">
        <f t="shared" si="1"/>
        <v>33333.33333</v>
      </c>
    </row>
    <row r="43">
      <c r="A43" s="78" t="s">
        <v>347</v>
      </c>
      <c r="B43" s="84" t="s">
        <v>34</v>
      </c>
      <c r="C43" s="80">
        <v>12000.0</v>
      </c>
      <c r="D43" s="78" t="s">
        <v>35</v>
      </c>
      <c r="E43" s="78" t="s">
        <v>36</v>
      </c>
      <c r="F43" s="83">
        <v>0.3</v>
      </c>
      <c r="G43" s="80">
        <f t="shared" si="1"/>
        <v>40000</v>
      </c>
    </row>
    <row r="44">
      <c r="A44" s="78" t="s">
        <v>507</v>
      </c>
      <c r="B44" s="84" t="s">
        <v>14</v>
      </c>
      <c r="C44" s="80">
        <v>13500.0</v>
      </c>
      <c r="D44" s="78" t="s">
        <v>14</v>
      </c>
      <c r="E44" s="78" t="s">
        <v>54</v>
      </c>
      <c r="F44" s="83">
        <v>1.0</v>
      </c>
      <c r="G44" s="80">
        <f t="shared" si="1"/>
        <v>13500</v>
      </c>
    </row>
    <row r="45">
      <c r="A45" s="78" t="s">
        <v>182</v>
      </c>
      <c r="B45" s="84" t="s">
        <v>59</v>
      </c>
      <c r="C45" s="80">
        <v>2000.0</v>
      </c>
      <c r="D45" s="78" t="s">
        <v>294</v>
      </c>
      <c r="E45" s="78" t="s">
        <v>486</v>
      </c>
      <c r="F45" s="83">
        <v>0.4</v>
      </c>
      <c r="G45" s="80">
        <f t="shared" si="1"/>
        <v>5000</v>
      </c>
    </row>
    <row r="46">
      <c r="A46" s="78" t="s">
        <v>508</v>
      </c>
      <c r="B46" s="84" t="s">
        <v>294</v>
      </c>
      <c r="C46" s="80">
        <v>2400.0</v>
      </c>
      <c r="D46" s="78" t="s">
        <v>25</v>
      </c>
      <c r="E46" s="78" t="s">
        <v>486</v>
      </c>
      <c r="F46" s="83">
        <v>1.0</v>
      </c>
      <c r="G46" s="80">
        <f t="shared" si="1"/>
        <v>2400</v>
      </c>
    </row>
    <row r="47">
      <c r="A47" s="78" t="s">
        <v>509</v>
      </c>
      <c r="B47" s="84" t="s">
        <v>59</v>
      </c>
      <c r="C47" s="80">
        <v>20000.0</v>
      </c>
      <c r="D47" s="78" t="s">
        <v>35</v>
      </c>
      <c r="E47" s="78" t="s">
        <v>142</v>
      </c>
      <c r="F47" s="83">
        <v>1.0</v>
      </c>
      <c r="G47" s="85">
        <v>20000.0</v>
      </c>
    </row>
    <row r="48">
      <c r="A48" s="78" t="s">
        <v>104</v>
      </c>
      <c r="B48" s="84" t="s">
        <v>478</v>
      </c>
      <c r="C48" s="80">
        <v>23000.0</v>
      </c>
      <c r="D48" s="78" t="s">
        <v>35</v>
      </c>
      <c r="E48" s="78" t="s">
        <v>142</v>
      </c>
      <c r="F48" s="83">
        <v>1.0</v>
      </c>
      <c r="G48" s="85">
        <v>23000.0</v>
      </c>
    </row>
    <row r="49">
      <c r="A49" s="78" t="s">
        <v>510</v>
      </c>
      <c r="B49" s="84" t="s">
        <v>478</v>
      </c>
      <c r="C49" s="80">
        <v>6500.0</v>
      </c>
      <c r="D49" s="78" t="s">
        <v>35</v>
      </c>
      <c r="E49" s="78" t="s">
        <v>142</v>
      </c>
      <c r="F49" s="83">
        <v>1.0</v>
      </c>
      <c r="G49" s="80">
        <f>6500/0.1</f>
        <v>65000</v>
      </c>
    </row>
    <row r="50">
      <c r="A50" s="78" t="s">
        <v>511</v>
      </c>
      <c r="B50" s="84" t="s">
        <v>478</v>
      </c>
      <c r="C50" s="80">
        <v>20000.0</v>
      </c>
      <c r="D50" s="78" t="s">
        <v>35</v>
      </c>
      <c r="E50" s="78" t="s">
        <v>142</v>
      </c>
      <c r="F50" s="83">
        <v>1.0</v>
      </c>
      <c r="G50" s="80">
        <f>C50/F50</f>
        <v>20000</v>
      </c>
    </row>
    <row r="51">
      <c r="A51" s="78" t="s">
        <v>512</v>
      </c>
      <c r="B51" s="78" t="s">
        <v>478</v>
      </c>
      <c r="C51" s="80">
        <v>7400.0</v>
      </c>
      <c r="D51" s="78" t="s">
        <v>14</v>
      </c>
      <c r="E51" s="78" t="s">
        <v>142</v>
      </c>
      <c r="F51" s="83">
        <v>1.0</v>
      </c>
      <c r="G51" s="80">
        <f>7400/0.1</f>
        <v>74000</v>
      </c>
    </row>
    <row r="52">
      <c r="A52" s="78" t="s">
        <v>513</v>
      </c>
      <c r="B52" s="84" t="s">
        <v>478</v>
      </c>
      <c r="C52" s="80">
        <v>35000.0</v>
      </c>
      <c r="D52" s="78" t="s">
        <v>35</v>
      </c>
      <c r="E52" s="78" t="s">
        <v>142</v>
      </c>
      <c r="F52" s="83">
        <v>1.0</v>
      </c>
      <c r="G52" s="80">
        <f t="shared" ref="G52:G56" si="2">F52*C52</f>
        <v>35000</v>
      </c>
    </row>
    <row r="53">
      <c r="A53" s="78" t="s">
        <v>514</v>
      </c>
      <c r="B53" s="84" t="s">
        <v>478</v>
      </c>
      <c r="C53" s="80">
        <v>12000.0</v>
      </c>
      <c r="D53" s="78" t="s">
        <v>35</v>
      </c>
      <c r="E53" s="78" t="s">
        <v>142</v>
      </c>
      <c r="F53" s="83">
        <v>1.0</v>
      </c>
      <c r="G53" s="80">
        <f t="shared" si="2"/>
        <v>12000</v>
      </c>
    </row>
    <row r="54">
      <c r="A54" s="78" t="s">
        <v>515</v>
      </c>
      <c r="B54" s="84" t="s">
        <v>478</v>
      </c>
      <c r="C54" s="80">
        <v>25000.0</v>
      </c>
      <c r="D54" s="78" t="s">
        <v>35</v>
      </c>
      <c r="E54" s="78" t="s">
        <v>142</v>
      </c>
      <c r="F54" s="83">
        <v>1.0</v>
      </c>
      <c r="G54" s="80">
        <f t="shared" si="2"/>
        <v>25000</v>
      </c>
    </row>
    <row r="55">
      <c r="A55" s="78" t="s">
        <v>516</v>
      </c>
      <c r="B55" s="84" t="s">
        <v>478</v>
      </c>
      <c r="C55" s="80">
        <v>40000.0</v>
      </c>
      <c r="D55" s="78" t="s">
        <v>35</v>
      </c>
      <c r="E55" s="78" t="s">
        <v>142</v>
      </c>
      <c r="F55" s="83">
        <v>1.0</v>
      </c>
      <c r="G55" s="80">
        <f t="shared" si="2"/>
        <v>40000</v>
      </c>
    </row>
    <row r="56">
      <c r="A56" s="78" t="s">
        <v>103</v>
      </c>
      <c r="B56" s="84" t="s">
        <v>478</v>
      </c>
      <c r="C56" s="80">
        <v>40000.0</v>
      </c>
      <c r="D56" s="78" t="s">
        <v>14</v>
      </c>
      <c r="E56" s="78" t="s">
        <v>142</v>
      </c>
      <c r="F56" s="83">
        <v>1.0</v>
      </c>
      <c r="G56" s="80">
        <f t="shared" si="2"/>
        <v>40000</v>
      </c>
    </row>
    <row r="57">
      <c r="A57" s="78" t="s">
        <v>517</v>
      </c>
      <c r="B57" s="84" t="s">
        <v>34</v>
      </c>
      <c r="C57" s="80">
        <v>13000.0</v>
      </c>
      <c r="D57" s="78" t="s">
        <v>14</v>
      </c>
      <c r="E57" s="78" t="s">
        <v>518</v>
      </c>
      <c r="F57" s="83">
        <v>1.0</v>
      </c>
      <c r="G57" s="80">
        <f>13000/0.1</f>
        <v>130000</v>
      </c>
    </row>
    <row r="58">
      <c r="A58" s="78" t="s">
        <v>519</v>
      </c>
      <c r="B58" s="84" t="s">
        <v>478</v>
      </c>
      <c r="C58" s="80">
        <v>23000.0</v>
      </c>
      <c r="D58" s="78" t="s">
        <v>35</v>
      </c>
      <c r="E58" s="78" t="s">
        <v>142</v>
      </c>
      <c r="F58" s="83">
        <v>1.0</v>
      </c>
      <c r="G58" s="80">
        <f t="shared" ref="G58:G68" si="3">F58*C58</f>
        <v>23000</v>
      </c>
    </row>
    <row r="59">
      <c r="A59" s="78" t="s">
        <v>145</v>
      </c>
      <c r="B59" s="84" t="s">
        <v>478</v>
      </c>
      <c r="C59" s="80">
        <v>22000.0</v>
      </c>
      <c r="D59" s="78" t="s">
        <v>35</v>
      </c>
      <c r="E59" s="78" t="s">
        <v>142</v>
      </c>
      <c r="F59" s="83">
        <v>1.0</v>
      </c>
      <c r="G59" s="80">
        <f t="shared" si="3"/>
        <v>22000</v>
      </c>
    </row>
    <row r="60">
      <c r="A60" s="78" t="s">
        <v>330</v>
      </c>
      <c r="B60" s="84" t="s">
        <v>478</v>
      </c>
      <c r="C60" s="80">
        <v>30000.0</v>
      </c>
      <c r="D60" s="78" t="s">
        <v>35</v>
      </c>
      <c r="E60" s="78" t="s">
        <v>142</v>
      </c>
      <c r="F60" s="83">
        <v>1.0</v>
      </c>
      <c r="G60" s="80">
        <f t="shared" si="3"/>
        <v>30000</v>
      </c>
    </row>
    <row r="61">
      <c r="A61" s="78" t="s">
        <v>520</v>
      </c>
      <c r="B61" s="84" t="s">
        <v>478</v>
      </c>
      <c r="C61" s="80">
        <v>35000.0</v>
      </c>
      <c r="D61" s="78" t="s">
        <v>35</v>
      </c>
      <c r="E61" s="78" t="s">
        <v>142</v>
      </c>
      <c r="F61" s="83">
        <v>1.0</v>
      </c>
      <c r="G61" s="80">
        <f t="shared" si="3"/>
        <v>35000</v>
      </c>
    </row>
    <row r="62">
      <c r="A62" s="78" t="s">
        <v>147</v>
      </c>
      <c r="B62" s="84" t="s">
        <v>35</v>
      </c>
      <c r="C62" s="80">
        <v>13000.0</v>
      </c>
      <c r="D62" s="78" t="s">
        <v>35</v>
      </c>
      <c r="E62" s="78" t="s">
        <v>63</v>
      </c>
      <c r="F62" s="83">
        <v>1.0</v>
      </c>
      <c r="G62" s="80">
        <f t="shared" si="3"/>
        <v>13000</v>
      </c>
    </row>
    <row r="63">
      <c r="A63" s="78" t="s">
        <v>143</v>
      </c>
      <c r="B63" s="84" t="s">
        <v>478</v>
      </c>
      <c r="C63" s="80">
        <v>20000.0</v>
      </c>
      <c r="D63" s="78" t="s">
        <v>35</v>
      </c>
      <c r="E63" s="78" t="s">
        <v>142</v>
      </c>
      <c r="F63" s="83">
        <v>1.0</v>
      </c>
      <c r="G63" s="80">
        <f t="shared" si="3"/>
        <v>20000</v>
      </c>
    </row>
    <row r="64">
      <c r="A64" s="78" t="s">
        <v>108</v>
      </c>
      <c r="B64" s="84" t="s">
        <v>478</v>
      </c>
      <c r="C64" s="80">
        <v>20000.0</v>
      </c>
      <c r="D64" s="78" t="s">
        <v>35</v>
      </c>
      <c r="E64" s="78" t="s">
        <v>142</v>
      </c>
      <c r="F64" s="83">
        <v>1.0</v>
      </c>
      <c r="G64" s="80">
        <f t="shared" si="3"/>
        <v>20000</v>
      </c>
    </row>
    <row r="65">
      <c r="A65" s="78" t="s">
        <v>521</v>
      </c>
      <c r="B65" s="84" t="s">
        <v>478</v>
      </c>
      <c r="C65" s="80">
        <v>50000.0</v>
      </c>
      <c r="D65" s="78" t="s">
        <v>35</v>
      </c>
      <c r="E65" s="78" t="s">
        <v>142</v>
      </c>
      <c r="F65" s="83">
        <v>1.0</v>
      </c>
      <c r="G65" s="80">
        <f t="shared" si="3"/>
        <v>50000</v>
      </c>
    </row>
    <row r="66">
      <c r="A66" s="78" t="s">
        <v>522</v>
      </c>
      <c r="B66" s="84" t="s">
        <v>478</v>
      </c>
      <c r="C66" s="80">
        <v>20000.0</v>
      </c>
      <c r="D66" s="78" t="s">
        <v>35</v>
      </c>
      <c r="E66" s="78" t="s">
        <v>142</v>
      </c>
      <c r="F66" s="83">
        <v>1.0</v>
      </c>
      <c r="G66" s="80">
        <f t="shared" si="3"/>
        <v>20000</v>
      </c>
    </row>
    <row r="67">
      <c r="A67" s="78" t="s">
        <v>523</v>
      </c>
      <c r="B67" s="84" t="s">
        <v>478</v>
      </c>
      <c r="C67" s="80">
        <v>20000.0</v>
      </c>
      <c r="D67" s="78" t="s">
        <v>35</v>
      </c>
      <c r="E67" s="78" t="s">
        <v>142</v>
      </c>
      <c r="F67" s="83">
        <v>1.0</v>
      </c>
      <c r="G67" s="80">
        <f t="shared" si="3"/>
        <v>20000</v>
      </c>
    </row>
    <row r="68">
      <c r="A68" s="78" t="s">
        <v>524</v>
      </c>
      <c r="B68" s="84" t="s">
        <v>478</v>
      </c>
      <c r="C68" s="80">
        <v>40000.0</v>
      </c>
      <c r="D68" s="78" t="s">
        <v>35</v>
      </c>
      <c r="E68" s="78" t="s">
        <v>142</v>
      </c>
      <c r="F68" s="83">
        <v>1.0</v>
      </c>
      <c r="G68" s="80">
        <f t="shared" si="3"/>
        <v>40000</v>
      </c>
    </row>
    <row r="69">
      <c r="A69" s="78" t="s">
        <v>525</v>
      </c>
      <c r="B69" s="84" t="s">
        <v>478</v>
      </c>
      <c r="C69" s="80">
        <v>12000.0</v>
      </c>
      <c r="D69" s="78" t="s">
        <v>35</v>
      </c>
      <c r="E69" s="78" t="s">
        <v>142</v>
      </c>
      <c r="F69" s="83">
        <v>1.0</v>
      </c>
      <c r="G69" s="80">
        <f>12000/0.5</f>
        <v>24000</v>
      </c>
    </row>
    <row r="70">
      <c r="A70" s="78" t="s">
        <v>526</v>
      </c>
      <c r="B70" s="84" t="s">
        <v>234</v>
      </c>
      <c r="C70" s="80">
        <v>200.0</v>
      </c>
      <c r="D70" s="78" t="s">
        <v>17</v>
      </c>
      <c r="E70" s="78" t="s">
        <v>186</v>
      </c>
      <c r="F70" s="83">
        <v>1.0</v>
      </c>
      <c r="G70" s="80">
        <f t="shared" ref="G70:G135" si="4">C70/F70</f>
        <v>200</v>
      </c>
    </row>
    <row r="71">
      <c r="A71" s="86" t="s">
        <v>527</v>
      </c>
      <c r="B71" s="87" t="s">
        <v>14</v>
      </c>
      <c r="C71" s="88">
        <v>3400.0</v>
      </c>
      <c r="D71" s="86" t="s">
        <v>14</v>
      </c>
      <c r="E71" s="86" t="s">
        <v>63</v>
      </c>
      <c r="F71" s="89">
        <v>1.0</v>
      </c>
      <c r="G71" s="80">
        <f t="shared" si="4"/>
        <v>3400</v>
      </c>
    </row>
    <row r="72">
      <c r="A72" s="78" t="s">
        <v>193</v>
      </c>
      <c r="B72" s="84" t="s">
        <v>14</v>
      </c>
      <c r="C72" s="80">
        <v>2800.0</v>
      </c>
      <c r="D72" s="78" t="s">
        <v>35</v>
      </c>
      <c r="E72" s="78" t="s">
        <v>63</v>
      </c>
      <c r="F72" s="83">
        <v>1.0</v>
      </c>
      <c r="G72" s="80">
        <f t="shared" si="4"/>
        <v>2800</v>
      </c>
    </row>
    <row r="73">
      <c r="A73" s="78" t="s">
        <v>198</v>
      </c>
      <c r="B73" s="84" t="s">
        <v>14</v>
      </c>
      <c r="C73" s="80">
        <v>3800.0</v>
      </c>
      <c r="D73" s="78" t="s">
        <v>35</v>
      </c>
      <c r="E73" s="78" t="s">
        <v>63</v>
      </c>
      <c r="F73" s="83">
        <v>1.0</v>
      </c>
      <c r="G73" s="80">
        <f t="shared" si="4"/>
        <v>3800</v>
      </c>
    </row>
    <row r="74">
      <c r="A74" s="78" t="s">
        <v>200</v>
      </c>
      <c r="B74" s="84" t="s">
        <v>14</v>
      </c>
      <c r="C74" s="80">
        <v>9000.0</v>
      </c>
      <c r="D74" s="78" t="s">
        <v>14</v>
      </c>
      <c r="E74" s="78" t="s">
        <v>63</v>
      </c>
      <c r="F74" s="83">
        <v>1.0</v>
      </c>
      <c r="G74" s="80">
        <f t="shared" si="4"/>
        <v>9000</v>
      </c>
    </row>
    <row r="75">
      <c r="A75" s="78" t="s">
        <v>199</v>
      </c>
      <c r="B75" s="84" t="s">
        <v>14</v>
      </c>
      <c r="C75" s="80">
        <v>9000.0</v>
      </c>
      <c r="D75" s="78" t="s">
        <v>14</v>
      </c>
      <c r="E75" s="78" t="s">
        <v>63</v>
      </c>
      <c r="F75" s="83">
        <v>1.0</v>
      </c>
      <c r="G75" s="80">
        <f t="shared" si="4"/>
        <v>9000</v>
      </c>
    </row>
    <row r="76">
      <c r="A76" s="78" t="s">
        <v>242</v>
      </c>
      <c r="B76" s="84" t="s">
        <v>14</v>
      </c>
      <c r="C76" s="80">
        <v>2300.0</v>
      </c>
      <c r="D76" s="78" t="s">
        <v>35</v>
      </c>
      <c r="E76" s="78" t="s">
        <v>63</v>
      </c>
      <c r="F76" s="83">
        <v>1.0</v>
      </c>
      <c r="G76" s="80">
        <f t="shared" si="4"/>
        <v>2300</v>
      </c>
    </row>
    <row r="77">
      <c r="A77" s="78" t="s">
        <v>243</v>
      </c>
      <c r="B77" s="79" t="s">
        <v>241</v>
      </c>
      <c r="C77" s="85">
        <f>60000/7</f>
        <v>8571.428571</v>
      </c>
      <c r="D77" s="78" t="s">
        <v>528</v>
      </c>
      <c r="E77" s="81" t="s">
        <v>529</v>
      </c>
      <c r="F77" s="90">
        <v>1.0</v>
      </c>
      <c r="G77" s="80">
        <f t="shared" si="4"/>
        <v>8571.428571</v>
      </c>
    </row>
    <row r="78">
      <c r="A78" s="78" t="s">
        <v>530</v>
      </c>
      <c r="B78" s="84" t="s">
        <v>234</v>
      </c>
      <c r="C78" s="80">
        <v>4800.0</v>
      </c>
      <c r="D78" s="78" t="s">
        <v>17</v>
      </c>
      <c r="E78" s="78" t="s">
        <v>531</v>
      </c>
      <c r="F78" s="83">
        <v>1.0</v>
      </c>
      <c r="G78" s="80">
        <f t="shared" si="4"/>
        <v>4800</v>
      </c>
    </row>
    <row r="79">
      <c r="A79" s="78" t="s">
        <v>532</v>
      </c>
      <c r="B79" s="84" t="s">
        <v>14</v>
      </c>
      <c r="C79" s="80">
        <v>3500.0</v>
      </c>
      <c r="D79" s="78" t="s">
        <v>35</v>
      </c>
      <c r="E79" s="78" t="s">
        <v>63</v>
      </c>
      <c r="F79" s="83">
        <v>1.0</v>
      </c>
      <c r="G79" s="80">
        <f t="shared" si="4"/>
        <v>3500</v>
      </c>
    </row>
    <row r="80">
      <c r="A80" s="78" t="s">
        <v>227</v>
      </c>
      <c r="B80" s="84" t="s">
        <v>14</v>
      </c>
      <c r="C80" s="80">
        <v>2500.0</v>
      </c>
      <c r="D80" s="78" t="s">
        <v>35</v>
      </c>
      <c r="E80" s="78" t="s">
        <v>63</v>
      </c>
      <c r="F80" s="83">
        <v>1.0</v>
      </c>
      <c r="G80" s="80">
        <f t="shared" si="4"/>
        <v>2500</v>
      </c>
    </row>
    <row r="81">
      <c r="A81" s="78" t="s">
        <v>533</v>
      </c>
      <c r="B81" s="84" t="s">
        <v>14</v>
      </c>
      <c r="C81" s="80">
        <v>6000.0</v>
      </c>
      <c r="D81" s="78" t="s">
        <v>35</v>
      </c>
      <c r="E81" s="78" t="s">
        <v>534</v>
      </c>
      <c r="F81" s="83">
        <v>1.0</v>
      </c>
      <c r="G81" s="80">
        <f t="shared" si="4"/>
        <v>6000</v>
      </c>
    </row>
    <row r="82">
      <c r="A82" s="78" t="s">
        <v>535</v>
      </c>
      <c r="B82" s="84" t="s">
        <v>35</v>
      </c>
      <c r="C82" s="80">
        <v>5000.0</v>
      </c>
      <c r="D82" s="78" t="s">
        <v>35</v>
      </c>
      <c r="E82" s="78" t="s">
        <v>534</v>
      </c>
      <c r="F82" s="83">
        <v>1.0</v>
      </c>
      <c r="G82" s="80">
        <f t="shared" si="4"/>
        <v>5000</v>
      </c>
    </row>
    <row r="83">
      <c r="A83" s="78" t="s">
        <v>536</v>
      </c>
      <c r="B83" s="84" t="s">
        <v>537</v>
      </c>
      <c r="C83" s="80">
        <v>1900.0</v>
      </c>
      <c r="D83" s="78" t="s">
        <v>538</v>
      </c>
      <c r="E83" s="78" t="s">
        <v>539</v>
      </c>
      <c r="F83" s="83">
        <v>1.0</v>
      </c>
      <c r="G83" s="80">
        <f t="shared" si="4"/>
        <v>1900</v>
      </c>
    </row>
    <row r="84">
      <c r="A84" s="78" t="s">
        <v>540</v>
      </c>
      <c r="B84" s="84" t="s">
        <v>537</v>
      </c>
      <c r="C84" s="80">
        <v>3000.0</v>
      </c>
      <c r="D84" s="78" t="s">
        <v>538</v>
      </c>
      <c r="E84" s="78" t="s">
        <v>539</v>
      </c>
      <c r="F84" s="83">
        <v>1.0</v>
      </c>
      <c r="G84" s="80">
        <f t="shared" si="4"/>
        <v>3000</v>
      </c>
    </row>
    <row r="85">
      <c r="A85" s="78" t="s">
        <v>205</v>
      </c>
      <c r="B85" s="84" t="s">
        <v>537</v>
      </c>
      <c r="C85" s="80">
        <v>2000.0</v>
      </c>
      <c r="D85" s="78" t="s">
        <v>538</v>
      </c>
      <c r="E85" s="78" t="s">
        <v>539</v>
      </c>
      <c r="F85" s="83">
        <v>1.0</v>
      </c>
      <c r="G85" s="80">
        <f t="shared" si="4"/>
        <v>2000</v>
      </c>
    </row>
    <row r="86">
      <c r="A86" s="78" t="s">
        <v>212</v>
      </c>
      <c r="B86" s="84" t="s">
        <v>537</v>
      </c>
      <c r="C86" s="80">
        <v>1900.0</v>
      </c>
      <c r="D86" s="78" t="s">
        <v>538</v>
      </c>
      <c r="E86" s="78" t="s">
        <v>539</v>
      </c>
      <c r="F86" s="83">
        <v>1.0</v>
      </c>
      <c r="G86" s="80">
        <f t="shared" si="4"/>
        <v>1900</v>
      </c>
    </row>
    <row r="87">
      <c r="A87" s="86" t="s">
        <v>210</v>
      </c>
      <c r="B87" s="87" t="s">
        <v>537</v>
      </c>
      <c r="C87" s="88">
        <v>2000.0</v>
      </c>
      <c r="D87" s="86" t="s">
        <v>538</v>
      </c>
      <c r="E87" s="86" t="s">
        <v>539</v>
      </c>
      <c r="F87" s="91">
        <v>1.0</v>
      </c>
      <c r="G87" s="80">
        <f t="shared" si="4"/>
        <v>2000</v>
      </c>
    </row>
    <row r="88">
      <c r="A88" s="78" t="s">
        <v>541</v>
      </c>
      <c r="B88" s="84" t="s">
        <v>234</v>
      </c>
      <c r="C88" s="80">
        <v>3800.0</v>
      </c>
      <c r="D88" s="78" t="s">
        <v>17</v>
      </c>
      <c r="E88" s="78" t="s">
        <v>531</v>
      </c>
      <c r="F88" s="83">
        <v>1.0</v>
      </c>
      <c r="G88" s="80">
        <f t="shared" si="4"/>
        <v>3800</v>
      </c>
    </row>
    <row r="89">
      <c r="A89" s="78" t="s">
        <v>216</v>
      </c>
      <c r="B89" s="78" t="s">
        <v>234</v>
      </c>
      <c r="C89" s="80">
        <v>6000.0</v>
      </c>
      <c r="D89" s="78" t="s">
        <v>17</v>
      </c>
      <c r="E89" s="78" t="s">
        <v>531</v>
      </c>
      <c r="F89" s="83">
        <v>1.0</v>
      </c>
      <c r="G89" s="80">
        <f t="shared" si="4"/>
        <v>6000</v>
      </c>
    </row>
    <row r="90">
      <c r="A90" s="78" t="s">
        <v>542</v>
      </c>
      <c r="B90" s="84" t="s">
        <v>234</v>
      </c>
      <c r="C90" s="80">
        <v>3500.0</v>
      </c>
      <c r="D90" s="78" t="s">
        <v>17</v>
      </c>
      <c r="E90" s="78" t="s">
        <v>531</v>
      </c>
      <c r="F90" s="83">
        <v>1.0</v>
      </c>
      <c r="G90" s="80">
        <f t="shared" si="4"/>
        <v>3500</v>
      </c>
    </row>
    <row r="91">
      <c r="A91" s="78" t="s">
        <v>221</v>
      </c>
      <c r="B91" s="84" t="s">
        <v>234</v>
      </c>
      <c r="C91" s="80">
        <v>1000.0</v>
      </c>
      <c r="D91" s="78" t="s">
        <v>17</v>
      </c>
      <c r="E91" s="78" t="s">
        <v>531</v>
      </c>
      <c r="F91" s="83">
        <v>1.0</v>
      </c>
      <c r="G91" s="80">
        <f t="shared" si="4"/>
        <v>1000</v>
      </c>
    </row>
    <row r="92">
      <c r="A92" s="78" t="s">
        <v>194</v>
      </c>
      <c r="B92" s="78" t="s">
        <v>234</v>
      </c>
      <c r="C92" s="80">
        <v>3500.0</v>
      </c>
      <c r="D92" s="78" t="s">
        <v>17</v>
      </c>
      <c r="E92" s="78" t="s">
        <v>531</v>
      </c>
      <c r="F92" s="83">
        <v>1.0</v>
      </c>
      <c r="G92" s="80">
        <f t="shared" si="4"/>
        <v>3500</v>
      </c>
    </row>
    <row r="93">
      <c r="A93" s="78" t="s">
        <v>195</v>
      </c>
      <c r="B93" s="84" t="s">
        <v>14</v>
      </c>
      <c r="C93" s="80">
        <v>7000.0</v>
      </c>
      <c r="D93" s="78" t="s">
        <v>35</v>
      </c>
      <c r="E93" s="78" t="s">
        <v>63</v>
      </c>
      <c r="F93" s="83">
        <v>1.0</v>
      </c>
      <c r="G93" s="80">
        <f t="shared" si="4"/>
        <v>7000</v>
      </c>
    </row>
    <row r="94">
      <c r="A94" s="78" t="s">
        <v>191</v>
      </c>
      <c r="B94" s="84" t="s">
        <v>14</v>
      </c>
      <c r="C94" s="80">
        <v>3000.0</v>
      </c>
      <c r="D94" s="78" t="s">
        <v>35</v>
      </c>
      <c r="E94" s="78" t="s">
        <v>63</v>
      </c>
      <c r="F94" s="83">
        <v>1.0</v>
      </c>
      <c r="G94" s="80">
        <f t="shared" si="4"/>
        <v>3000</v>
      </c>
    </row>
    <row r="95">
      <c r="A95" s="78" t="s">
        <v>543</v>
      </c>
      <c r="B95" s="84" t="s">
        <v>14</v>
      </c>
      <c r="C95" s="80">
        <v>4000.0</v>
      </c>
      <c r="D95" s="78" t="s">
        <v>35</v>
      </c>
      <c r="E95" s="78" t="s">
        <v>63</v>
      </c>
      <c r="F95" s="83">
        <v>1.0</v>
      </c>
      <c r="G95" s="80">
        <f t="shared" si="4"/>
        <v>4000</v>
      </c>
    </row>
    <row r="96">
      <c r="A96" s="78" t="s">
        <v>187</v>
      </c>
      <c r="B96" s="84" t="s">
        <v>234</v>
      </c>
      <c r="C96" s="80">
        <v>4500.0</v>
      </c>
      <c r="D96" s="78" t="s">
        <v>17</v>
      </c>
      <c r="E96" s="78" t="s">
        <v>531</v>
      </c>
      <c r="F96" s="83">
        <v>1.0</v>
      </c>
      <c r="G96" s="80">
        <f t="shared" si="4"/>
        <v>4500</v>
      </c>
    </row>
    <row r="97">
      <c r="A97" s="78" t="s">
        <v>185</v>
      </c>
      <c r="B97" s="84" t="s">
        <v>234</v>
      </c>
      <c r="C97" s="80">
        <v>2800.0</v>
      </c>
      <c r="D97" s="78" t="s">
        <v>17</v>
      </c>
      <c r="E97" s="78" t="s">
        <v>531</v>
      </c>
      <c r="F97" s="83">
        <v>1.0</v>
      </c>
      <c r="G97" s="80">
        <f t="shared" si="4"/>
        <v>2800</v>
      </c>
    </row>
    <row r="98">
      <c r="A98" s="78" t="s">
        <v>544</v>
      </c>
      <c r="B98" s="84" t="s">
        <v>34</v>
      </c>
      <c r="C98" s="92"/>
      <c r="D98" s="78" t="s">
        <v>35</v>
      </c>
      <c r="E98" s="78" t="s">
        <v>36</v>
      </c>
      <c r="F98" s="93"/>
      <c r="G98" s="80" t="str">
        <f t="shared" si="4"/>
        <v>#DIV/0!</v>
      </c>
    </row>
    <row r="99">
      <c r="A99" s="78" t="s">
        <v>545</v>
      </c>
      <c r="B99" s="84" t="s">
        <v>14</v>
      </c>
      <c r="C99" s="80">
        <v>10000.0</v>
      </c>
      <c r="D99" s="78" t="s">
        <v>35</v>
      </c>
      <c r="E99" s="78" t="s">
        <v>63</v>
      </c>
      <c r="F99" s="83">
        <v>1.0</v>
      </c>
      <c r="G99" s="80">
        <f t="shared" si="4"/>
        <v>10000</v>
      </c>
    </row>
    <row r="100">
      <c r="A100" s="78" t="s">
        <v>260</v>
      </c>
      <c r="B100" s="84" t="s">
        <v>380</v>
      </c>
      <c r="C100" s="80">
        <v>90000.0</v>
      </c>
      <c r="D100" s="78" t="s">
        <v>14</v>
      </c>
      <c r="E100" s="78" t="s">
        <v>546</v>
      </c>
      <c r="F100" s="83">
        <v>4.925</v>
      </c>
      <c r="G100" s="80">
        <f t="shared" si="4"/>
        <v>18274.11168</v>
      </c>
    </row>
    <row r="101">
      <c r="A101" s="78" t="s">
        <v>547</v>
      </c>
      <c r="B101" s="78" t="s">
        <v>488</v>
      </c>
      <c r="C101" s="80">
        <v>20000.0</v>
      </c>
      <c r="D101" s="78" t="s">
        <v>25</v>
      </c>
      <c r="E101" s="78" t="s">
        <v>489</v>
      </c>
      <c r="F101" s="83">
        <v>5.0</v>
      </c>
      <c r="G101" s="80">
        <f t="shared" si="4"/>
        <v>4000</v>
      </c>
    </row>
    <row r="102">
      <c r="A102" s="78" t="s">
        <v>218</v>
      </c>
      <c r="B102" s="84" t="s">
        <v>14</v>
      </c>
      <c r="C102" s="80">
        <v>3800.0</v>
      </c>
      <c r="D102" s="78" t="s">
        <v>14</v>
      </c>
      <c r="E102" s="78" t="s">
        <v>534</v>
      </c>
      <c r="F102" s="83">
        <v>1.0</v>
      </c>
      <c r="G102" s="80">
        <f t="shared" si="4"/>
        <v>3800</v>
      </c>
    </row>
    <row r="103">
      <c r="A103" s="78" t="s">
        <v>217</v>
      </c>
      <c r="B103" s="78" t="s">
        <v>14</v>
      </c>
      <c r="C103" s="80">
        <v>8500.0</v>
      </c>
      <c r="D103" s="78" t="s">
        <v>14</v>
      </c>
      <c r="E103" s="78" t="s">
        <v>534</v>
      </c>
      <c r="F103" s="83">
        <v>1.0</v>
      </c>
      <c r="G103" s="80">
        <f t="shared" si="4"/>
        <v>8500</v>
      </c>
    </row>
    <row r="104">
      <c r="A104" s="78" t="s">
        <v>190</v>
      </c>
      <c r="B104" s="84" t="s">
        <v>234</v>
      </c>
      <c r="C104" s="92"/>
      <c r="D104" s="78" t="s">
        <v>17</v>
      </c>
      <c r="E104" s="78" t="s">
        <v>531</v>
      </c>
      <c r="F104" s="83">
        <v>1.0</v>
      </c>
      <c r="G104" s="80">
        <f t="shared" si="4"/>
        <v>0</v>
      </c>
    </row>
    <row r="105">
      <c r="A105" s="78" t="s">
        <v>362</v>
      </c>
      <c r="B105" s="84" t="s">
        <v>234</v>
      </c>
      <c r="C105" s="80">
        <v>2400.0</v>
      </c>
      <c r="D105" s="78" t="s">
        <v>17</v>
      </c>
      <c r="E105" s="78" t="s">
        <v>531</v>
      </c>
      <c r="F105" s="83">
        <v>1.0</v>
      </c>
      <c r="G105" s="80">
        <f t="shared" si="4"/>
        <v>2400</v>
      </c>
    </row>
    <row r="106">
      <c r="A106" s="78" t="s">
        <v>53</v>
      </c>
      <c r="B106" s="84" t="s">
        <v>294</v>
      </c>
      <c r="C106" s="80">
        <v>18000.0</v>
      </c>
      <c r="D106" s="78" t="s">
        <v>25</v>
      </c>
      <c r="E106" s="78" t="s">
        <v>548</v>
      </c>
      <c r="F106" s="83">
        <v>1.0</v>
      </c>
      <c r="G106" s="80">
        <f t="shared" si="4"/>
        <v>18000</v>
      </c>
    </row>
    <row r="107">
      <c r="A107" s="78" t="s">
        <v>549</v>
      </c>
      <c r="B107" s="84" t="s">
        <v>537</v>
      </c>
      <c r="C107" s="80">
        <v>4000.0</v>
      </c>
      <c r="D107" s="78" t="s">
        <v>538</v>
      </c>
      <c r="E107" s="78" t="s">
        <v>539</v>
      </c>
      <c r="F107" s="83">
        <v>1.0</v>
      </c>
      <c r="G107" s="80">
        <f t="shared" si="4"/>
        <v>4000</v>
      </c>
    </row>
    <row r="108">
      <c r="A108" s="78" t="s">
        <v>550</v>
      </c>
      <c r="B108" s="84" t="s">
        <v>537</v>
      </c>
      <c r="C108" s="80">
        <v>3000.0</v>
      </c>
      <c r="D108" s="78" t="s">
        <v>538</v>
      </c>
      <c r="E108" s="78" t="s">
        <v>539</v>
      </c>
      <c r="F108" s="83">
        <v>1.0</v>
      </c>
      <c r="G108" s="80">
        <f t="shared" si="4"/>
        <v>3000</v>
      </c>
    </row>
    <row r="109">
      <c r="A109" s="78" t="s">
        <v>238</v>
      </c>
      <c r="B109" s="84" t="s">
        <v>537</v>
      </c>
      <c r="C109" s="80">
        <v>4500.0</v>
      </c>
      <c r="D109" s="78" t="s">
        <v>538</v>
      </c>
      <c r="E109" s="78" t="s">
        <v>539</v>
      </c>
      <c r="F109" s="83">
        <v>1.0</v>
      </c>
      <c r="G109" s="80">
        <f t="shared" si="4"/>
        <v>4500</v>
      </c>
    </row>
    <row r="110">
      <c r="A110" s="78" t="s">
        <v>12</v>
      </c>
      <c r="B110" s="78" t="s">
        <v>551</v>
      </c>
      <c r="C110" s="80">
        <v>3876.0</v>
      </c>
      <c r="D110" s="78" t="s">
        <v>551</v>
      </c>
      <c r="E110" s="78" t="s">
        <v>552</v>
      </c>
      <c r="F110" s="83">
        <v>1.0</v>
      </c>
      <c r="G110" s="80">
        <f t="shared" si="4"/>
        <v>3876</v>
      </c>
    </row>
    <row r="111">
      <c r="A111" s="78" t="s">
        <v>16</v>
      </c>
      <c r="B111" s="84" t="s">
        <v>478</v>
      </c>
      <c r="C111" s="80">
        <v>465.0</v>
      </c>
      <c r="D111" s="78" t="s">
        <v>17</v>
      </c>
      <c r="E111" s="78" t="s">
        <v>257</v>
      </c>
      <c r="F111" s="83">
        <v>1.0</v>
      </c>
      <c r="G111" s="80">
        <f t="shared" si="4"/>
        <v>465</v>
      </c>
    </row>
    <row r="112">
      <c r="A112" s="81" t="s">
        <v>19</v>
      </c>
      <c r="B112" s="84" t="s">
        <v>478</v>
      </c>
      <c r="C112" s="80">
        <v>233.0</v>
      </c>
      <c r="D112" s="78" t="s">
        <v>17</v>
      </c>
      <c r="E112" s="78" t="s">
        <v>257</v>
      </c>
      <c r="F112" s="83">
        <v>1.0</v>
      </c>
      <c r="G112" s="80">
        <f t="shared" si="4"/>
        <v>233</v>
      </c>
    </row>
    <row r="113">
      <c r="A113" s="78" t="s">
        <v>20</v>
      </c>
      <c r="B113" s="84" t="s">
        <v>478</v>
      </c>
      <c r="C113" s="80">
        <v>97.0</v>
      </c>
      <c r="D113" s="78" t="s">
        <v>17</v>
      </c>
      <c r="E113" s="78" t="s">
        <v>257</v>
      </c>
      <c r="F113" s="83">
        <v>1.0</v>
      </c>
      <c r="G113" s="80">
        <f t="shared" si="4"/>
        <v>97</v>
      </c>
    </row>
    <row r="114">
      <c r="A114" s="78" t="s">
        <v>21</v>
      </c>
      <c r="B114" s="84" t="s">
        <v>478</v>
      </c>
      <c r="C114" s="80">
        <v>781.0</v>
      </c>
      <c r="D114" s="78" t="s">
        <v>17</v>
      </c>
      <c r="E114" s="78" t="s">
        <v>257</v>
      </c>
      <c r="F114" s="83">
        <v>1.0</v>
      </c>
      <c r="G114" s="80">
        <f t="shared" si="4"/>
        <v>781</v>
      </c>
    </row>
    <row r="115">
      <c r="A115" s="78" t="s">
        <v>22</v>
      </c>
      <c r="B115" s="84" t="s">
        <v>478</v>
      </c>
      <c r="C115" s="80">
        <v>1715.0</v>
      </c>
      <c r="D115" s="78" t="s">
        <v>17</v>
      </c>
      <c r="E115" s="78" t="s">
        <v>257</v>
      </c>
      <c r="F115" s="83">
        <v>1.0</v>
      </c>
      <c r="G115" s="80">
        <f t="shared" si="4"/>
        <v>1715</v>
      </c>
    </row>
    <row r="116">
      <c r="A116" s="78" t="s">
        <v>553</v>
      </c>
      <c r="B116" s="78" t="s">
        <v>24</v>
      </c>
      <c r="C116" s="80">
        <v>38000.0</v>
      </c>
      <c r="D116" s="78" t="s">
        <v>25</v>
      </c>
      <c r="E116" s="78" t="s">
        <v>470</v>
      </c>
      <c r="F116" s="83">
        <v>0.75</v>
      </c>
      <c r="G116" s="80">
        <f t="shared" si="4"/>
        <v>50666.66667</v>
      </c>
    </row>
    <row r="117">
      <c r="A117" s="78" t="s">
        <v>554</v>
      </c>
      <c r="B117" s="84" t="s">
        <v>24</v>
      </c>
      <c r="C117" s="80">
        <v>38000.0</v>
      </c>
      <c r="D117" s="78" t="s">
        <v>25</v>
      </c>
      <c r="E117" s="78" t="s">
        <v>470</v>
      </c>
      <c r="F117" s="83">
        <v>0.75</v>
      </c>
      <c r="G117" s="80">
        <f t="shared" si="4"/>
        <v>50666.66667</v>
      </c>
    </row>
    <row r="118">
      <c r="A118" s="78" t="s">
        <v>555</v>
      </c>
      <c r="B118" s="84" t="s">
        <v>24</v>
      </c>
      <c r="C118" s="80">
        <v>33000.0</v>
      </c>
      <c r="D118" s="78" t="s">
        <v>25</v>
      </c>
      <c r="E118" s="78" t="s">
        <v>470</v>
      </c>
      <c r="F118" s="83">
        <v>0.71</v>
      </c>
      <c r="G118" s="80">
        <f t="shared" si="4"/>
        <v>46478.87324</v>
      </c>
    </row>
    <row r="119">
      <c r="A119" s="78" t="s">
        <v>556</v>
      </c>
      <c r="B119" s="84" t="s">
        <v>234</v>
      </c>
      <c r="C119" s="80">
        <v>4500.0</v>
      </c>
      <c r="D119" s="78" t="s">
        <v>17</v>
      </c>
      <c r="E119" s="78" t="s">
        <v>557</v>
      </c>
      <c r="F119" s="83">
        <v>1.0</v>
      </c>
      <c r="G119" s="80">
        <f t="shared" si="4"/>
        <v>4500</v>
      </c>
    </row>
    <row r="120">
      <c r="A120" s="78" t="s">
        <v>530</v>
      </c>
      <c r="B120" s="84" t="s">
        <v>234</v>
      </c>
      <c r="C120" s="80">
        <v>4500.0</v>
      </c>
      <c r="D120" s="78" t="s">
        <v>17</v>
      </c>
      <c r="E120" s="78" t="s">
        <v>531</v>
      </c>
      <c r="F120" s="83">
        <v>1.0</v>
      </c>
      <c r="G120" s="80">
        <f t="shared" si="4"/>
        <v>4500</v>
      </c>
    </row>
    <row r="121">
      <c r="A121" s="78" t="s">
        <v>558</v>
      </c>
      <c r="B121" s="84" t="s">
        <v>14</v>
      </c>
      <c r="C121" s="80">
        <v>10000.0</v>
      </c>
      <c r="D121" s="78" t="s">
        <v>35</v>
      </c>
      <c r="E121" s="78" t="s">
        <v>63</v>
      </c>
      <c r="F121" s="83">
        <v>1.0</v>
      </c>
      <c r="G121" s="80">
        <f t="shared" si="4"/>
        <v>10000</v>
      </c>
    </row>
    <row r="122">
      <c r="A122" s="78" t="s">
        <v>559</v>
      </c>
      <c r="B122" s="78" t="s">
        <v>34</v>
      </c>
      <c r="C122" s="80">
        <v>8000.0</v>
      </c>
      <c r="D122" s="78" t="s">
        <v>14</v>
      </c>
      <c r="E122" s="78" t="s">
        <v>560</v>
      </c>
      <c r="F122" s="83">
        <v>0.4</v>
      </c>
      <c r="G122" s="80">
        <f t="shared" si="4"/>
        <v>20000</v>
      </c>
    </row>
    <row r="123">
      <c r="A123" s="78" t="s">
        <v>148</v>
      </c>
      <c r="B123" s="84" t="s">
        <v>14</v>
      </c>
      <c r="C123" s="80">
        <v>4000.0</v>
      </c>
      <c r="D123" s="78" t="s">
        <v>14</v>
      </c>
      <c r="E123" s="78" t="s">
        <v>534</v>
      </c>
      <c r="F123" s="83">
        <v>25.0</v>
      </c>
      <c r="G123" s="80">
        <f t="shared" si="4"/>
        <v>160</v>
      </c>
    </row>
    <row r="124">
      <c r="A124" s="78" t="s">
        <v>561</v>
      </c>
      <c r="B124" s="78" t="s">
        <v>234</v>
      </c>
      <c r="C124" s="80">
        <v>4500.0</v>
      </c>
      <c r="D124" s="78" t="s">
        <v>17</v>
      </c>
      <c r="E124" s="78" t="s">
        <v>531</v>
      </c>
      <c r="F124" s="83">
        <v>1.0</v>
      </c>
      <c r="G124" s="80">
        <f t="shared" si="4"/>
        <v>4500</v>
      </c>
    </row>
    <row r="125">
      <c r="A125" s="78" t="s">
        <v>215</v>
      </c>
      <c r="B125" s="84" t="s">
        <v>14</v>
      </c>
      <c r="C125" s="80">
        <v>3000.0</v>
      </c>
      <c r="D125" s="78" t="s">
        <v>14</v>
      </c>
      <c r="E125" s="78" t="s">
        <v>63</v>
      </c>
      <c r="F125" s="83">
        <v>1.0</v>
      </c>
      <c r="G125" s="80">
        <f t="shared" si="4"/>
        <v>3000</v>
      </c>
    </row>
    <row r="126">
      <c r="A126" s="78" t="s">
        <v>562</v>
      </c>
      <c r="B126" s="84" t="s">
        <v>563</v>
      </c>
      <c r="C126" s="80">
        <v>5500.0</v>
      </c>
      <c r="D126" s="78" t="s">
        <v>14</v>
      </c>
      <c r="E126" s="78" t="s">
        <v>142</v>
      </c>
      <c r="F126" s="83">
        <v>0.27</v>
      </c>
      <c r="G126" s="80">
        <f t="shared" si="4"/>
        <v>20370.37037</v>
      </c>
    </row>
    <row r="127">
      <c r="A127" s="78" t="s">
        <v>535</v>
      </c>
      <c r="B127" s="84" t="s">
        <v>14</v>
      </c>
      <c r="C127" s="80">
        <v>5000.0</v>
      </c>
      <c r="D127" s="78" t="s">
        <v>14</v>
      </c>
      <c r="E127" s="78" t="s">
        <v>63</v>
      </c>
      <c r="F127" s="83">
        <v>1.0</v>
      </c>
      <c r="G127" s="80">
        <f t="shared" si="4"/>
        <v>5000</v>
      </c>
    </row>
    <row r="128">
      <c r="A128" s="78" t="s">
        <v>564</v>
      </c>
      <c r="B128" s="78" t="s">
        <v>478</v>
      </c>
      <c r="C128" s="80">
        <v>28000.0</v>
      </c>
      <c r="D128" s="78" t="s">
        <v>14</v>
      </c>
      <c r="E128" s="78" t="s">
        <v>142</v>
      </c>
      <c r="F128" s="83">
        <v>0.5</v>
      </c>
      <c r="G128" s="80">
        <f t="shared" si="4"/>
        <v>56000</v>
      </c>
    </row>
    <row r="129">
      <c r="A129" s="78" t="s">
        <v>565</v>
      </c>
      <c r="B129" s="78" t="s">
        <v>234</v>
      </c>
      <c r="C129" s="80">
        <v>2167.0</v>
      </c>
      <c r="D129" s="78" t="s">
        <v>17</v>
      </c>
      <c r="E129" s="78" t="s">
        <v>257</v>
      </c>
      <c r="F129" s="83">
        <v>1.0</v>
      </c>
      <c r="G129" s="80">
        <f t="shared" si="4"/>
        <v>2167</v>
      </c>
    </row>
    <row r="130">
      <c r="A130" s="78" t="s">
        <v>209</v>
      </c>
      <c r="B130" s="78" t="s">
        <v>234</v>
      </c>
      <c r="C130" s="80">
        <v>4500.0</v>
      </c>
      <c r="D130" s="78" t="s">
        <v>17</v>
      </c>
      <c r="E130" s="78" t="s">
        <v>531</v>
      </c>
      <c r="F130" s="83">
        <v>1.0</v>
      </c>
      <c r="G130" s="80">
        <f t="shared" si="4"/>
        <v>4500</v>
      </c>
    </row>
    <row r="131">
      <c r="A131" s="78" t="s">
        <v>196</v>
      </c>
      <c r="B131" s="84" t="s">
        <v>14</v>
      </c>
      <c r="C131" s="80">
        <v>4500.0</v>
      </c>
      <c r="D131" s="78" t="s">
        <v>35</v>
      </c>
      <c r="E131" s="78" t="s">
        <v>63</v>
      </c>
      <c r="F131" s="83">
        <v>1.0</v>
      </c>
      <c r="G131" s="80">
        <f t="shared" si="4"/>
        <v>4500</v>
      </c>
    </row>
    <row r="132">
      <c r="A132" s="78" t="s">
        <v>566</v>
      </c>
      <c r="B132" s="78" t="s">
        <v>24</v>
      </c>
      <c r="C132" s="80">
        <v>35000.0</v>
      </c>
      <c r="D132" s="78" t="s">
        <v>25</v>
      </c>
      <c r="E132" s="78" t="s">
        <v>468</v>
      </c>
      <c r="F132" s="83">
        <v>1.0</v>
      </c>
      <c r="G132" s="80">
        <f t="shared" si="4"/>
        <v>35000</v>
      </c>
    </row>
    <row r="133">
      <c r="A133" s="78" t="s">
        <v>567</v>
      </c>
      <c r="B133" s="84" t="s">
        <v>35</v>
      </c>
      <c r="C133" s="80">
        <v>7000.0</v>
      </c>
      <c r="D133" s="78" t="s">
        <v>35</v>
      </c>
      <c r="E133" s="78" t="s">
        <v>568</v>
      </c>
      <c r="F133" s="83">
        <v>1.0</v>
      </c>
      <c r="G133" s="80">
        <f t="shared" si="4"/>
        <v>7000</v>
      </c>
    </row>
    <row r="134">
      <c r="A134" s="78" t="s">
        <v>296</v>
      </c>
      <c r="B134" s="84" t="s">
        <v>569</v>
      </c>
      <c r="C134" s="80">
        <v>212000.0</v>
      </c>
      <c r="D134" s="78" t="s">
        <v>35</v>
      </c>
      <c r="E134" s="78" t="s">
        <v>63</v>
      </c>
      <c r="F134" s="83">
        <v>16.0</v>
      </c>
      <c r="G134" s="80">
        <f t="shared" si="4"/>
        <v>13250</v>
      </c>
    </row>
    <row r="135">
      <c r="A135" s="78" t="s">
        <v>264</v>
      </c>
      <c r="B135" s="78" t="s">
        <v>380</v>
      </c>
      <c r="C135" s="80">
        <v>30000.0</v>
      </c>
      <c r="D135" s="78" t="s">
        <v>35</v>
      </c>
      <c r="E135" s="78" t="s">
        <v>546</v>
      </c>
      <c r="F135" s="83">
        <v>2.5</v>
      </c>
      <c r="G135" s="80">
        <f t="shared" si="4"/>
        <v>12000</v>
      </c>
    </row>
    <row r="136">
      <c r="A136" s="94" t="s">
        <v>570</v>
      </c>
      <c r="B136" s="95"/>
      <c r="C136" s="95"/>
      <c r="D136" s="96"/>
      <c r="E136" s="96"/>
      <c r="F136" s="97"/>
      <c r="G136" s="80"/>
    </row>
    <row r="137">
      <c r="A137" s="98" t="s">
        <v>571</v>
      </c>
      <c r="B137" s="99"/>
      <c r="C137" s="100"/>
      <c r="D137" s="99"/>
      <c r="E137" s="99"/>
      <c r="F137" s="101"/>
      <c r="G137" s="80"/>
    </row>
    <row r="138">
      <c r="A138" s="78" t="s">
        <v>449</v>
      </c>
      <c r="B138" s="84" t="s">
        <v>398</v>
      </c>
      <c r="C138" s="80">
        <v>44604.0</v>
      </c>
      <c r="D138" s="78" t="s">
        <v>259</v>
      </c>
      <c r="E138" s="78" t="s">
        <v>572</v>
      </c>
      <c r="F138" s="83">
        <v>1.0</v>
      </c>
      <c r="G138" s="80">
        <f t="shared" ref="G138:G166" si="5">C138/F138</f>
        <v>44604</v>
      </c>
    </row>
    <row r="139">
      <c r="A139" s="78" t="s">
        <v>451</v>
      </c>
      <c r="B139" s="84" t="s">
        <v>398</v>
      </c>
      <c r="C139" s="80">
        <v>10266.0</v>
      </c>
      <c r="D139" s="78" t="s">
        <v>259</v>
      </c>
      <c r="E139" s="78" t="s">
        <v>572</v>
      </c>
      <c r="F139" s="83">
        <v>2.0</v>
      </c>
      <c r="G139" s="80">
        <f t="shared" si="5"/>
        <v>5133</v>
      </c>
    </row>
    <row r="140">
      <c r="A140" s="78" t="s">
        <v>447</v>
      </c>
      <c r="B140" s="84" t="s">
        <v>398</v>
      </c>
      <c r="C140" s="80">
        <v>16000.0</v>
      </c>
      <c r="D140" s="78" t="s">
        <v>259</v>
      </c>
      <c r="E140" s="78" t="s">
        <v>572</v>
      </c>
      <c r="F140" s="83">
        <v>1.0</v>
      </c>
      <c r="G140" s="80">
        <f t="shared" si="5"/>
        <v>16000</v>
      </c>
    </row>
    <row r="141">
      <c r="A141" s="78" t="s">
        <v>573</v>
      </c>
      <c r="B141" s="84" t="s">
        <v>398</v>
      </c>
      <c r="C141" s="80">
        <v>9582.0</v>
      </c>
      <c r="D141" s="78" t="s">
        <v>574</v>
      </c>
      <c r="E141" s="78" t="s">
        <v>575</v>
      </c>
      <c r="F141" s="83">
        <v>1.0</v>
      </c>
      <c r="G141" s="80">
        <f t="shared" si="5"/>
        <v>9582</v>
      </c>
    </row>
    <row r="142">
      <c r="A142" s="78" t="s">
        <v>576</v>
      </c>
      <c r="B142" s="78" t="s">
        <v>398</v>
      </c>
      <c r="C142" s="80">
        <v>6160.0</v>
      </c>
      <c r="D142" s="78" t="s">
        <v>259</v>
      </c>
      <c r="E142" s="78" t="s">
        <v>572</v>
      </c>
      <c r="F142" s="83">
        <v>5.0</v>
      </c>
      <c r="G142" s="80">
        <f t="shared" si="5"/>
        <v>1232</v>
      </c>
    </row>
    <row r="143">
      <c r="A143" s="98" t="s">
        <v>577</v>
      </c>
      <c r="B143" s="100"/>
      <c r="C143" s="100"/>
      <c r="D143" s="99"/>
      <c r="E143" s="99"/>
      <c r="F143" s="101"/>
      <c r="G143" s="80" t="str">
        <f t="shared" si="5"/>
        <v>#DIV/0!</v>
      </c>
    </row>
    <row r="144">
      <c r="A144" s="78" t="s">
        <v>429</v>
      </c>
      <c r="B144" s="84" t="s">
        <v>398</v>
      </c>
      <c r="C144" s="80">
        <v>5947.0</v>
      </c>
      <c r="D144" s="78" t="s">
        <v>259</v>
      </c>
      <c r="E144" s="78" t="s">
        <v>572</v>
      </c>
      <c r="F144" s="83">
        <v>4.0</v>
      </c>
      <c r="G144" s="80">
        <f t="shared" si="5"/>
        <v>1486.75</v>
      </c>
    </row>
    <row r="145">
      <c r="A145" s="78" t="s">
        <v>578</v>
      </c>
      <c r="B145" s="78" t="s">
        <v>398</v>
      </c>
      <c r="C145" s="92"/>
      <c r="D145" s="78" t="s">
        <v>259</v>
      </c>
      <c r="E145" s="78" t="s">
        <v>572</v>
      </c>
      <c r="F145" s="83">
        <v>3.0</v>
      </c>
      <c r="G145" s="80">
        <f t="shared" si="5"/>
        <v>0</v>
      </c>
    </row>
    <row r="146">
      <c r="A146" s="78" t="s">
        <v>579</v>
      </c>
      <c r="B146" s="84" t="s">
        <v>398</v>
      </c>
      <c r="C146" s="80">
        <v>8295.0</v>
      </c>
      <c r="D146" s="78" t="s">
        <v>259</v>
      </c>
      <c r="E146" s="78" t="s">
        <v>572</v>
      </c>
      <c r="F146" s="83">
        <v>3.0</v>
      </c>
      <c r="G146" s="80">
        <f t="shared" si="5"/>
        <v>2765</v>
      </c>
    </row>
    <row r="147">
      <c r="A147" s="78" t="s">
        <v>580</v>
      </c>
      <c r="B147" s="84" t="s">
        <v>398</v>
      </c>
      <c r="C147" s="80">
        <v>10042.0</v>
      </c>
      <c r="D147" s="78" t="s">
        <v>259</v>
      </c>
      <c r="E147" s="78" t="s">
        <v>572</v>
      </c>
      <c r="F147" s="83">
        <v>2.0</v>
      </c>
      <c r="G147" s="80">
        <f t="shared" si="5"/>
        <v>5021</v>
      </c>
    </row>
    <row r="148">
      <c r="A148" s="78" t="s">
        <v>426</v>
      </c>
      <c r="B148" s="78" t="s">
        <v>398</v>
      </c>
      <c r="C148" s="80">
        <v>6726.0</v>
      </c>
      <c r="D148" s="78" t="s">
        <v>259</v>
      </c>
      <c r="E148" s="78" t="s">
        <v>575</v>
      </c>
      <c r="F148" s="83">
        <v>1.0</v>
      </c>
      <c r="G148" s="80">
        <f t="shared" si="5"/>
        <v>6726</v>
      </c>
    </row>
    <row r="149">
      <c r="A149" s="78" t="s">
        <v>428</v>
      </c>
      <c r="B149" s="84" t="s">
        <v>398</v>
      </c>
      <c r="C149" s="80">
        <v>2242.0</v>
      </c>
      <c r="D149" s="78" t="s">
        <v>259</v>
      </c>
      <c r="E149" s="78" t="s">
        <v>575</v>
      </c>
      <c r="F149" s="83">
        <v>1.0</v>
      </c>
      <c r="G149" s="80">
        <f t="shared" si="5"/>
        <v>2242</v>
      </c>
    </row>
    <row r="150">
      <c r="A150" s="98" t="s">
        <v>581</v>
      </c>
      <c r="B150" s="100"/>
      <c r="C150" s="100"/>
      <c r="D150" s="99"/>
      <c r="E150" s="99"/>
      <c r="F150" s="101"/>
      <c r="G150" s="80" t="str">
        <f t="shared" si="5"/>
        <v>#DIV/0!</v>
      </c>
    </row>
    <row r="151">
      <c r="A151" s="78" t="s">
        <v>401</v>
      </c>
      <c r="B151" s="84" t="s">
        <v>398</v>
      </c>
      <c r="C151" s="80">
        <v>5900.0</v>
      </c>
      <c r="D151" s="78" t="s">
        <v>259</v>
      </c>
      <c r="E151" s="78" t="s">
        <v>572</v>
      </c>
      <c r="F151" s="83">
        <v>1.0</v>
      </c>
      <c r="G151" s="80">
        <f t="shared" si="5"/>
        <v>5900</v>
      </c>
    </row>
    <row r="152">
      <c r="A152" s="78" t="s">
        <v>582</v>
      </c>
      <c r="B152" s="78" t="s">
        <v>398</v>
      </c>
      <c r="C152" s="80">
        <v>14160.0</v>
      </c>
      <c r="D152" s="78" t="s">
        <v>259</v>
      </c>
      <c r="E152" s="78" t="s">
        <v>572</v>
      </c>
      <c r="F152" s="83">
        <v>1.0</v>
      </c>
      <c r="G152" s="80">
        <f t="shared" si="5"/>
        <v>14160</v>
      </c>
    </row>
    <row r="153">
      <c r="A153" s="78" t="s">
        <v>583</v>
      </c>
      <c r="B153" s="84" t="s">
        <v>398</v>
      </c>
      <c r="C153" s="92"/>
      <c r="D153" s="78" t="s">
        <v>259</v>
      </c>
      <c r="E153" s="78" t="s">
        <v>575</v>
      </c>
      <c r="F153" s="83">
        <v>1.0</v>
      </c>
      <c r="G153" s="80">
        <f t="shared" si="5"/>
        <v>0</v>
      </c>
    </row>
    <row r="154">
      <c r="A154" s="78" t="s">
        <v>413</v>
      </c>
      <c r="B154" s="84" t="s">
        <v>398</v>
      </c>
      <c r="C154" s="80">
        <v>3068.0</v>
      </c>
      <c r="D154" s="78" t="s">
        <v>259</v>
      </c>
      <c r="E154" s="78" t="s">
        <v>575</v>
      </c>
      <c r="F154" s="83">
        <v>1.0</v>
      </c>
      <c r="G154" s="80">
        <f t="shared" si="5"/>
        <v>3068</v>
      </c>
    </row>
    <row r="155">
      <c r="A155" s="78" t="s">
        <v>416</v>
      </c>
      <c r="B155" s="84" t="s">
        <v>398</v>
      </c>
      <c r="C155" s="80">
        <v>7080.0</v>
      </c>
      <c r="D155" s="78" t="s">
        <v>259</v>
      </c>
      <c r="E155" s="78" t="s">
        <v>575</v>
      </c>
      <c r="F155" s="83">
        <v>1.0</v>
      </c>
      <c r="G155" s="80">
        <f t="shared" si="5"/>
        <v>7080</v>
      </c>
    </row>
    <row r="156">
      <c r="A156" s="78" t="s">
        <v>584</v>
      </c>
      <c r="B156" s="84" t="s">
        <v>398</v>
      </c>
      <c r="C156" s="80">
        <v>9027.0</v>
      </c>
      <c r="D156" s="78" t="s">
        <v>259</v>
      </c>
      <c r="E156" s="78" t="s">
        <v>572</v>
      </c>
      <c r="F156" s="83">
        <v>5.0</v>
      </c>
      <c r="G156" s="80">
        <f t="shared" si="5"/>
        <v>1805.4</v>
      </c>
    </row>
    <row r="157">
      <c r="A157" s="78" t="s">
        <v>418</v>
      </c>
      <c r="B157" s="78" t="s">
        <v>398</v>
      </c>
      <c r="C157" s="80">
        <v>4012.0</v>
      </c>
      <c r="D157" s="78" t="s">
        <v>259</v>
      </c>
      <c r="E157" s="78" t="s">
        <v>572</v>
      </c>
      <c r="F157" s="83">
        <v>1.0</v>
      </c>
      <c r="G157" s="80">
        <f t="shared" si="5"/>
        <v>4012</v>
      </c>
    </row>
    <row r="158">
      <c r="A158" s="78" t="s">
        <v>585</v>
      </c>
      <c r="B158" s="84" t="s">
        <v>398</v>
      </c>
      <c r="C158" s="80">
        <v>6372.0</v>
      </c>
      <c r="D158" s="78" t="s">
        <v>259</v>
      </c>
      <c r="E158" s="78" t="s">
        <v>572</v>
      </c>
      <c r="F158" s="83">
        <v>3.0</v>
      </c>
      <c r="G158" s="80">
        <f t="shared" si="5"/>
        <v>2124</v>
      </c>
    </row>
    <row r="159">
      <c r="A159" s="78" t="s">
        <v>586</v>
      </c>
      <c r="B159" s="84" t="s">
        <v>398</v>
      </c>
      <c r="C159" s="80">
        <v>7434.0</v>
      </c>
      <c r="D159" s="78" t="s">
        <v>259</v>
      </c>
      <c r="E159" s="78" t="s">
        <v>572</v>
      </c>
      <c r="F159" s="83">
        <v>8.0</v>
      </c>
      <c r="G159" s="80">
        <f t="shared" si="5"/>
        <v>929.25</v>
      </c>
    </row>
    <row r="160">
      <c r="A160" s="78" t="s">
        <v>420</v>
      </c>
      <c r="B160" s="84" t="s">
        <v>398</v>
      </c>
      <c r="C160" s="80">
        <v>4720.0</v>
      </c>
      <c r="D160" s="78" t="s">
        <v>259</v>
      </c>
      <c r="E160" s="78" t="s">
        <v>572</v>
      </c>
      <c r="F160" s="83">
        <v>4.0</v>
      </c>
      <c r="G160" s="80">
        <f t="shared" si="5"/>
        <v>1180</v>
      </c>
    </row>
    <row r="161">
      <c r="A161" s="78" t="s">
        <v>422</v>
      </c>
      <c r="B161" s="84" t="s">
        <v>398</v>
      </c>
      <c r="C161" s="80">
        <v>2596.0</v>
      </c>
      <c r="D161" s="78" t="s">
        <v>259</v>
      </c>
      <c r="E161" s="78" t="s">
        <v>572</v>
      </c>
      <c r="F161" s="83">
        <v>4.0</v>
      </c>
      <c r="G161" s="80">
        <f t="shared" si="5"/>
        <v>649</v>
      </c>
    </row>
    <row r="162">
      <c r="A162" s="78" t="s">
        <v>587</v>
      </c>
      <c r="B162" s="84" t="s">
        <v>398</v>
      </c>
      <c r="C162" s="80">
        <v>6372.0</v>
      </c>
      <c r="D162" s="78" t="s">
        <v>259</v>
      </c>
      <c r="E162" s="78" t="s">
        <v>572</v>
      </c>
      <c r="F162" s="83">
        <v>3.0</v>
      </c>
      <c r="G162" s="80">
        <f t="shared" si="5"/>
        <v>2124</v>
      </c>
    </row>
    <row r="163">
      <c r="A163" s="78" t="s">
        <v>406</v>
      </c>
      <c r="B163" s="84" t="s">
        <v>398</v>
      </c>
      <c r="C163" s="80">
        <v>3068.0</v>
      </c>
      <c r="D163" s="78" t="s">
        <v>259</v>
      </c>
      <c r="E163" s="78" t="s">
        <v>572</v>
      </c>
      <c r="F163" s="83">
        <v>1.0</v>
      </c>
      <c r="G163" s="80">
        <f t="shared" si="5"/>
        <v>3068</v>
      </c>
    </row>
    <row r="164">
      <c r="A164" s="78" t="s">
        <v>588</v>
      </c>
      <c r="B164" s="84" t="s">
        <v>398</v>
      </c>
      <c r="C164" s="80">
        <v>1770.0</v>
      </c>
      <c r="D164" s="78" t="s">
        <v>259</v>
      </c>
      <c r="E164" s="78" t="s">
        <v>572</v>
      </c>
      <c r="F164" s="83">
        <v>1.0</v>
      </c>
      <c r="G164" s="80">
        <f t="shared" si="5"/>
        <v>1770</v>
      </c>
    </row>
    <row r="165">
      <c r="A165" s="78" t="s">
        <v>414</v>
      </c>
      <c r="B165" s="78" t="s">
        <v>575</v>
      </c>
      <c r="C165" s="80">
        <v>4012.0</v>
      </c>
      <c r="D165" s="78" t="s">
        <v>259</v>
      </c>
      <c r="E165" s="78" t="s">
        <v>575</v>
      </c>
      <c r="F165" s="83">
        <v>1.0</v>
      </c>
      <c r="G165" s="80">
        <f t="shared" si="5"/>
        <v>4012</v>
      </c>
    </row>
    <row r="166">
      <c r="A166" s="78" t="s">
        <v>589</v>
      </c>
      <c r="B166" s="78" t="s">
        <v>575</v>
      </c>
      <c r="C166" s="80">
        <f>20000</f>
        <v>20000</v>
      </c>
      <c r="D166" s="78" t="s">
        <v>35</v>
      </c>
      <c r="E166" s="78" t="s">
        <v>575</v>
      </c>
      <c r="F166" s="83">
        <v>1.0</v>
      </c>
      <c r="G166" s="80">
        <f t="shared" si="5"/>
        <v>20000</v>
      </c>
    </row>
    <row r="167">
      <c r="A167" s="98" t="s">
        <v>590</v>
      </c>
      <c r="B167" s="100"/>
      <c r="C167" s="100"/>
      <c r="D167" s="99"/>
      <c r="E167" s="99"/>
      <c r="F167" s="101"/>
      <c r="G167" s="80"/>
    </row>
    <row r="168">
      <c r="A168" s="78" t="s">
        <v>444</v>
      </c>
      <c r="B168" s="84" t="s">
        <v>398</v>
      </c>
      <c r="C168" s="80">
        <v>6784.0</v>
      </c>
      <c r="D168" s="78" t="s">
        <v>259</v>
      </c>
      <c r="E168" s="78" t="s">
        <v>575</v>
      </c>
      <c r="F168" s="83">
        <v>1.0</v>
      </c>
      <c r="G168" s="80">
        <f t="shared" ref="G168:G185" si="6">C168/F168</f>
        <v>6784</v>
      </c>
    </row>
    <row r="169">
      <c r="A169" s="81" t="s">
        <v>457</v>
      </c>
      <c r="B169" s="79" t="s">
        <v>398</v>
      </c>
      <c r="C169" s="80">
        <f>15000*0.15</f>
        <v>2250</v>
      </c>
      <c r="D169" s="81" t="s">
        <v>259</v>
      </c>
      <c r="E169" s="81" t="s">
        <v>591</v>
      </c>
      <c r="F169" s="83">
        <v>1.0</v>
      </c>
      <c r="G169" s="80">
        <f t="shared" si="6"/>
        <v>2250</v>
      </c>
    </row>
    <row r="170">
      <c r="A170" s="78" t="s">
        <v>442</v>
      </c>
      <c r="B170" s="78" t="s">
        <v>398</v>
      </c>
      <c r="C170" s="80">
        <v>4779.0</v>
      </c>
      <c r="D170" s="78" t="s">
        <v>259</v>
      </c>
      <c r="E170" s="78" t="s">
        <v>575</v>
      </c>
      <c r="F170" s="83">
        <v>1.0</v>
      </c>
      <c r="G170" s="80">
        <f t="shared" si="6"/>
        <v>4779</v>
      </c>
    </row>
    <row r="171">
      <c r="A171" s="78" t="s">
        <v>592</v>
      </c>
      <c r="B171" s="84" t="s">
        <v>398</v>
      </c>
      <c r="C171" s="80">
        <v>2390.0</v>
      </c>
      <c r="D171" s="78" t="s">
        <v>259</v>
      </c>
      <c r="E171" s="78" t="s">
        <v>575</v>
      </c>
      <c r="F171" s="83">
        <v>1.0</v>
      </c>
      <c r="G171" s="80">
        <f t="shared" si="6"/>
        <v>2390</v>
      </c>
    </row>
    <row r="172">
      <c r="A172" s="78" t="s">
        <v>593</v>
      </c>
      <c r="B172" s="78" t="s">
        <v>398</v>
      </c>
      <c r="C172" s="92"/>
      <c r="D172" s="78" t="s">
        <v>259</v>
      </c>
      <c r="E172" s="78" t="s">
        <v>575</v>
      </c>
      <c r="F172" s="83">
        <v>1.0</v>
      </c>
      <c r="G172" s="80">
        <f t="shared" si="6"/>
        <v>0</v>
      </c>
    </row>
    <row r="173">
      <c r="A173" s="78" t="s">
        <v>445</v>
      </c>
      <c r="B173" s="78" t="s">
        <v>398</v>
      </c>
      <c r="C173" s="80">
        <v>5756.0</v>
      </c>
      <c r="D173" s="78" t="s">
        <v>259</v>
      </c>
      <c r="E173" s="78" t="s">
        <v>575</v>
      </c>
      <c r="F173" s="83">
        <v>4.0</v>
      </c>
      <c r="G173" s="80">
        <f t="shared" si="6"/>
        <v>1439</v>
      </c>
    </row>
    <row r="174">
      <c r="A174" s="78" t="s">
        <v>594</v>
      </c>
      <c r="B174" s="78" t="s">
        <v>398</v>
      </c>
      <c r="C174" s="80">
        <v>4370.0</v>
      </c>
      <c r="D174" s="78" t="s">
        <v>259</v>
      </c>
      <c r="E174" s="78" t="s">
        <v>575</v>
      </c>
      <c r="F174" s="83">
        <v>2.0</v>
      </c>
      <c r="G174" s="80">
        <f t="shared" si="6"/>
        <v>2185</v>
      </c>
    </row>
    <row r="175">
      <c r="A175" s="78" t="s">
        <v>432</v>
      </c>
      <c r="B175" s="78" t="s">
        <v>398</v>
      </c>
      <c r="C175" s="80">
        <v>9558.0</v>
      </c>
      <c r="D175" s="78" t="s">
        <v>259</v>
      </c>
      <c r="E175" s="78" t="s">
        <v>575</v>
      </c>
      <c r="F175" s="83">
        <v>2.0</v>
      </c>
      <c r="G175" s="80">
        <f t="shared" si="6"/>
        <v>4779</v>
      </c>
    </row>
    <row r="176">
      <c r="A176" s="78" t="s">
        <v>446</v>
      </c>
      <c r="B176" s="78" t="s">
        <v>398</v>
      </c>
      <c r="C176" s="92"/>
      <c r="D176" s="78" t="s">
        <v>259</v>
      </c>
      <c r="E176" s="78" t="s">
        <v>575</v>
      </c>
      <c r="F176" s="83">
        <v>1.0</v>
      </c>
      <c r="G176" s="80">
        <f t="shared" si="6"/>
        <v>0</v>
      </c>
    </row>
    <row r="177">
      <c r="A177" s="78" t="s">
        <v>439</v>
      </c>
      <c r="B177" s="78" t="s">
        <v>398</v>
      </c>
      <c r="C177" s="80">
        <v>8602.0</v>
      </c>
      <c r="D177" s="78" t="s">
        <v>259</v>
      </c>
      <c r="E177" s="78" t="s">
        <v>575</v>
      </c>
      <c r="F177" s="83">
        <v>1.0</v>
      </c>
      <c r="G177" s="80">
        <f t="shared" si="6"/>
        <v>8602</v>
      </c>
    </row>
    <row r="178">
      <c r="A178" s="78" t="s">
        <v>595</v>
      </c>
      <c r="B178" s="78" t="s">
        <v>398</v>
      </c>
      <c r="C178" s="80">
        <v>8602.0</v>
      </c>
      <c r="D178" s="78" t="s">
        <v>259</v>
      </c>
      <c r="E178" s="78" t="s">
        <v>575</v>
      </c>
      <c r="F178" s="83">
        <v>1.0</v>
      </c>
      <c r="G178" s="80">
        <f t="shared" si="6"/>
        <v>8602</v>
      </c>
    </row>
    <row r="179">
      <c r="A179" s="78" t="s">
        <v>596</v>
      </c>
      <c r="B179" s="78" t="s">
        <v>398</v>
      </c>
      <c r="C179" s="80">
        <v>4142.0</v>
      </c>
      <c r="D179" s="78" t="s">
        <v>259</v>
      </c>
      <c r="E179" s="78" t="s">
        <v>575</v>
      </c>
      <c r="F179" s="83">
        <v>1.0</v>
      </c>
      <c r="G179" s="80">
        <f t="shared" si="6"/>
        <v>4142</v>
      </c>
    </row>
    <row r="180">
      <c r="A180" s="78" t="s">
        <v>597</v>
      </c>
      <c r="B180" s="78" t="s">
        <v>398</v>
      </c>
      <c r="C180" s="80">
        <v>10620.0</v>
      </c>
      <c r="D180" s="78" t="s">
        <v>259</v>
      </c>
      <c r="E180" s="78" t="s">
        <v>575</v>
      </c>
      <c r="F180" s="83">
        <v>3.0</v>
      </c>
      <c r="G180" s="80">
        <f t="shared" si="6"/>
        <v>3540</v>
      </c>
    </row>
    <row r="181">
      <c r="A181" s="78" t="s">
        <v>433</v>
      </c>
      <c r="B181" s="78" t="s">
        <v>398</v>
      </c>
      <c r="C181" s="80">
        <v>8496.0</v>
      </c>
      <c r="D181" s="78" t="s">
        <v>259</v>
      </c>
      <c r="E181" s="78" t="s">
        <v>575</v>
      </c>
      <c r="F181" s="83">
        <v>1.0</v>
      </c>
      <c r="G181" s="80">
        <f t="shared" si="6"/>
        <v>8496</v>
      </c>
    </row>
    <row r="182">
      <c r="A182" s="78" t="s">
        <v>438</v>
      </c>
      <c r="B182" s="78" t="s">
        <v>398</v>
      </c>
      <c r="C182" s="80">
        <v>6372.0</v>
      </c>
      <c r="D182" s="78" t="s">
        <v>259</v>
      </c>
      <c r="E182" s="78" t="s">
        <v>575</v>
      </c>
      <c r="F182" s="83">
        <v>1.0</v>
      </c>
      <c r="G182" s="80">
        <f t="shared" si="6"/>
        <v>6372</v>
      </c>
    </row>
    <row r="183">
      <c r="A183" s="78" t="s">
        <v>598</v>
      </c>
      <c r="B183" s="78" t="s">
        <v>398</v>
      </c>
      <c r="C183" s="92"/>
      <c r="D183" s="78" t="s">
        <v>259</v>
      </c>
      <c r="E183" s="78" t="s">
        <v>572</v>
      </c>
      <c r="F183" s="83">
        <v>2.0</v>
      </c>
      <c r="G183" s="80">
        <f t="shared" si="6"/>
        <v>0</v>
      </c>
    </row>
    <row r="184">
      <c r="A184" s="78" t="s">
        <v>454</v>
      </c>
      <c r="B184" s="78" t="s">
        <v>398</v>
      </c>
      <c r="C184" s="80">
        <v>2000.0</v>
      </c>
      <c r="D184" s="78" t="s">
        <v>259</v>
      </c>
      <c r="E184" s="78" t="s">
        <v>572</v>
      </c>
      <c r="F184" s="83">
        <v>4.0</v>
      </c>
      <c r="G184" s="80">
        <f t="shared" si="6"/>
        <v>500</v>
      </c>
    </row>
    <row r="185">
      <c r="A185" s="78" t="s">
        <v>455</v>
      </c>
      <c r="B185" s="78" t="s">
        <v>398</v>
      </c>
      <c r="C185" s="80">
        <v>2000.0</v>
      </c>
      <c r="D185" s="78" t="s">
        <v>259</v>
      </c>
      <c r="E185" s="78" t="s">
        <v>572</v>
      </c>
      <c r="F185" s="83">
        <v>4.0</v>
      </c>
      <c r="G185" s="80">
        <f t="shared" si="6"/>
        <v>500</v>
      </c>
    </row>
    <row r="186">
      <c r="A186" s="94" t="s">
        <v>599</v>
      </c>
      <c r="B186" s="96"/>
      <c r="C186" s="95"/>
      <c r="D186" s="96"/>
      <c r="E186" s="96"/>
      <c r="F186" s="97"/>
      <c r="G186" s="80"/>
    </row>
    <row r="187">
      <c r="A187" s="78" t="s">
        <v>39</v>
      </c>
      <c r="B187" s="78" t="s">
        <v>234</v>
      </c>
      <c r="C187" s="80">
        <v>200.0</v>
      </c>
      <c r="D187" s="78" t="s">
        <v>234</v>
      </c>
      <c r="E187" s="78" t="s">
        <v>600</v>
      </c>
      <c r="F187" s="83">
        <v>1.0</v>
      </c>
      <c r="G187" s="80">
        <f t="shared" ref="G187:G193" si="7">C187/F187</f>
        <v>200</v>
      </c>
    </row>
    <row r="188">
      <c r="A188" s="78" t="s">
        <v>42</v>
      </c>
      <c r="B188" s="78" t="s">
        <v>24</v>
      </c>
      <c r="C188" s="80">
        <v>16000.0</v>
      </c>
      <c r="D188" s="78" t="s">
        <v>35</v>
      </c>
      <c r="E188" s="78" t="s">
        <v>601</v>
      </c>
      <c r="F188" s="83">
        <v>0.397</v>
      </c>
      <c r="G188" s="80">
        <f t="shared" si="7"/>
        <v>40302.267</v>
      </c>
    </row>
    <row r="189">
      <c r="A189" s="78" t="s">
        <v>44</v>
      </c>
      <c r="B189" s="78" t="s">
        <v>24</v>
      </c>
      <c r="C189" s="80">
        <v>33000.0</v>
      </c>
      <c r="D189" s="78" t="s">
        <v>35</v>
      </c>
      <c r="E189" s="78" t="s">
        <v>601</v>
      </c>
      <c r="F189" s="83">
        <v>0.71</v>
      </c>
      <c r="G189" s="80">
        <f t="shared" si="7"/>
        <v>46478.87324</v>
      </c>
    </row>
    <row r="190">
      <c r="A190" s="78" t="s">
        <v>45</v>
      </c>
      <c r="B190" s="78" t="s">
        <v>24</v>
      </c>
      <c r="C190" s="80">
        <v>35000.0</v>
      </c>
      <c r="D190" s="78" t="s">
        <v>35</v>
      </c>
      <c r="E190" s="78" t="s">
        <v>601</v>
      </c>
      <c r="F190" s="83">
        <v>1.0</v>
      </c>
      <c r="G190" s="80">
        <f t="shared" si="7"/>
        <v>35000</v>
      </c>
    </row>
    <row r="191">
      <c r="A191" s="78" t="s">
        <v>46</v>
      </c>
      <c r="B191" s="78" t="s">
        <v>24</v>
      </c>
      <c r="C191" s="80">
        <v>15000.0</v>
      </c>
      <c r="D191" s="78" t="s">
        <v>35</v>
      </c>
      <c r="E191" s="78" t="s">
        <v>601</v>
      </c>
      <c r="F191" s="83">
        <v>0.623</v>
      </c>
      <c r="G191" s="80">
        <f t="shared" si="7"/>
        <v>24077.04655</v>
      </c>
    </row>
    <row r="192">
      <c r="A192" s="78" t="s">
        <v>50</v>
      </c>
      <c r="B192" s="78" t="s">
        <v>24</v>
      </c>
      <c r="C192" s="80">
        <v>15000.0</v>
      </c>
      <c r="D192" s="78" t="s">
        <v>35</v>
      </c>
      <c r="E192" s="78" t="s">
        <v>601</v>
      </c>
      <c r="F192" s="83">
        <v>0.623</v>
      </c>
      <c r="G192" s="80">
        <f t="shared" si="7"/>
        <v>24077.04655</v>
      </c>
    </row>
    <row r="193">
      <c r="A193" s="78" t="s">
        <v>52</v>
      </c>
      <c r="B193" s="78" t="s">
        <v>24</v>
      </c>
      <c r="C193" s="80">
        <v>15000.0</v>
      </c>
      <c r="D193" s="78" t="s">
        <v>35</v>
      </c>
      <c r="E193" s="78" t="s">
        <v>601</v>
      </c>
      <c r="F193" s="83">
        <v>0.623</v>
      </c>
      <c r="G193" s="80">
        <f t="shared" si="7"/>
        <v>24077.04655</v>
      </c>
    </row>
    <row r="194">
      <c r="A194" s="94" t="s">
        <v>57</v>
      </c>
      <c r="B194" s="96"/>
      <c r="C194" s="95"/>
      <c r="D194" s="96"/>
      <c r="E194" s="96"/>
      <c r="F194" s="97"/>
      <c r="G194" s="80"/>
    </row>
    <row r="195">
      <c r="A195" s="78" t="s">
        <v>58</v>
      </c>
      <c r="B195" s="78" t="s">
        <v>59</v>
      </c>
      <c r="C195" s="80">
        <v>6666.0</v>
      </c>
      <c r="D195" s="78" t="s">
        <v>35</v>
      </c>
      <c r="E195" s="78" t="s">
        <v>172</v>
      </c>
      <c r="F195" s="83">
        <v>2.0</v>
      </c>
      <c r="G195" s="80">
        <f t="shared" ref="G195:G205" si="8">C195/F195</f>
        <v>3333</v>
      </c>
    </row>
    <row r="196">
      <c r="A196" s="78" t="s">
        <v>61</v>
      </c>
      <c r="B196" s="78" t="s">
        <v>59</v>
      </c>
      <c r="C196" s="80">
        <v>1500.0</v>
      </c>
      <c r="D196" s="78" t="s">
        <v>35</v>
      </c>
      <c r="E196" s="78" t="s">
        <v>172</v>
      </c>
      <c r="F196" s="83">
        <v>0.1</v>
      </c>
      <c r="G196" s="80">
        <f t="shared" si="8"/>
        <v>15000</v>
      </c>
    </row>
    <row r="197">
      <c r="A197" s="78" t="s">
        <v>62</v>
      </c>
      <c r="B197" s="78" t="s">
        <v>59</v>
      </c>
      <c r="C197" s="80">
        <v>100000.0</v>
      </c>
      <c r="D197" s="78" t="s">
        <v>35</v>
      </c>
      <c r="E197" s="78" t="s">
        <v>63</v>
      </c>
      <c r="F197" s="83">
        <v>10.0</v>
      </c>
      <c r="G197" s="80">
        <f t="shared" si="8"/>
        <v>10000</v>
      </c>
    </row>
    <row r="198">
      <c r="A198" s="78" t="s">
        <v>64</v>
      </c>
      <c r="B198" s="78" t="s">
        <v>59</v>
      </c>
      <c r="C198" s="80">
        <v>4000.0</v>
      </c>
      <c r="D198" s="78" t="s">
        <v>35</v>
      </c>
      <c r="E198" s="78" t="s">
        <v>63</v>
      </c>
      <c r="F198" s="83">
        <v>0.4</v>
      </c>
      <c r="G198" s="80">
        <f t="shared" si="8"/>
        <v>10000</v>
      </c>
    </row>
    <row r="199">
      <c r="A199" s="94" t="s">
        <v>65</v>
      </c>
      <c r="B199" s="96"/>
      <c r="C199" s="95"/>
      <c r="D199" s="96"/>
      <c r="E199" s="96"/>
      <c r="F199" s="97"/>
      <c r="G199" s="80" t="str">
        <f t="shared" si="8"/>
        <v>#DIV/0!</v>
      </c>
    </row>
    <row r="200">
      <c r="A200" s="78" t="s">
        <v>66</v>
      </c>
      <c r="B200" s="78" t="s">
        <v>56</v>
      </c>
      <c r="C200" s="80">
        <v>145000.0</v>
      </c>
      <c r="D200" s="78" t="s">
        <v>35</v>
      </c>
      <c r="E200" s="78" t="s">
        <v>63</v>
      </c>
      <c r="F200" s="83">
        <v>18.4</v>
      </c>
      <c r="G200" s="80">
        <f t="shared" si="8"/>
        <v>7880.434783</v>
      </c>
    </row>
    <row r="201">
      <c r="A201" s="78" t="s">
        <v>68</v>
      </c>
      <c r="B201" s="78" t="s">
        <v>35</v>
      </c>
      <c r="C201" s="80">
        <v>95000.0</v>
      </c>
      <c r="D201" s="78" t="s">
        <v>35</v>
      </c>
      <c r="E201" s="78" t="s">
        <v>63</v>
      </c>
      <c r="F201" s="83">
        <v>10.0</v>
      </c>
      <c r="G201" s="80">
        <f t="shared" si="8"/>
        <v>9500</v>
      </c>
    </row>
    <row r="202">
      <c r="A202" s="78" t="s">
        <v>70</v>
      </c>
      <c r="B202" s="78" t="s">
        <v>35</v>
      </c>
      <c r="C202" s="80">
        <v>95000.0</v>
      </c>
      <c r="D202" s="78" t="s">
        <v>35</v>
      </c>
      <c r="E202" s="78" t="s">
        <v>63</v>
      </c>
      <c r="F202" s="83">
        <v>10.0</v>
      </c>
      <c r="G202" s="80">
        <f t="shared" si="8"/>
        <v>9500</v>
      </c>
    </row>
    <row r="203">
      <c r="A203" s="78" t="s">
        <v>76</v>
      </c>
      <c r="B203" s="78" t="s">
        <v>40</v>
      </c>
      <c r="C203" s="80">
        <v>17000.0</v>
      </c>
      <c r="D203" s="78" t="s">
        <v>35</v>
      </c>
      <c r="E203" s="78" t="s">
        <v>602</v>
      </c>
      <c r="F203" s="83">
        <v>1.0</v>
      </c>
      <c r="G203" s="80">
        <f t="shared" si="8"/>
        <v>17000</v>
      </c>
    </row>
    <row r="204">
      <c r="A204" s="78" t="s">
        <v>80</v>
      </c>
      <c r="B204" s="78" t="s">
        <v>56</v>
      </c>
      <c r="C204" s="92"/>
      <c r="D204" s="78" t="s">
        <v>35</v>
      </c>
      <c r="E204" s="78" t="s">
        <v>603</v>
      </c>
      <c r="F204" s="83">
        <v>5.0</v>
      </c>
      <c r="G204" s="80">
        <f t="shared" si="8"/>
        <v>0</v>
      </c>
    </row>
    <row r="205">
      <c r="A205" s="78" t="s">
        <v>82</v>
      </c>
      <c r="B205" s="78" t="s">
        <v>83</v>
      </c>
      <c r="C205" s="80">
        <v>75000.0</v>
      </c>
      <c r="D205" s="78" t="s">
        <v>35</v>
      </c>
      <c r="E205" s="78" t="s">
        <v>601</v>
      </c>
      <c r="F205" s="83">
        <v>0.38</v>
      </c>
      <c r="G205" s="80">
        <f t="shared" si="8"/>
        <v>197368.4211</v>
      </c>
    </row>
    <row r="206">
      <c r="A206" s="94" t="s">
        <v>85</v>
      </c>
      <c r="B206" s="96"/>
      <c r="C206" s="95"/>
      <c r="D206" s="96"/>
      <c r="E206" s="96"/>
      <c r="F206" s="97"/>
      <c r="G206" s="80"/>
    </row>
    <row r="207">
      <c r="A207" s="78" t="s">
        <v>86</v>
      </c>
      <c r="B207" s="78" t="s">
        <v>83</v>
      </c>
      <c r="C207" s="80">
        <v>8000.0</v>
      </c>
      <c r="D207" s="78" t="s">
        <v>35</v>
      </c>
      <c r="E207" s="78" t="s">
        <v>604</v>
      </c>
      <c r="F207" s="83">
        <v>0.5</v>
      </c>
      <c r="G207" s="80">
        <f t="shared" ref="G207:G215" si="9">C207/F207</f>
        <v>16000</v>
      </c>
    </row>
    <row r="208">
      <c r="A208" s="78" t="s">
        <v>87</v>
      </c>
      <c r="B208" s="78" t="s">
        <v>83</v>
      </c>
      <c r="C208" s="80">
        <v>8000.0</v>
      </c>
      <c r="D208" s="78" t="s">
        <v>35</v>
      </c>
      <c r="E208" s="78" t="s">
        <v>604</v>
      </c>
      <c r="F208" s="83">
        <v>0.5</v>
      </c>
      <c r="G208" s="80">
        <f t="shared" si="9"/>
        <v>16000</v>
      </c>
    </row>
    <row r="209">
      <c r="A209" s="78" t="s">
        <v>88</v>
      </c>
      <c r="B209" s="78" t="s">
        <v>83</v>
      </c>
      <c r="C209" s="80">
        <v>15000.0</v>
      </c>
      <c r="D209" s="78" t="s">
        <v>35</v>
      </c>
      <c r="E209" s="78" t="s">
        <v>604</v>
      </c>
      <c r="F209" s="83">
        <v>0.81</v>
      </c>
      <c r="G209" s="80">
        <f t="shared" si="9"/>
        <v>18518.51852</v>
      </c>
    </row>
    <row r="210">
      <c r="A210" s="78" t="s">
        <v>89</v>
      </c>
      <c r="B210" s="78" t="s">
        <v>83</v>
      </c>
      <c r="C210" s="80">
        <v>20000.0</v>
      </c>
      <c r="D210" s="78" t="s">
        <v>35</v>
      </c>
      <c r="E210" s="78" t="s">
        <v>604</v>
      </c>
      <c r="F210" s="83">
        <v>0.51</v>
      </c>
      <c r="G210" s="80">
        <f t="shared" si="9"/>
        <v>39215.68627</v>
      </c>
    </row>
    <row r="211">
      <c r="A211" s="78" t="s">
        <v>92</v>
      </c>
      <c r="B211" s="78" t="s">
        <v>83</v>
      </c>
      <c r="C211" s="80">
        <v>23000.0</v>
      </c>
      <c r="D211" s="78" t="s">
        <v>35</v>
      </c>
      <c r="E211" s="78" t="s">
        <v>604</v>
      </c>
      <c r="F211" s="83">
        <v>0.75</v>
      </c>
      <c r="G211" s="80">
        <f t="shared" si="9"/>
        <v>30666.66667</v>
      </c>
    </row>
    <row r="212">
      <c r="A212" s="78" t="s">
        <v>90</v>
      </c>
      <c r="B212" s="78" t="s">
        <v>24</v>
      </c>
      <c r="C212" s="80">
        <v>15000.0</v>
      </c>
      <c r="D212" s="78" t="s">
        <v>35</v>
      </c>
      <c r="E212" s="78" t="s">
        <v>604</v>
      </c>
      <c r="F212" s="83">
        <v>0.295</v>
      </c>
      <c r="G212" s="80">
        <f t="shared" si="9"/>
        <v>50847.45763</v>
      </c>
    </row>
    <row r="213">
      <c r="A213" s="78" t="s">
        <v>91</v>
      </c>
      <c r="B213" s="78" t="s">
        <v>56</v>
      </c>
      <c r="C213" s="80">
        <v>20000.0</v>
      </c>
      <c r="D213" s="78" t="s">
        <v>35</v>
      </c>
      <c r="E213" s="78" t="s">
        <v>604</v>
      </c>
      <c r="F213" s="83">
        <v>5.0</v>
      </c>
      <c r="G213" s="80">
        <f t="shared" si="9"/>
        <v>4000</v>
      </c>
    </row>
    <row r="214">
      <c r="A214" s="78" t="s">
        <v>93</v>
      </c>
      <c r="B214" s="78" t="s">
        <v>83</v>
      </c>
      <c r="C214" s="80">
        <v>38000.0</v>
      </c>
      <c r="D214" s="78" t="s">
        <v>35</v>
      </c>
      <c r="E214" s="78" t="s">
        <v>604</v>
      </c>
      <c r="F214" s="83">
        <v>0.75</v>
      </c>
      <c r="G214" s="80">
        <f t="shared" si="9"/>
        <v>50666.66667</v>
      </c>
    </row>
    <row r="215">
      <c r="A215" s="78" t="s">
        <v>95</v>
      </c>
      <c r="B215" s="78" t="s">
        <v>83</v>
      </c>
      <c r="C215" s="80">
        <v>38000.0</v>
      </c>
      <c r="D215" s="78" t="s">
        <v>35</v>
      </c>
      <c r="E215" s="78" t="s">
        <v>604</v>
      </c>
      <c r="F215" s="83">
        <v>0.75</v>
      </c>
      <c r="G215" s="80">
        <f t="shared" si="9"/>
        <v>50666.66667</v>
      </c>
    </row>
    <row r="216">
      <c r="A216" s="94" t="s">
        <v>96</v>
      </c>
      <c r="B216" s="96"/>
      <c r="C216" s="95"/>
      <c r="D216" s="96"/>
      <c r="E216" s="96"/>
      <c r="F216" s="97"/>
      <c r="G216" s="80"/>
    </row>
    <row r="217">
      <c r="A217" s="78" t="s">
        <v>97</v>
      </c>
      <c r="B217" s="78" t="s">
        <v>40</v>
      </c>
      <c r="C217" s="80">
        <v>20000.0</v>
      </c>
      <c r="D217" s="78" t="s">
        <v>35</v>
      </c>
      <c r="E217" s="78" t="s">
        <v>172</v>
      </c>
      <c r="F217" s="83">
        <v>0.5</v>
      </c>
      <c r="G217" s="80">
        <f t="shared" ref="G217:G248" si="10">C217/F217</f>
        <v>40000</v>
      </c>
    </row>
    <row r="218">
      <c r="A218" s="78" t="s">
        <v>99</v>
      </c>
      <c r="B218" s="78" t="s">
        <v>40</v>
      </c>
      <c r="C218" s="80">
        <v>23000.0</v>
      </c>
      <c r="D218" s="78" t="s">
        <v>35</v>
      </c>
      <c r="E218" s="78" t="s">
        <v>172</v>
      </c>
      <c r="F218" s="83">
        <v>0.5</v>
      </c>
      <c r="G218" s="80">
        <f t="shared" si="10"/>
        <v>46000</v>
      </c>
    </row>
    <row r="219">
      <c r="A219" s="78" t="s">
        <v>324</v>
      </c>
      <c r="B219" s="78" t="s">
        <v>40</v>
      </c>
      <c r="C219" s="80">
        <v>40000.0</v>
      </c>
      <c r="D219" s="78" t="s">
        <v>35</v>
      </c>
      <c r="E219" s="78" t="s">
        <v>172</v>
      </c>
      <c r="F219" s="83">
        <v>0.25</v>
      </c>
      <c r="G219" s="80">
        <f t="shared" si="10"/>
        <v>160000</v>
      </c>
    </row>
    <row r="220">
      <c r="A220" s="78" t="s">
        <v>101</v>
      </c>
      <c r="B220" s="78" t="s">
        <v>40</v>
      </c>
      <c r="C220" s="80">
        <v>40000.0</v>
      </c>
      <c r="D220" s="78" t="s">
        <v>35</v>
      </c>
      <c r="E220" s="78" t="s">
        <v>172</v>
      </c>
      <c r="F220" s="83">
        <v>0.5</v>
      </c>
      <c r="G220" s="80">
        <f t="shared" si="10"/>
        <v>80000</v>
      </c>
    </row>
    <row r="221">
      <c r="A221" s="78" t="s">
        <v>605</v>
      </c>
      <c r="B221" s="78" t="s">
        <v>40</v>
      </c>
      <c r="C221" s="80">
        <v>40000.0</v>
      </c>
      <c r="D221" s="78" t="s">
        <v>35</v>
      </c>
      <c r="E221" s="78" t="s">
        <v>172</v>
      </c>
      <c r="F221" s="83">
        <v>0.5</v>
      </c>
      <c r="G221" s="80">
        <f t="shared" si="10"/>
        <v>80000</v>
      </c>
    </row>
    <row r="222">
      <c r="A222" s="78" t="s">
        <v>105</v>
      </c>
      <c r="B222" s="78" t="s">
        <v>106</v>
      </c>
      <c r="C222" s="80">
        <v>18000.0</v>
      </c>
      <c r="D222" s="78" t="s">
        <v>35</v>
      </c>
      <c r="E222" s="78" t="s">
        <v>36</v>
      </c>
      <c r="F222" s="83">
        <v>0.5</v>
      </c>
      <c r="G222" s="80">
        <f t="shared" si="10"/>
        <v>36000</v>
      </c>
    </row>
    <row r="223">
      <c r="A223" s="78" t="s">
        <v>109</v>
      </c>
      <c r="B223" s="78" t="s">
        <v>40</v>
      </c>
      <c r="C223" s="80">
        <v>25000.0</v>
      </c>
      <c r="D223" s="78" t="s">
        <v>35</v>
      </c>
      <c r="E223" s="78" t="s">
        <v>172</v>
      </c>
      <c r="F223" s="83">
        <v>0.5</v>
      </c>
      <c r="G223" s="80">
        <f t="shared" si="10"/>
        <v>50000</v>
      </c>
    </row>
    <row r="224">
      <c r="A224" s="81" t="s">
        <v>110</v>
      </c>
      <c r="B224" s="78" t="s">
        <v>40</v>
      </c>
      <c r="C224" s="80">
        <v>47500.0</v>
      </c>
      <c r="D224" s="78" t="s">
        <v>35</v>
      </c>
      <c r="E224" s="78" t="s">
        <v>172</v>
      </c>
      <c r="F224" s="83">
        <v>0.5</v>
      </c>
      <c r="G224" s="80">
        <f t="shared" si="10"/>
        <v>95000</v>
      </c>
    </row>
    <row r="225">
      <c r="A225" s="78" t="s">
        <v>111</v>
      </c>
      <c r="B225" s="78" t="s">
        <v>40</v>
      </c>
      <c r="C225" s="80">
        <v>25000.0</v>
      </c>
      <c r="D225" s="78" t="s">
        <v>35</v>
      </c>
      <c r="E225" s="78" t="s">
        <v>172</v>
      </c>
      <c r="F225" s="83">
        <v>0.5</v>
      </c>
      <c r="G225" s="80">
        <f t="shared" si="10"/>
        <v>50000</v>
      </c>
    </row>
    <row r="226">
      <c r="A226" s="78" t="s">
        <v>112</v>
      </c>
      <c r="B226" s="78" t="s">
        <v>40</v>
      </c>
      <c r="C226" s="80">
        <v>15000.0</v>
      </c>
      <c r="D226" s="78" t="s">
        <v>35</v>
      </c>
      <c r="E226" s="78" t="s">
        <v>172</v>
      </c>
      <c r="F226" s="83">
        <v>0.5</v>
      </c>
      <c r="G226" s="80">
        <f t="shared" si="10"/>
        <v>30000</v>
      </c>
    </row>
    <row r="227">
      <c r="A227" s="78" t="s">
        <v>114</v>
      </c>
      <c r="B227" s="81" t="s">
        <v>606</v>
      </c>
      <c r="C227" s="102">
        <v>3000.0</v>
      </c>
      <c r="D227" s="81" t="s">
        <v>607</v>
      </c>
      <c r="E227" s="78" t="s">
        <v>172</v>
      </c>
      <c r="F227" s="90">
        <v>1.0</v>
      </c>
      <c r="G227" s="80">
        <f t="shared" si="10"/>
        <v>3000</v>
      </c>
    </row>
    <row r="228">
      <c r="A228" s="78" t="s">
        <v>116</v>
      </c>
      <c r="B228" s="78" t="s">
        <v>40</v>
      </c>
      <c r="C228" s="80">
        <v>15000.0</v>
      </c>
      <c r="D228" s="78" t="s">
        <v>35</v>
      </c>
      <c r="E228" s="78" t="s">
        <v>172</v>
      </c>
      <c r="F228" s="83">
        <v>0.5</v>
      </c>
      <c r="G228" s="80">
        <f t="shared" si="10"/>
        <v>30000</v>
      </c>
    </row>
    <row r="229">
      <c r="A229" s="78" t="s">
        <v>117</v>
      </c>
      <c r="B229" s="78" t="s">
        <v>40</v>
      </c>
      <c r="C229" s="80">
        <v>20000.0</v>
      </c>
      <c r="D229" s="78" t="s">
        <v>35</v>
      </c>
      <c r="E229" s="78" t="s">
        <v>172</v>
      </c>
      <c r="F229" s="83">
        <v>0.5</v>
      </c>
      <c r="G229" s="80">
        <f t="shared" si="10"/>
        <v>40000</v>
      </c>
    </row>
    <row r="230">
      <c r="A230" s="78" t="s">
        <v>119</v>
      </c>
      <c r="B230" s="78" t="s">
        <v>40</v>
      </c>
      <c r="C230" s="80">
        <v>30000.0</v>
      </c>
      <c r="D230" s="78" t="s">
        <v>35</v>
      </c>
      <c r="E230" s="78" t="s">
        <v>172</v>
      </c>
      <c r="F230" s="83">
        <v>0.5</v>
      </c>
      <c r="G230" s="80">
        <f t="shared" si="10"/>
        <v>60000</v>
      </c>
    </row>
    <row r="231">
      <c r="A231" s="78" t="s">
        <v>118</v>
      </c>
      <c r="B231" s="78" t="s">
        <v>40</v>
      </c>
      <c r="C231" s="80">
        <v>23000.0</v>
      </c>
      <c r="D231" s="78" t="s">
        <v>35</v>
      </c>
      <c r="E231" s="78" t="s">
        <v>172</v>
      </c>
      <c r="F231" s="83">
        <v>0.5</v>
      </c>
      <c r="G231" s="80">
        <f t="shared" si="10"/>
        <v>46000</v>
      </c>
    </row>
    <row r="232">
      <c r="A232" s="78" t="s">
        <v>120</v>
      </c>
      <c r="B232" s="78" t="s">
        <v>40</v>
      </c>
      <c r="C232" s="80">
        <v>23000.0</v>
      </c>
      <c r="D232" s="78" t="s">
        <v>35</v>
      </c>
      <c r="E232" s="78" t="s">
        <v>172</v>
      </c>
      <c r="F232" s="83">
        <v>0.5</v>
      </c>
      <c r="G232" s="80">
        <f t="shared" si="10"/>
        <v>46000</v>
      </c>
    </row>
    <row r="233">
      <c r="A233" s="78" t="s">
        <v>122</v>
      </c>
      <c r="B233" s="78" t="s">
        <v>40</v>
      </c>
      <c r="C233" s="80">
        <v>20000.0</v>
      </c>
      <c r="D233" s="78" t="s">
        <v>35</v>
      </c>
      <c r="E233" s="78" t="s">
        <v>172</v>
      </c>
      <c r="F233" s="83">
        <v>0.5</v>
      </c>
      <c r="G233" s="80">
        <f t="shared" si="10"/>
        <v>40000</v>
      </c>
    </row>
    <row r="234">
      <c r="A234" s="78" t="s">
        <v>123</v>
      </c>
      <c r="B234" s="78" t="s">
        <v>40</v>
      </c>
      <c r="C234" s="80">
        <v>20000.0</v>
      </c>
      <c r="D234" s="78" t="s">
        <v>35</v>
      </c>
      <c r="E234" s="78" t="s">
        <v>172</v>
      </c>
      <c r="F234" s="83">
        <v>0.5</v>
      </c>
      <c r="G234" s="80">
        <f t="shared" si="10"/>
        <v>40000</v>
      </c>
    </row>
    <row r="235">
      <c r="A235" s="78" t="s">
        <v>608</v>
      </c>
      <c r="B235" s="78" t="s">
        <v>40</v>
      </c>
      <c r="C235" s="80">
        <v>20000.0</v>
      </c>
      <c r="D235" s="78" t="s">
        <v>35</v>
      </c>
      <c r="E235" s="78" t="s">
        <v>172</v>
      </c>
      <c r="F235" s="83">
        <v>0.5</v>
      </c>
      <c r="G235" s="80">
        <f t="shared" si="10"/>
        <v>40000</v>
      </c>
    </row>
    <row r="236">
      <c r="A236" s="78" t="s">
        <v>125</v>
      </c>
      <c r="B236" s="78" t="s">
        <v>40</v>
      </c>
      <c r="C236" s="92"/>
      <c r="D236" s="78" t="s">
        <v>35</v>
      </c>
      <c r="E236" s="78" t="s">
        <v>172</v>
      </c>
      <c r="F236" s="83">
        <v>0.5</v>
      </c>
      <c r="G236" s="80">
        <f t="shared" si="10"/>
        <v>0</v>
      </c>
    </row>
    <row r="237">
      <c r="A237" s="78" t="s">
        <v>126</v>
      </c>
      <c r="B237" s="78" t="s">
        <v>40</v>
      </c>
      <c r="C237" s="80">
        <v>35000.0</v>
      </c>
      <c r="D237" s="78" t="s">
        <v>35</v>
      </c>
      <c r="E237" s="78" t="s">
        <v>172</v>
      </c>
      <c r="F237" s="83">
        <v>0.5</v>
      </c>
      <c r="G237" s="80">
        <f t="shared" si="10"/>
        <v>70000</v>
      </c>
    </row>
    <row r="238">
      <c r="A238" s="78" t="s">
        <v>127</v>
      </c>
      <c r="B238" s="78" t="s">
        <v>40</v>
      </c>
      <c r="C238" s="80">
        <v>7000.0</v>
      </c>
      <c r="D238" s="78" t="s">
        <v>35</v>
      </c>
      <c r="E238" s="78" t="s">
        <v>172</v>
      </c>
      <c r="F238" s="83">
        <v>0.5</v>
      </c>
      <c r="G238" s="80">
        <f t="shared" si="10"/>
        <v>14000</v>
      </c>
    </row>
    <row r="239">
      <c r="A239" s="78" t="s">
        <v>128</v>
      </c>
      <c r="B239" s="78" t="s">
        <v>40</v>
      </c>
      <c r="C239" s="80">
        <v>7200.0</v>
      </c>
      <c r="D239" s="78" t="s">
        <v>35</v>
      </c>
      <c r="E239" s="78" t="s">
        <v>172</v>
      </c>
      <c r="F239" s="83">
        <v>0.05</v>
      </c>
      <c r="G239" s="80">
        <f t="shared" si="10"/>
        <v>144000</v>
      </c>
    </row>
    <row r="240">
      <c r="A240" s="78" t="s">
        <v>130</v>
      </c>
      <c r="B240" s="78" t="s">
        <v>40</v>
      </c>
      <c r="C240" s="80">
        <v>28000.0</v>
      </c>
      <c r="D240" s="78" t="s">
        <v>35</v>
      </c>
      <c r="E240" s="78" t="s">
        <v>172</v>
      </c>
      <c r="F240" s="83">
        <v>0.5</v>
      </c>
      <c r="G240" s="80">
        <f t="shared" si="10"/>
        <v>56000</v>
      </c>
    </row>
    <row r="241">
      <c r="A241" s="78" t="s">
        <v>131</v>
      </c>
      <c r="B241" s="78" t="s">
        <v>40</v>
      </c>
      <c r="C241" s="80">
        <v>40000.0</v>
      </c>
      <c r="D241" s="78" t="s">
        <v>35</v>
      </c>
      <c r="E241" s="78" t="s">
        <v>172</v>
      </c>
      <c r="F241" s="83">
        <v>0.5</v>
      </c>
      <c r="G241" s="80">
        <f t="shared" si="10"/>
        <v>80000</v>
      </c>
    </row>
    <row r="242">
      <c r="A242" s="78" t="s">
        <v>132</v>
      </c>
      <c r="B242" s="78" t="s">
        <v>40</v>
      </c>
      <c r="C242" s="80">
        <v>20000.0</v>
      </c>
      <c r="D242" s="78" t="s">
        <v>35</v>
      </c>
      <c r="E242" s="78" t="s">
        <v>172</v>
      </c>
      <c r="F242" s="83">
        <v>0.5</v>
      </c>
      <c r="G242" s="80">
        <f t="shared" si="10"/>
        <v>40000</v>
      </c>
    </row>
    <row r="243">
      <c r="A243" s="78" t="s">
        <v>133</v>
      </c>
      <c r="B243" s="78" t="s">
        <v>40</v>
      </c>
      <c r="C243" s="80">
        <v>6400.0</v>
      </c>
      <c r="D243" s="78" t="s">
        <v>35</v>
      </c>
      <c r="E243" s="78" t="s">
        <v>172</v>
      </c>
      <c r="F243" s="83">
        <v>0.1</v>
      </c>
      <c r="G243" s="80">
        <f t="shared" si="10"/>
        <v>64000</v>
      </c>
    </row>
    <row r="244">
      <c r="A244" s="78" t="s">
        <v>134</v>
      </c>
      <c r="B244" s="78" t="s">
        <v>40</v>
      </c>
      <c r="C244" s="80">
        <v>20000.0</v>
      </c>
      <c r="D244" s="78" t="s">
        <v>35</v>
      </c>
      <c r="E244" s="78" t="s">
        <v>172</v>
      </c>
      <c r="F244" s="83">
        <v>0.5</v>
      </c>
      <c r="G244" s="80">
        <f t="shared" si="10"/>
        <v>40000</v>
      </c>
    </row>
    <row r="245">
      <c r="A245" s="78" t="s">
        <v>135</v>
      </c>
      <c r="B245" s="78" t="s">
        <v>136</v>
      </c>
      <c r="C245" s="80">
        <v>5000.0</v>
      </c>
      <c r="D245" s="78" t="s">
        <v>35</v>
      </c>
      <c r="E245" s="78" t="s">
        <v>36</v>
      </c>
      <c r="F245" s="83">
        <v>0.1</v>
      </c>
      <c r="G245" s="80">
        <f t="shared" si="10"/>
        <v>50000</v>
      </c>
    </row>
    <row r="246">
      <c r="A246" s="78" t="s">
        <v>512</v>
      </c>
      <c r="B246" s="78" t="s">
        <v>40</v>
      </c>
      <c r="C246" s="80">
        <v>74000.0</v>
      </c>
      <c r="D246" s="78" t="s">
        <v>35</v>
      </c>
      <c r="E246" s="78" t="s">
        <v>172</v>
      </c>
      <c r="F246" s="83">
        <v>0.5</v>
      </c>
      <c r="G246" s="80">
        <f t="shared" si="10"/>
        <v>148000</v>
      </c>
    </row>
    <row r="247">
      <c r="A247" s="78" t="s">
        <v>138</v>
      </c>
      <c r="B247" s="78" t="s">
        <v>139</v>
      </c>
      <c r="C247" s="85">
        <v>500.0</v>
      </c>
      <c r="D247" s="78" t="s">
        <v>35</v>
      </c>
      <c r="E247" s="78" t="s">
        <v>140</v>
      </c>
      <c r="F247" s="90">
        <v>1.0</v>
      </c>
      <c r="G247" s="80">
        <f t="shared" si="10"/>
        <v>500</v>
      </c>
    </row>
    <row r="248">
      <c r="A248" s="81" t="s">
        <v>141</v>
      </c>
      <c r="B248" s="81" t="s">
        <v>40</v>
      </c>
      <c r="C248" s="85">
        <v>5500.0</v>
      </c>
      <c r="D248" s="81" t="s">
        <v>35</v>
      </c>
      <c r="E248" s="81" t="s">
        <v>142</v>
      </c>
      <c r="F248" s="83">
        <v>0.048</v>
      </c>
      <c r="G248" s="80">
        <f t="shared" si="10"/>
        <v>114583.3333</v>
      </c>
    </row>
    <row r="249">
      <c r="A249" s="94" t="s">
        <v>146</v>
      </c>
      <c r="B249" s="96"/>
      <c r="C249" s="95"/>
      <c r="D249" s="96"/>
      <c r="E249" s="96"/>
      <c r="F249" s="97"/>
      <c r="G249" s="80"/>
    </row>
    <row r="250">
      <c r="A250" s="78" t="s">
        <v>149</v>
      </c>
      <c r="B250" s="78" t="s">
        <v>40</v>
      </c>
      <c r="C250" s="80">
        <v>4500.0</v>
      </c>
      <c r="D250" s="78" t="s">
        <v>35</v>
      </c>
      <c r="E250" s="78" t="s">
        <v>172</v>
      </c>
      <c r="F250" s="83">
        <v>0.5</v>
      </c>
      <c r="G250" s="80">
        <f t="shared" ref="G250:G251" si="11">C250/F250</f>
        <v>9000</v>
      </c>
    </row>
    <row r="251">
      <c r="A251" s="78" t="s">
        <v>150</v>
      </c>
      <c r="B251" s="78" t="s">
        <v>24</v>
      </c>
      <c r="C251" s="80">
        <v>19000.0</v>
      </c>
      <c r="D251" s="78" t="s">
        <v>35</v>
      </c>
      <c r="E251" s="78" t="s">
        <v>609</v>
      </c>
      <c r="F251" s="83">
        <v>0.51</v>
      </c>
      <c r="G251" s="80">
        <f t="shared" si="11"/>
        <v>37254.90196</v>
      </c>
    </row>
    <row r="252">
      <c r="A252" s="94" t="s">
        <v>151</v>
      </c>
      <c r="B252" s="96"/>
      <c r="C252" s="95"/>
      <c r="D252" s="96"/>
      <c r="E252" s="96"/>
      <c r="F252" s="97"/>
      <c r="G252" s="80"/>
    </row>
    <row r="253">
      <c r="A253" s="78" t="s">
        <v>159</v>
      </c>
      <c r="B253" s="78" t="s">
        <v>34</v>
      </c>
      <c r="C253" s="80">
        <v>28000.0</v>
      </c>
      <c r="D253" s="78" t="s">
        <v>35</v>
      </c>
      <c r="E253" s="78" t="s">
        <v>36</v>
      </c>
      <c r="F253" s="83">
        <v>0.454</v>
      </c>
      <c r="G253" s="80">
        <f t="shared" ref="G253:G263" si="12">C253/F253</f>
        <v>61674.00881</v>
      </c>
    </row>
    <row r="254">
      <c r="A254" s="78" t="s">
        <v>162</v>
      </c>
      <c r="B254" s="78" t="s">
        <v>34</v>
      </c>
      <c r="C254" s="80">
        <v>8000.0</v>
      </c>
      <c r="D254" s="78" t="s">
        <v>35</v>
      </c>
      <c r="E254" s="78" t="s">
        <v>36</v>
      </c>
      <c r="F254" s="83">
        <v>0.5</v>
      </c>
      <c r="G254" s="80">
        <f t="shared" si="12"/>
        <v>16000</v>
      </c>
    </row>
    <row r="255">
      <c r="A255" s="78" t="s">
        <v>163</v>
      </c>
      <c r="B255" s="78" t="s">
        <v>34</v>
      </c>
      <c r="C255" s="80">
        <v>13000.0</v>
      </c>
      <c r="D255" s="78" t="s">
        <v>35</v>
      </c>
      <c r="E255" s="78" t="s">
        <v>36</v>
      </c>
      <c r="F255" s="83">
        <v>0.37</v>
      </c>
      <c r="G255" s="80">
        <f t="shared" si="12"/>
        <v>35135.13514</v>
      </c>
    </row>
    <row r="256">
      <c r="A256" s="78" t="s">
        <v>164</v>
      </c>
      <c r="B256" s="78" t="s">
        <v>155</v>
      </c>
      <c r="C256" s="80">
        <v>11000.0</v>
      </c>
      <c r="D256" s="78" t="s">
        <v>35</v>
      </c>
      <c r="E256" s="78" t="s">
        <v>610</v>
      </c>
      <c r="F256" s="83">
        <v>0.5</v>
      </c>
      <c r="G256" s="80">
        <f t="shared" si="12"/>
        <v>22000</v>
      </c>
    </row>
    <row r="257">
      <c r="A257" s="78" t="s">
        <v>165</v>
      </c>
      <c r="B257" s="78" t="s">
        <v>155</v>
      </c>
      <c r="C257" s="80">
        <v>7000.0</v>
      </c>
      <c r="D257" s="78" t="s">
        <v>35</v>
      </c>
      <c r="E257" s="78" t="s">
        <v>610</v>
      </c>
      <c r="F257" s="83">
        <v>0.5</v>
      </c>
      <c r="G257" s="80">
        <f t="shared" si="12"/>
        <v>14000</v>
      </c>
    </row>
    <row r="258">
      <c r="A258" s="78" t="s">
        <v>166</v>
      </c>
      <c r="B258" s="78" t="s">
        <v>106</v>
      </c>
      <c r="C258" s="80">
        <v>120000.0</v>
      </c>
      <c r="D258" s="78" t="s">
        <v>35</v>
      </c>
      <c r="E258" s="78" t="s">
        <v>36</v>
      </c>
      <c r="F258" s="83">
        <v>3.78</v>
      </c>
      <c r="G258" s="80">
        <f t="shared" si="12"/>
        <v>31746.03175</v>
      </c>
    </row>
    <row r="259">
      <c r="A259" s="78" t="s">
        <v>611</v>
      </c>
      <c r="B259" s="78" t="s">
        <v>106</v>
      </c>
      <c r="C259" s="80">
        <v>28000.0</v>
      </c>
      <c r="D259" s="78" t="s">
        <v>35</v>
      </c>
      <c r="E259" s="78" t="s">
        <v>36</v>
      </c>
      <c r="F259" s="83">
        <v>0.887</v>
      </c>
      <c r="G259" s="80">
        <f t="shared" si="12"/>
        <v>31567.08005</v>
      </c>
    </row>
    <row r="260">
      <c r="A260" s="78" t="s">
        <v>168</v>
      </c>
      <c r="B260" s="78" t="s">
        <v>17</v>
      </c>
      <c r="C260" s="80">
        <v>20000.0</v>
      </c>
      <c r="D260" s="78" t="s">
        <v>35</v>
      </c>
      <c r="E260" s="78" t="s">
        <v>36</v>
      </c>
      <c r="F260" s="83">
        <v>1.0</v>
      </c>
      <c r="G260" s="80">
        <f t="shared" si="12"/>
        <v>20000</v>
      </c>
    </row>
    <row r="261">
      <c r="A261" s="78" t="s">
        <v>169</v>
      </c>
      <c r="B261" s="78" t="s">
        <v>106</v>
      </c>
      <c r="C261" s="80">
        <v>28000.0</v>
      </c>
      <c r="D261" s="78" t="s">
        <v>35</v>
      </c>
      <c r="E261" s="78" t="s">
        <v>36</v>
      </c>
      <c r="F261" s="83">
        <v>0.5</v>
      </c>
      <c r="G261" s="80">
        <f t="shared" si="12"/>
        <v>56000</v>
      </c>
    </row>
    <row r="262">
      <c r="A262" s="78" t="s">
        <v>170</v>
      </c>
      <c r="B262" s="78" t="s">
        <v>106</v>
      </c>
      <c r="C262" s="80">
        <v>28000.0</v>
      </c>
      <c r="D262" s="78" t="s">
        <v>35</v>
      </c>
      <c r="E262" s="78" t="s">
        <v>36</v>
      </c>
      <c r="F262" s="83">
        <v>0.5</v>
      </c>
      <c r="G262" s="80">
        <f t="shared" si="12"/>
        <v>56000</v>
      </c>
    </row>
    <row r="263">
      <c r="A263" s="78" t="s">
        <v>174</v>
      </c>
      <c r="B263" s="78" t="s">
        <v>106</v>
      </c>
      <c r="C263" s="80">
        <v>20000.0</v>
      </c>
      <c r="D263" s="78" t="s">
        <v>35</v>
      </c>
      <c r="E263" s="78" t="s">
        <v>36</v>
      </c>
      <c r="F263" s="83">
        <v>0.5</v>
      </c>
      <c r="G263" s="80">
        <f t="shared" si="12"/>
        <v>40000</v>
      </c>
    </row>
    <row r="264">
      <c r="A264" s="103"/>
      <c r="B264" s="103"/>
      <c r="C264" s="104"/>
      <c r="D264" s="103"/>
      <c r="E264" s="103"/>
      <c r="F264" s="105"/>
      <c r="G264" s="80"/>
    </row>
    <row r="265">
      <c r="A265" s="94" t="s">
        <v>175</v>
      </c>
      <c r="B265" s="96"/>
      <c r="C265" s="95"/>
      <c r="D265" s="96"/>
      <c r="E265" s="96"/>
      <c r="F265" s="97"/>
      <c r="G265" s="80"/>
    </row>
    <row r="266">
      <c r="A266" s="78" t="s">
        <v>176</v>
      </c>
      <c r="B266" s="78" t="s">
        <v>25</v>
      </c>
      <c r="C266" s="80">
        <v>2400.0</v>
      </c>
      <c r="D266" s="78" t="s">
        <v>51</v>
      </c>
      <c r="E266" s="78" t="s">
        <v>612</v>
      </c>
      <c r="F266" s="83">
        <v>1.0</v>
      </c>
      <c r="G266" s="80">
        <f t="shared" ref="G266:G270" si="13">C266/F266</f>
        <v>2400</v>
      </c>
    </row>
    <row r="267">
      <c r="A267" s="78" t="s">
        <v>178</v>
      </c>
      <c r="B267" s="78" t="s">
        <v>35</v>
      </c>
      <c r="C267" s="80">
        <v>22000.0</v>
      </c>
      <c r="D267" s="78" t="s">
        <v>35</v>
      </c>
      <c r="E267" s="78" t="s">
        <v>63</v>
      </c>
      <c r="F267" s="83">
        <v>1.0</v>
      </c>
      <c r="G267" s="80">
        <f t="shared" si="13"/>
        <v>22000</v>
      </c>
    </row>
    <row r="268">
      <c r="A268" s="78" t="s">
        <v>180</v>
      </c>
      <c r="B268" s="78" t="s">
        <v>35</v>
      </c>
      <c r="C268" s="80">
        <v>79000.0</v>
      </c>
      <c r="D268" s="78" t="s">
        <v>35</v>
      </c>
      <c r="E268" s="78" t="s">
        <v>63</v>
      </c>
      <c r="F268" s="83">
        <v>1.0</v>
      </c>
      <c r="G268" s="80">
        <f t="shared" si="13"/>
        <v>79000</v>
      </c>
    </row>
    <row r="269">
      <c r="A269" s="78" t="s">
        <v>181</v>
      </c>
      <c r="B269" s="78" t="s">
        <v>35</v>
      </c>
      <c r="C269" s="80">
        <v>23000.0</v>
      </c>
      <c r="D269" s="78" t="s">
        <v>35</v>
      </c>
      <c r="E269" s="78" t="s">
        <v>63</v>
      </c>
      <c r="F269" s="83">
        <v>1.0</v>
      </c>
      <c r="G269" s="80">
        <f t="shared" si="13"/>
        <v>23000</v>
      </c>
    </row>
    <row r="270">
      <c r="A270" s="78" t="s">
        <v>183</v>
      </c>
      <c r="B270" s="78" t="s">
        <v>106</v>
      </c>
      <c r="C270" s="80">
        <v>20000.0</v>
      </c>
      <c r="D270" s="78" t="s">
        <v>35</v>
      </c>
      <c r="E270" s="78" t="s">
        <v>36</v>
      </c>
      <c r="F270" s="83">
        <v>0.5</v>
      </c>
      <c r="G270" s="80">
        <f t="shared" si="13"/>
        <v>40000</v>
      </c>
    </row>
    <row r="271">
      <c r="A271" s="94" t="s">
        <v>184</v>
      </c>
      <c r="B271" s="96"/>
      <c r="C271" s="95"/>
      <c r="D271" s="96"/>
      <c r="E271" s="96"/>
      <c r="F271" s="97"/>
      <c r="G271" s="80"/>
    </row>
    <row r="272">
      <c r="A272" s="86" t="s">
        <v>188</v>
      </c>
      <c r="B272" s="86" t="s">
        <v>35</v>
      </c>
      <c r="C272" s="88">
        <v>3400.0</v>
      </c>
      <c r="D272" s="86" t="s">
        <v>35</v>
      </c>
      <c r="E272" s="86" t="s">
        <v>63</v>
      </c>
      <c r="F272" s="89">
        <v>1.0</v>
      </c>
      <c r="G272" s="80">
        <f t="shared" ref="G272:G299" si="14">C272/F272</f>
        <v>3400</v>
      </c>
    </row>
    <row r="273">
      <c r="A273" s="78" t="s">
        <v>192</v>
      </c>
      <c r="B273" s="78" t="s">
        <v>35</v>
      </c>
      <c r="C273" s="80">
        <v>10000.0</v>
      </c>
      <c r="D273" s="78" t="s">
        <v>35</v>
      </c>
      <c r="E273" s="78" t="s">
        <v>63</v>
      </c>
      <c r="F273" s="83">
        <v>1.0</v>
      </c>
      <c r="G273" s="80">
        <f t="shared" si="14"/>
        <v>10000</v>
      </c>
    </row>
    <row r="274">
      <c r="A274" s="78" t="s">
        <v>197</v>
      </c>
      <c r="B274" s="78" t="s">
        <v>35</v>
      </c>
      <c r="C274" s="80">
        <v>13500.0</v>
      </c>
      <c r="D274" s="78" t="s">
        <v>35</v>
      </c>
      <c r="E274" s="78" t="s">
        <v>63</v>
      </c>
      <c r="F274" s="83">
        <v>1.0</v>
      </c>
      <c r="G274" s="80">
        <f t="shared" si="14"/>
        <v>13500</v>
      </c>
    </row>
    <row r="275">
      <c r="A275" s="78" t="s">
        <v>198</v>
      </c>
      <c r="B275" s="78" t="s">
        <v>35</v>
      </c>
      <c r="C275" s="80">
        <v>3800.0</v>
      </c>
      <c r="D275" s="78" t="s">
        <v>35</v>
      </c>
      <c r="E275" s="78" t="s">
        <v>63</v>
      </c>
      <c r="F275" s="83">
        <v>1.0</v>
      </c>
      <c r="G275" s="80">
        <f t="shared" si="14"/>
        <v>3800</v>
      </c>
    </row>
    <row r="276">
      <c r="A276" s="78" t="s">
        <v>201</v>
      </c>
      <c r="B276" s="78" t="s">
        <v>202</v>
      </c>
      <c r="C276" s="80">
        <v>3000.0</v>
      </c>
      <c r="D276" s="78" t="s">
        <v>613</v>
      </c>
      <c r="E276" s="78" t="s">
        <v>614</v>
      </c>
      <c r="F276" s="83">
        <v>1.0</v>
      </c>
      <c r="G276" s="80">
        <f t="shared" si="14"/>
        <v>3000</v>
      </c>
    </row>
    <row r="277">
      <c r="A277" s="78" t="s">
        <v>204</v>
      </c>
      <c r="B277" s="78" t="s">
        <v>202</v>
      </c>
      <c r="C277" s="80">
        <v>1900.0</v>
      </c>
      <c r="D277" s="78" t="s">
        <v>613</v>
      </c>
      <c r="E277" s="78" t="s">
        <v>614</v>
      </c>
      <c r="F277" s="83">
        <v>1.0</v>
      </c>
      <c r="G277" s="80">
        <f t="shared" si="14"/>
        <v>1900</v>
      </c>
    </row>
    <row r="278">
      <c r="A278" s="78" t="s">
        <v>211</v>
      </c>
      <c r="B278" s="78" t="s">
        <v>202</v>
      </c>
      <c r="C278" s="80">
        <v>5000.0</v>
      </c>
      <c r="D278" s="78" t="s">
        <v>613</v>
      </c>
      <c r="E278" s="78" t="s">
        <v>614</v>
      </c>
      <c r="F278" s="83">
        <v>1.0</v>
      </c>
      <c r="G278" s="80">
        <f t="shared" si="14"/>
        <v>5000</v>
      </c>
    </row>
    <row r="279">
      <c r="A279" s="78" t="s">
        <v>213</v>
      </c>
      <c r="B279" s="78" t="s">
        <v>35</v>
      </c>
      <c r="C279" s="80">
        <v>4800.0</v>
      </c>
      <c r="D279" s="78" t="s">
        <v>35</v>
      </c>
      <c r="E279" s="78" t="s">
        <v>63</v>
      </c>
      <c r="F279" s="83">
        <v>1.0</v>
      </c>
      <c r="G279" s="80">
        <f t="shared" si="14"/>
        <v>4800</v>
      </c>
    </row>
    <row r="280">
      <c r="A280" s="78" t="s">
        <v>214</v>
      </c>
      <c r="B280" s="78" t="s">
        <v>40</v>
      </c>
      <c r="C280" s="80">
        <v>11000.0</v>
      </c>
      <c r="D280" s="78" t="s">
        <v>35</v>
      </c>
      <c r="E280" s="78" t="s">
        <v>172</v>
      </c>
      <c r="F280" s="83">
        <v>1.0</v>
      </c>
      <c r="G280" s="80">
        <f t="shared" si="14"/>
        <v>11000</v>
      </c>
    </row>
    <row r="281">
      <c r="A281" s="78" t="s">
        <v>222</v>
      </c>
      <c r="B281" s="78" t="s">
        <v>17</v>
      </c>
      <c r="C281" s="80">
        <v>4600.0</v>
      </c>
      <c r="D281" s="78" t="s">
        <v>17</v>
      </c>
      <c r="E281" s="78" t="s">
        <v>186</v>
      </c>
      <c r="F281" s="83">
        <v>1.0</v>
      </c>
      <c r="G281" s="80">
        <f t="shared" si="14"/>
        <v>4600</v>
      </c>
    </row>
    <row r="282">
      <c r="A282" s="78" t="s">
        <v>223</v>
      </c>
      <c r="B282" s="78" t="s">
        <v>17</v>
      </c>
      <c r="C282" s="80">
        <v>3800.0</v>
      </c>
      <c r="D282" s="78" t="s">
        <v>17</v>
      </c>
      <c r="E282" s="78" t="s">
        <v>186</v>
      </c>
      <c r="F282" s="83">
        <v>1.0</v>
      </c>
      <c r="G282" s="80">
        <f t="shared" si="14"/>
        <v>3800</v>
      </c>
    </row>
    <row r="283">
      <c r="A283" s="78" t="s">
        <v>224</v>
      </c>
      <c r="B283" s="78" t="s">
        <v>202</v>
      </c>
      <c r="C283" s="80">
        <v>3000.0</v>
      </c>
      <c r="D283" s="78" t="s">
        <v>613</v>
      </c>
      <c r="E283" s="78" t="s">
        <v>614</v>
      </c>
      <c r="F283" s="83">
        <v>1.0</v>
      </c>
      <c r="G283" s="80">
        <f t="shared" si="14"/>
        <v>3000</v>
      </c>
    </row>
    <row r="284">
      <c r="A284" s="78" t="s">
        <v>225</v>
      </c>
      <c r="B284" s="78" t="s">
        <v>35</v>
      </c>
      <c r="C284" s="80">
        <v>9000.0</v>
      </c>
      <c r="D284" s="78" t="s">
        <v>35</v>
      </c>
      <c r="E284" s="78" t="s">
        <v>63</v>
      </c>
      <c r="F284" s="83">
        <v>1.0</v>
      </c>
      <c r="G284" s="80">
        <f t="shared" si="14"/>
        <v>9000</v>
      </c>
    </row>
    <row r="285">
      <c r="A285" s="78" t="s">
        <v>229</v>
      </c>
      <c r="B285" s="78" t="s">
        <v>17</v>
      </c>
      <c r="C285" s="80">
        <v>3500.0</v>
      </c>
      <c r="D285" s="78" t="s">
        <v>17</v>
      </c>
      <c r="E285" s="78" t="s">
        <v>63</v>
      </c>
      <c r="F285" s="83">
        <v>1.0</v>
      </c>
      <c r="G285" s="80">
        <f t="shared" si="14"/>
        <v>3500</v>
      </c>
    </row>
    <row r="286">
      <c r="A286" s="78" t="s">
        <v>231</v>
      </c>
      <c r="B286" s="78" t="s">
        <v>35</v>
      </c>
      <c r="C286" s="80">
        <v>2800.0</v>
      </c>
      <c r="D286" s="78" t="s">
        <v>35</v>
      </c>
      <c r="E286" s="78" t="s">
        <v>63</v>
      </c>
      <c r="F286" s="83">
        <v>1.0</v>
      </c>
      <c r="G286" s="80">
        <f t="shared" si="14"/>
        <v>2800</v>
      </c>
    </row>
    <row r="287">
      <c r="A287" s="78" t="s">
        <v>235</v>
      </c>
      <c r="B287" s="78" t="s">
        <v>202</v>
      </c>
      <c r="C287" s="80">
        <v>4000.0</v>
      </c>
      <c r="D287" s="78" t="s">
        <v>613</v>
      </c>
      <c r="E287" s="78" t="s">
        <v>614</v>
      </c>
      <c r="F287" s="83">
        <v>1.0</v>
      </c>
      <c r="G287" s="80">
        <f t="shared" si="14"/>
        <v>4000</v>
      </c>
    </row>
    <row r="288">
      <c r="A288" s="78" t="s">
        <v>236</v>
      </c>
      <c r="B288" s="78" t="s">
        <v>237</v>
      </c>
      <c r="C288" s="80">
        <v>5000.0</v>
      </c>
      <c r="D288" s="78" t="s">
        <v>35</v>
      </c>
      <c r="E288" s="78" t="s">
        <v>63</v>
      </c>
      <c r="F288" s="83">
        <v>1.0</v>
      </c>
      <c r="G288" s="80">
        <f t="shared" si="14"/>
        <v>5000</v>
      </c>
    </row>
    <row r="289">
      <c r="A289" s="78" t="s">
        <v>238</v>
      </c>
      <c r="B289" s="78" t="s">
        <v>202</v>
      </c>
      <c r="C289" s="80">
        <v>4500.0</v>
      </c>
      <c r="D289" s="78" t="s">
        <v>613</v>
      </c>
      <c r="E289" s="78" t="s">
        <v>615</v>
      </c>
      <c r="F289" s="83">
        <v>1.0</v>
      </c>
      <c r="G289" s="80">
        <f t="shared" si="14"/>
        <v>4500</v>
      </c>
    </row>
    <row r="290">
      <c r="A290" s="78" t="s">
        <v>239</v>
      </c>
      <c r="B290" s="78" t="s">
        <v>35</v>
      </c>
      <c r="C290" s="80">
        <v>5000.0</v>
      </c>
      <c r="D290" s="78" t="s">
        <v>35</v>
      </c>
      <c r="E290" s="78" t="s">
        <v>63</v>
      </c>
      <c r="F290" s="83">
        <v>1.0</v>
      </c>
      <c r="G290" s="80">
        <f t="shared" si="14"/>
        <v>5000</v>
      </c>
    </row>
    <row r="291">
      <c r="A291" s="78" t="s">
        <v>232</v>
      </c>
      <c r="B291" s="78" t="s">
        <v>202</v>
      </c>
      <c r="C291" s="80">
        <v>3000.0</v>
      </c>
      <c r="D291" s="78" t="s">
        <v>613</v>
      </c>
      <c r="E291" s="78" t="s">
        <v>614</v>
      </c>
      <c r="F291" s="83">
        <v>1.0</v>
      </c>
      <c r="G291" s="80">
        <f t="shared" si="14"/>
        <v>3000</v>
      </c>
    </row>
    <row r="292">
      <c r="A292" s="78" t="s">
        <v>233</v>
      </c>
      <c r="B292" s="78" t="s">
        <v>17</v>
      </c>
      <c r="C292" s="80">
        <v>3500.0</v>
      </c>
      <c r="D292" s="78" t="s">
        <v>17</v>
      </c>
      <c r="E292" s="78" t="s">
        <v>186</v>
      </c>
      <c r="F292" s="83">
        <v>1.0</v>
      </c>
      <c r="G292" s="80">
        <f t="shared" si="14"/>
        <v>3500</v>
      </c>
    </row>
    <row r="293">
      <c r="A293" s="78" t="s">
        <v>240</v>
      </c>
      <c r="B293" s="78" t="s">
        <v>241</v>
      </c>
      <c r="C293" s="80">
        <v>4800.0</v>
      </c>
      <c r="D293" s="78" t="s">
        <v>17</v>
      </c>
      <c r="E293" s="78" t="s">
        <v>186</v>
      </c>
      <c r="F293" s="83">
        <v>8.0</v>
      </c>
      <c r="G293" s="80">
        <f t="shared" si="14"/>
        <v>600</v>
      </c>
    </row>
    <row r="294">
      <c r="A294" s="78" t="s">
        <v>616</v>
      </c>
      <c r="B294" s="78" t="s">
        <v>35</v>
      </c>
      <c r="C294" s="80">
        <v>5000.0</v>
      </c>
      <c r="D294" s="78" t="s">
        <v>35</v>
      </c>
      <c r="E294" s="78" t="s">
        <v>63</v>
      </c>
      <c r="F294" s="83">
        <v>1.0</v>
      </c>
      <c r="G294" s="80">
        <f t="shared" si="14"/>
        <v>5000</v>
      </c>
    </row>
    <row r="295">
      <c r="A295" s="94" t="s">
        <v>245</v>
      </c>
      <c r="B295" s="96"/>
      <c r="C295" s="95"/>
      <c r="D295" s="96"/>
      <c r="E295" s="96"/>
      <c r="F295" s="97"/>
      <c r="G295" s="80" t="str">
        <f t="shared" si="14"/>
        <v>#DIV/0!</v>
      </c>
    </row>
    <row r="296">
      <c r="A296" s="78" t="s">
        <v>247</v>
      </c>
      <c r="B296" s="78" t="s">
        <v>59</v>
      </c>
      <c r="C296" s="80">
        <v>4500.0</v>
      </c>
      <c r="D296" s="78" t="s">
        <v>40</v>
      </c>
      <c r="E296" s="78" t="s">
        <v>617</v>
      </c>
      <c r="F296" s="83">
        <v>1.0</v>
      </c>
      <c r="G296" s="80">
        <f t="shared" si="14"/>
        <v>4500</v>
      </c>
    </row>
    <row r="297">
      <c r="A297" s="78" t="s">
        <v>248</v>
      </c>
      <c r="B297" s="78" t="s">
        <v>59</v>
      </c>
      <c r="C297" s="80">
        <v>4000.0</v>
      </c>
      <c r="D297" s="78" t="s">
        <v>40</v>
      </c>
      <c r="E297" s="78" t="s">
        <v>617</v>
      </c>
      <c r="F297" s="83">
        <v>1.0</v>
      </c>
      <c r="G297" s="80">
        <f t="shared" si="14"/>
        <v>4000</v>
      </c>
    </row>
    <row r="298">
      <c r="A298" s="78" t="s">
        <v>250</v>
      </c>
      <c r="B298" s="78" t="s">
        <v>59</v>
      </c>
      <c r="C298" s="80">
        <v>17000.0</v>
      </c>
      <c r="D298" s="78" t="s">
        <v>14</v>
      </c>
      <c r="E298" s="78" t="s">
        <v>156</v>
      </c>
      <c r="F298" s="83">
        <v>0.45</v>
      </c>
      <c r="G298" s="80">
        <f t="shared" si="14"/>
        <v>37777.77778</v>
      </c>
    </row>
    <row r="299">
      <c r="A299" s="78" t="s">
        <v>171</v>
      </c>
      <c r="B299" s="78" t="s">
        <v>59</v>
      </c>
      <c r="C299" s="80">
        <v>33000.0</v>
      </c>
      <c r="D299" s="78" t="s">
        <v>14</v>
      </c>
      <c r="E299" s="78" t="s">
        <v>156</v>
      </c>
      <c r="F299" s="83">
        <v>0.375</v>
      </c>
      <c r="G299" s="80">
        <f t="shared" si="14"/>
        <v>88000</v>
      </c>
    </row>
    <row r="300">
      <c r="A300" s="94" t="s">
        <v>252</v>
      </c>
      <c r="B300" s="96"/>
      <c r="C300" s="95"/>
      <c r="D300" s="96"/>
      <c r="E300" s="96"/>
      <c r="F300" s="97"/>
      <c r="G300" s="80"/>
    </row>
    <row r="301">
      <c r="A301" s="78" t="s">
        <v>253</v>
      </c>
      <c r="B301" s="78" t="s">
        <v>40</v>
      </c>
      <c r="C301" s="80">
        <v>2900.0</v>
      </c>
      <c r="D301" s="78" t="s">
        <v>40</v>
      </c>
      <c r="E301" s="78" t="s">
        <v>255</v>
      </c>
      <c r="F301" s="83">
        <v>1.0</v>
      </c>
      <c r="G301" s="80">
        <f t="shared" ref="G301:G318" si="15">C301/F301</f>
        <v>2900</v>
      </c>
    </row>
    <row r="302">
      <c r="A302" s="78" t="s">
        <v>256</v>
      </c>
      <c r="B302" s="78" t="s">
        <v>40</v>
      </c>
      <c r="C302" s="80">
        <v>10000.0</v>
      </c>
      <c r="D302" s="78" t="s">
        <v>17</v>
      </c>
      <c r="E302" s="78" t="s">
        <v>257</v>
      </c>
      <c r="F302" s="83">
        <v>50.0</v>
      </c>
      <c r="G302" s="80">
        <f t="shared" si="15"/>
        <v>200</v>
      </c>
    </row>
    <row r="303">
      <c r="A303" s="78" t="s">
        <v>263</v>
      </c>
      <c r="B303" s="78" t="s">
        <v>17</v>
      </c>
      <c r="C303" s="80">
        <v>70.0</v>
      </c>
      <c r="D303" s="78" t="s">
        <v>17</v>
      </c>
      <c r="E303" s="78" t="s">
        <v>186</v>
      </c>
      <c r="F303" s="83">
        <v>1.0</v>
      </c>
      <c r="G303" s="80">
        <f t="shared" si="15"/>
        <v>70</v>
      </c>
    </row>
    <row r="304">
      <c r="A304" s="78" t="s">
        <v>265</v>
      </c>
      <c r="B304" s="78" t="s">
        <v>17</v>
      </c>
      <c r="C304" s="80">
        <v>356.0</v>
      </c>
      <c r="D304" s="78" t="s">
        <v>17</v>
      </c>
      <c r="E304" s="78" t="s">
        <v>186</v>
      </c>
      <c r="F304" s="83">
        <v>1.0</v>
      </c>
      <c r="G304" s="80">
        <f t="shared" si="15"/>
        <v>356</v>
      </c>
    </row>
    <row r="305">
      <c r="A305" s="78" t="s">
        <v>266</v>
      </c>
      <c r="B305" s="78" t="s">
        <v>17</v>
      </c>
      <c r="C305" s="80">
        <v>95.0</v>
      </c>
      <c r="D305" s="78" t="s">
        <v>17</v>
      </c>
      <c r="E305" s="78" t="s">
        <v>186</v>
      </c>
      <c r="F305" s="83">
        <v>1.0</v>
      </c>
      <c r="G305" s="80">
        <f t="shared" si="15"/>
        <v>95</v>
      </c>
    </row>
    <row r="306">
      <c r="A306" s="78" t="s">
        <v>268</v>
      </c>
      <c r="B306" s="78" t="s">
        <v>17</v>
      </c>
      <c r="C306" s="80">
        <v>152.0</v>
      </c>
      <c r="D306" s="78" t="s">
        <v>17</v>
      </c>
      <c r="E306" s="78" t="s">
        <v>186</v>
      </c>
      <c r="F306" s="83">
        <v>1.0</v>
      </c>
      <c r="G306" s="80">
        <f t="shared" si="15"/>
        <v>152</v>
      </c>
    </row>
    <row r="307">
      <c r="A307" s="78" t="s">
        <v>269</v>
      </c>
      <c r="B307" s="78" t="s">
        <v>17</v>
      </c>
      <c r="C307" s="80">
        <v>80.0</v>
      </c>
      <c r="D307" s="78" t="s">
        <v>17</v>
      </c>
      <c r="E307" s="78" t="s">
        <v>186</v>
      </c>
      <c r="F307" s="83">
        <v>1.0</v>
      </c>
      <c r="G307" s="80">
        <f t="shared" si="15"/>
        <v>80</v>
      </c>
    </row>
    <row r="308">
      <c r="A308" s="78" t="s">
        <v>270</v>
      </c>
      <c r="B308" s="78" t="s">
        <v>17</v>
      </c>
      <c r="C308" s="80">
        <v>80.0</v>
      </c>
      <c r="D308" s="78" t="s">
        <v>17</v>
      </c>
      <c r="E308" s="78" t="s">
        <v>186</v>
      </c>
      <c r="F308" s="83">
        <v>1.0</v>
      </c>
      <c r="G308" s="80">
        <f t="shared" si="15"/>
        <v>80</v>
      </c>
    </row>
    <row r="309">
      <c r="A309" s="78" t="s">
        <v>271</v>
      </c>
      <c r="B309" s="78" t="s">
        <v>17</v>
      </c>
      <c r="C309" s="80">
        <v>850.0</v>
      </c>
      <c r="D309" s="78" t="s">
        <v>17</v>
      </c>
      <c r="E309" s="78" t="s">
        <v>186</v>
      </c>
      <c r="F309" s="83">
        <v>1.0</v>
      </c>
      <c r="G309" s="80">
        <f t="shared" si="15"/>
        <v>850</v>
      </c>
    </row>
    <row r="310">
      <c r="A310" s="78" t="s">
        <v>272</v>
      </c>
      <c r="B310" s="78" t="s">
        <v>17</v>
      </c>
      <c r="C310" s="80">
        <v>1400.0</v>
      </c>
      <c r="D310" s="78" t="s">
        <v>17</v>
      </c>
      <c r="E310" s="78" t="s">
        <v>186</v>
      </c>
      <c r="F310" s="83">
        <v>1.0</v>
      </c>
      <c r="G310" s="80">
        <f t="shared" si="15"/>
        <v>1400</v>
      </c>
    </row>
    <row r="311">
      <c r="A311" s="106" t="s">
        <v>55</v>
      </c>
      <c r="B311" s="81" t="s">
        <v>488</v>
      </c>
      <c r="C311" s="85">
        <v>60000.0</v>
      </c>
      <c r="D311" s="81" t="s">
        <v>31</v>
      </c>
      <c r="E311" s="81" t="s">
        <v>618</v>
      </c>
      <c r="F311" s="90">
        <v>5.0</v>
      </c>
      <c r="G311" s="80">
        <f t="shared" si="15"/>
        <v>12000</v>
      </c>
    </row>
    <row r="312">
      <c r="A312" s="78" t="s">
        <v>100</v>
      </c>
      <c r="B312" s="81" t="s">
        <v>14</v>
      </c>
      <c r="C312" s="85">
        <v>60000.0</v>
      </c>
      <c r="D312" s="81" t="s">
        <v>14</v>
      </c>
      <c r="E312" s="78" t="s">
        <v>63</v>
      </c>
      <c r="F312" s="90">
        <v>1.0</v>
      </c>
      <c r="G312" s="80">
        <f t="shared" si="15"/>
        <v>60000</v>
      </c>
    </row>
    <row r="313">
      <c r="A313" s="78" t="s">
        <v>109</v>
      </c>
      <c r="B313" s="81" t="s">
        <v>35</v>
      </c>
      <c r="C313" s="85">
        <v>35000.0</v>
      </c>
      <c r="D313" s="81" t="s">
        <v>14</v>
      </c>
      <c r="E313" s="78" t="s">
        <v>63</v>
      </c>
      <c r="F313" s="90">
        <v>1.0</v>
      </c>
      <c r="G313" s="80">
        <f t="shared" si="15"/>
        <v>35000</v>
      </c>
    </row>
    <row r="314">
      <c r="A314" s="78" t="s">
        <v>123</v>
      </c>
      <c r="B314" s="81" t="s">
        <v>35</v>
      </c>
      <c r="C314" s="85">
        <v>1400000.0</v>
      </c>
      <c r="D314" s="81" t="s">
        <v>14</v>
      </c>
      <c r="E314" s="78" t="s">
        <v>63</v>
      </c>
      <c r="F314" s="90">
        <v>1.0</v>
      </c>
      <c r="G314" s="80">
        <f t="shared" si="15"/>
        <v>1400000</v>
      </c>
    </row>
    <row r="315">
      <c r="A315" s="78" t="s">
        <v>619</v>
      </c>
      <c r="B315" s="78" t="s">
        <v>35</v>
      </c>
      <c r="C315" s="85">
        <v>35000.0</v>
      </c>
      <c r="D315" s="81" t="s">
        <v>14</v>
      </c>
      <c r="E315" s="78" t="s">
        <v>63</v>
      </c>
      <c r="F315" s="90">
        <v>1.0</v>
      </c>
      <c r="G315" s="80">
        <f t="shared" si="15"/>
        <v>35000</v>
      </c>
    </row>
    <row r="316">
      <c r="A316" s="78" t="s">
        <v>124</v>
      </c>
      <c r="B316" s="78" t="s">
        <v>35</v>
      </c>
      <c r="C316" s="85">
        <v>200000.0</v>
      </c>
      <c r="D316" s="81" t="s">
        <v>14</v>
      </c>
      <c r="E316" s="78" t="s">
        <v>63</v>
      </c>
      <c r="F316" s="90">
        <v>1.0</v>
      </c>
      <c r="G316" s="80">
        <f t="shared" si="15"/>
        <v>200000</v>
      </c>
    </row>
    <row r="317">
      <c r="A317" s="78" t="s">
        <v>173</v>
      </c>
      <c r="B317" s="81" t="s">
        <v>106</v>
      </c>
      <c r="C317" s="85">
        <v>37000.0</v>
      </c>
      <c r="D317" s="81" t="s">
        <v>31</v>
      </c>
      <c r="E317" s="81" t="s">
        <v>620</v>
      </c>
      <c r="F317" s="90">
        <v>0.885</v>
      </c>
      <c r="G317" s="80">
        <f t="shared" si="15"/>
        <v>41807.9096</v>
      </c>
    </row>
    <row r="318">
      <c r="A318" s="78" t="s">
        <v>220</v>
      </c>
      <c r="B318" s="81" t="s">
        <v>392</v>
      </c>
      <c r="C318" s="85">
        <v>135000.0</v>
      </c>
      <c r="D318" s="81" t="s">
        <v>14</v>
      </c>
      <c r="E318" s="81" t="s">
        <v>621</v>
      </c>
      <c r="F318" s="90">
        <v>15.0</v>
      </c>
      <c r="G318" s="80">
        <f t="shared" si="15"/>
        <v>9000</v>
      </c>
    </row>
    <row r="319">
      <c r="A319" s="81" t="s">
        <v>622</v>
      </c>
      <c r="B319" s="81"/>
      <c r="C319" s="85"/>
      <c r="D319" s="81"/>
      <c r="E319" s="81"/>
      <c r="F319" s="90"/>
      <c r="G319" s="80"/>
    </row>
    <row r="320">
      <c r="A320" s="81" t="s">
        <v>174</v>
      </c>
      <c r="B320" s="78"/>
      <c r="C320" s="80"/>
      <c r="D320" s="78"/>
      <c r="E320" s="78"/>
      <c r="F320" s="83"/>
      <c r="G320" s="80"/>
    </row>
    <row r="321">
      <c r="A321" s="81" t="s">
        <v>623</v>
      </c>
      <c r="B321" s="78"/>
      <c r="C321" s="80"/>
      <c r="D321" s="78"/>
      <c r="E321" s="78"/>
      <c r="F321" s="83"/>
      <c r="G321" s="80"/>
    </row>
    <row r="322">
      <c r="A322" s="106" t="s">
        <v>411</v>
      </c>
      <c r="B322" s="81" t="s">
        <v>624</v>
      </c>
      <c r="C322" s="80">
        <v>7434.0</v>
      </c>
      <c r="D322" s="78" t="s">
        <v>259</v>
      </c>
      <c r="E322" s="78" t="s">
        <v>572</v>
      </c>
      <c r="F322" s="83">
        <v>8.0</v>
      </c>
      <c r="G322" s="80">
        <f t="shared" ref="G322:G326" si="16">C322/F322</f>
        <v>929.25</v>
      </c>
    </row>
    <row r="323">
      <c r="A323" s="78" t="s">
        <v>431</v>
      </c>
      <c r="B323" s="81" t="s">
        <v>624</v>
      </c>
      <c r="C323" s="80">
        <v>5947.0</v>
      </c>
      <c r="D323" s="78" t="s">
        <v>259</v>
      </c>
      <c r="E323" s="78" t="s">
        <v>572</v>
      </c>
      <c r="F323" s="83">
        <v>4.0</v>
      </c>
      <c r="G323" s="80">
        <f t="shared" si="16"/>
        <v>1486.75</v>
      </c>
    </row>
    <row r="324">
      <c r="A324" s="78" t="s">
        <v>456</v>
      </c>
      <c r="B324" s="81" t="s">
        <v>624</v>
      </c>
      <c r="C324" s="80">
        <v>8602.0</v>
      </c>
      <c r="D324" s="78" t="s">
        <v>259</v>
      </c>
      <c r="E324" s="78" t="s">
        <v>575</v>
      </c>
      <c r="F324" s="83">
        <v>1.0</v>
      </c>
      <c r="G324" s="80">
        <f t="shared" si="16"/>
        <v>8602</v>
      </c>
    </row>
    <row r="325">
      <c r="A325" s="106" t="s">
        <v>397</v>
      </c>
      <c r="B325" s="84" t="s">
        <v>398</v>
      </c>
      <c r="C325" s="80">
        <v>6372.0</v>
      </c>
      <c r="D325" s="78" t="s">
        <v>259</v>
      </c>
      <c r="E325" s="78" t="s">
        <v>572</v>
      </c>
      <c r="F325" s="83">
        <v>3.0</v>
      </c>
      <c r="G325" s="80">
        <f t="shared" si="16"/>
        <v>2124</v>
      </c>
    </row>
    <row r="326">
      <c r="A326" s="23" t="s">
        <v>458</v>
      </c>
      <c r="B326" s="78"/>
      <c r="C326" s="80">
        <v>6372.0</v>
      </c>
      <c r="D326" s="78"/>
      <c r="E326" s="81" t="s">
        <v>572</v>
      </c>
      <c r="F326" s="90">
        <v>1.0</v>
      </c>
      <c r="G326" s="80">
        <f t="shared" si="16"/>
        <v>6372</v>
      </c>
    </row>
    <row r="327">
      <c r="A327" s="78"/>
      <c r="B327" s="78"/>
      <c r="C327" s="80"/>
      <c r="D327" s="78"/>
      <c r="E327" s="78"/>
      <c r="F327" s="83"/>
      <c r="G327" s="80"/>
    </row>
    <row r="328">
      <c r="A328" s="78"/>
      <c r="B328" s="78"/>
      <c r="C328" s="80"/>
      <c r="D328" s="78"/>
      <c r="E328" s="78"/>
      <c r="F328" s="83"/>
      <c r="G328" s="80"/>
    </row>
    <row r="329">
      <c r="A329" s="78"/>
      <c r="B329" s="78"/>
      <c r="C329" s="80"/>
      <c r="D329" s="78"/>
      <c r="E329" s="78"/>
      <c r="F329" s="83"/>
      <c r="G329" s="80"/>
    </row>
    <row r="330">
      <c r="A330" s="78"/>
      <c r="B330" s="78"/>
      <c r="C330" s="80"/>
      <c r="D330" s="78"/>
      <c r="E330" s="78"/>
      <c r="F330" s="83"/>
      <c r="G330" s="80"/>
    </row>
    <row r="331">
      <c r="A331" s="78"/>
      <c r="B331" s="78"/>
      <c r="C331" s="80"/>
      <c r="D331" s="78"/>
      <c r="E331" s="78"/>
      <c r="F331" s="83"/>
      <c r="G331" s="80"/>
    </row>
    <row r="332">
      <c r="A332" s="78"/>
      <c r="B332" s="78"/>
      <c r="C332" s="80"/>
      <c r="D332" s="78"/>
      <c r="E332" s="78"/>
      <c r="F332" s="83"/>
      <c r="G332" s="80"/>
    </row>
    <row r="333">
      <c r="A333" s="78"/>
      <c r="B333" s="78"/>
      <c r="C333" s="80"/>
      <c r="D333" s="78"/>
      <c r="E333" s="78"/>
      <c r="F333" s="83"/>
      <c r="G333" s="80"/>
    </row>
    <row r="334">
      <c r="A334" s="78"/>
      <c r="B334" s="78"/>
      <c r="C334" s="80"/>
      <c r="D334" s="78"/>
      <c r="E334" s="78"/>
      <c r="F334" s="83"/>
      <c r="G334" s="80"/>
    </row>
    <row r="335">
      <c r="A335" s="78"/>
      <c r="B335" s="78"/>
      <c r="C335" s="80"/>
      <c r="D335" s="78"/>
      <c r="E335" s="78"/>
      <c r="F335" s="83"/>
      <c r="G335" s="80"/>
    </row>
    <row r="336">
      <c r="A336" s="78"/>
      <c r="B336" s="78"/>
      <c r="C336" s="80"/>
      <c r="D336" s="78"/>
      <c r="E336" s="78"/>
      <c r="F336" s="83"/>
      <c r="G336" s="80"/>
    </row>
    <row r="337">
      <c r="C337" s="107"/>
      <c r="F337" s="108"/>
      <c r="G337" s="107"/>
    </row>
    <row r="338">
      <c r="C338" s="107"/>
      <c r="F338" s="108"/>
      <c r="G338" s="107"/>
    </row>
    <row r="339">
      <c r="C339" s="107"/>
      <c r="F339" s="108"/>
      <c r="G339" s="107"/>
    </row>
    <row r="340">
      <c r="C340" s="107"/>
      <c r="F340" s="108"/>
      <c r="G340" s="107"/>
    </row>
    <row r="341">
      <c r="C341" s="107"/>
      <c r="F341" s="108"/>
      <c r="G341" s="107"/>
    </row>
    <row r="342">
      <c r="C342" s="107"/>
      <c r="F342" s="108"/>
      <c r="G342" s="107"/>
    </row>
    <row r="343">
      <c r="C343" s="107"/>
      <c r="F343" s="108"/>
      <c r="G343" s="107"/>
    </row>
    <row r="344">
      <c r="C344" s="107"/>
      <c r="F344" s="108"/>
      <c r="G344" s="107"/>
    </row>
    <row r="345">
      <c r="C345" s="107"/>
      <c r="F345" s="108"/>
      <c r="G345" s="107"/>
    </row>
    <row r="346">
      <c r="C346" s="107"/>
      <c r="F346" s="108"/>
      <c r="G346" s="107"/>
    </row>
    <row r="347">
      <c r="C347" s="107"/>
      <c r="F347" s="108"/>
      <c r="G347" s="107"/>
    </row>
    <row r="348">
      <c r="C348" s="107"/>
      <c r="F348" s="108"/>
      <c r="G348" s="107"/>
    </row>
    <row r="349">
      <c r="C349" s="107"/>
      <c r="F349" s="108"/>
      <c r="G349" s="107"/>
    </row>
    <row r="350">
      <c r="C350" s="107"/>
      <c r="F350" s="108"/>
      <c r="G350" s="107"/>
    </row>
    <row r="351">
      <c r="C351" s="107"/>
      <c r="F351" s="108"/>
      <c r="G351" s="107"/>
    </row>
    <row r="352">
      <c r="C352" s="107"/>
      <c r="F352" s="108"/>
      <c r="G352" s="107"/>
    </row>
    <row r="353">
      <c r="C353" s="107"/>
      <c r="F353" s="108"/>
      <c r="G353" s="107"/>
    </row>
    <row r="354">
      <c r="C354" s="107"/>
      <c r="F354" s="108"/>
      <c r="G354" s="107"/>
    </row>
    <row r="355">
      <c r="C355" s="107"/>
      <c r="F355" s="108"/>
      <c r="G355" s="107"/>
    </row>
    <row r="356">
      <c r="C356" s="107"/>
      <c r="F356" s="108"/>
      <c r="G356" s="107"/>
    </row>
    <row r="357">
      <c r="C357" s="107"/>
      <c r="F357" s="108"/>
      <c r="G357" s="107"/>
    </row>
    <row r="358">
      <c r="C358" s="107"/>
      <c r="F358" s="108"/>
      <c r="G358" s="107"/>
    </row>
    <row r="359">
      <c r="C359" s="107"/>
      <c r="F359" s="108"/>
      <c r="G359" s="107"/>
    </row>
    <row r="360">
      <c r="C360" s="107"/>
      <c r="F360" s="108"/>
      <c r="G360" s="107"/>
    </row>
    <row r="361">
      <c r="C361" s="107"/>
      <c r="F361" s="108"/>
      <c r="G361" s="107"/>
    </row>
    <row r="362">
      <c r="C362" s="107"/>
      <c r="F362" s="108"/>
      <c r="G362" s="107"/>
    </row>
    <row r="363">
      <c r="C363" s="107"/>
      <c r="F363" s="108"/>
      <c r="G363" s="107"/>
    </row>
    <row r="364">
      <c r="C364" s="107"/>
      <c r="F364" s="108"/>
      <c r="G364" s="107"/>
    </row>
    <row r="365">
      <c r="C365" s="107"/>
      <c r="F365" s="108"/>
      <c r="G365" s="107"/>
    </row>
    <row r="366">
      <c r="C366" s="107"/>
      <c r="F366" s="108"/>
      <c r="G366" s="107"/>
    </row>
    <row r="367">
      <c r="C367" s="107"/>
      <c r="F367" s="108"/>
      <c r="G367" s="107"/>
    </row>
    <row r="368">
      <c r="C368" s="107"/>
      <c r="F368" s="108"/>
      <c r="G368" s="107"/>
    </row>
    <row r="369">
      <c r="C369" s="107"/>
      <c r="F369" s="108"/>
      <c r="G369" s="107"/>
    </row>
    <row r="370">
      <c r="C370" s="107"/>
      <c r="F370" s="108"/>
      <c r="G370" s="107"/>
    </row>
    <row r="371">
      <c r="C371" s="107"/>
      <c r="F371" s="108"/>
      <c r="G371" s="107"/>
    </row>
    <row r="372">
      <c r="C372" s="107"/>
      <c r="F372" s="108"/>
      <c r="G372" s="107"/>
    </row>
    <row r="373">
      <c r="C373" s="107"/>
      <c r="F373" s="108"/>
      <c r="G373" s="107"/>
    </row>
    <row r="374">
      <c r="C374" s="107"/>
      <c r="F374" s="108"/>
      <c r="G374" s="107"/>
    </row>
    <row r="375">
      <c r="C375" s="107"/>
      <c r="F375" s="108"/>
      <c r="G375" s="107"/>
    </row>
    <row r="376">
      <c r="C376" s="107"/>
      <c r="F376" s="108"/>
      <c r="G376" s="107"/>
    </row>
    <row r="377">
      <c r="C377" s="107"/>
      <c r="F377" s="108"/>
      <c r="G377" s="107"/>
    </row>
    <row r="378">
      <c r="C378" s="107"/>
      <c r="F378" s="108"/>
      <c r="G378" s="107"/>
    </row>
    <row r="379">
      <c r="C379" s="107"/>
      <c r="F379" s="108"/>
      <c r="G379" s="107"/>
    </row>
    <row r="380">
      <c r="C380" s="107"/>
      <c r="F380" s="108"/>
      <c r="G380" s="107"/>
    </row>
    <row r="381">
      <c r="C381" s="107"/>
      <c r="F381" s="108"/>
      <c r="G381" s="107"/>
    </row>
    <row r="382">
      <c r="C382" s="107"/>
      <c r="F382" s="108"/>
      <c r="G382" s="107"/>
    </row>
    <row r="383">
      <c r="C383" s="107"/>
      <c r="F383" s="108"/>
      <c r="G383" s="107"/>
    </row>
    <row r="384">
      <c r="C384" s="107"/>
      <c r="F384" s="108"/>
      <c r="G384" s="107"/>
    </row>
    <row r="385">
      <c r="C385" s="107"/>
      <c r="F385" s="108"/>
      <c r="G385" s="107"/>
    </row>
    <row r="386">
      <c r="C386" s="107"/>
      <c r="F386" s="108"/>
      <c r="G386" s="107"/>
    </row>
    <row r="387">
      <c r="C387" s="107"/>
      <c r="F387" s="108"/>
      <c r="G387" s="107"/>
    </row>
    <row r="388">
      <c r="C388" s="107"/>
      <c r="F388" s="108"/>
      <c r="G388" s="107"/>
    </row>
    <row r="389">
      <c r="C389" s="107"/>
      <c r="F389" s="108"/>
      <c r="G389" s="107"/>
    </row>
    <row r="390">
      <c r="C390" s="107"/>
      <c r="F390" s="108"/>
      <c r="G390" s="107"/>
    </row>
    <row r="391">
      <c r="C391" s="107"/>
      <c r="F391" s="108"/>
      <c r="G391" s="107"/>
    </row>
    <row r="392">
      <c r="C392" s="107"/>
      <c r="F392" s="108"/>
      <c r="G392" s="107"/>
    </row>
    <row r="393">
      <c r="C393" s="107"/>
      <c r="F393" s="108"/>
      <c r="G393" s="107"/>
    </row>
    <row r="394">
      <c r="C394" s="107"/>
      <c r="F394" s="108"/>
      <c r="G394" s="107"/>
    </row>
    <row r="395">
      <c r="C395" s="107"/>
      <c r="F395" s="108"/>
      <c r="G395" s="107"/>
    </row>
    <row r="396">
      <c r="C396" s="107"/>
      <c r="F396" s="108"/>
      <c r="G396" s="107"/>
    </row>
    <row r="397">
      <c r="C397" s="107"/>
      <c r="F397" s="108"/>
      <c r="G397" s="107"/>
    </row>
    <row r="398">
      <c r="C398" s="107"/>
      <c r="F398" s="108"/>
      <c r="G398" s="107"/>
    </row>
    <row r="399">
      <c r="C399" s="107"/>
      <c r="F399" s="108"/>
      <c r="G399" s="107"/>
    </row>
    <row r="400">
      <c r="C400" s="107"/>
      <c r="F400" s="108"/>
      <c r="G400" s="107"/>
    </row>
    <row r="401">
      <c r="C401" s="107"/>
      <c r="F401" s="108"/>
      <c r="G401" s="107"/>
    </row>
    <row r="402">
      <c r="C402" s="107"/>
      <c r="F402" s="108"/>
      <c r="G402" s="107"/>
    </row>
    <row r="403">
      <c r="C403" s="107"/>
      <c r="F403" s="108"/>
      <c r="G403" s="107"/>
    </row>
    <row r="404">
      <c r="C404" s="107"/>
      <c r="F404" s="108"/>
      <c r="G404" s="107"/>
    </row>
    <row r="405">
      <c r="C405" s="107"/>
      <c r="F405" s="108"/>
      <c r="G405" s="107"/>
    </row>
    <row r="406">
      <c r="C406" s="107"/>
      <c r="F406" s="108"/>
      <c r="G406" s="107"/>
    </row>
    <row r="407">
      <c r="C407" s="107"/>
      <c r="F407" s="108"/>
      <c r="G407" s="107"/>
    </row>
    <row r="408">
      <c r="C408" s="107"/>
      <c r="F408" s="108"/>
      <c r="G408" s="107"/>
    </row>
    <row r="409">
      <c r="C409" s="107"/>
      <c r="F409" s="108"/>
      <c r="G409" s="107"/>
    </row>
    <row r="410">
      <c r="C410" s="107"/>
      <c r="F410" s="108"/>
      <c r="G410" s="107"/>
    </row>
    <row r="411">
      <c r="C411" s="107"/>
      <c r="F411" s="108"/>
      <c r="G411" s="107"/>
    </row>
    <row r="412">
      <c r="C412" s="107"/>
      <c r="F412" s="108"/>
      <c r="G412" s="107"/>
    </row>
    <row r="413">
      <c r="C413" s="107"/>
      <c r="F413" s="108"/>
      <c r="G413" s="107"/>
    </row>
    <row r="414">
      <c r="C414" s="107"/>
      <c r="F414" s="108"/>
      <c r="G414" s="107"/>
    </row>
    <row r="415">
      <c r="C415" s="107"/>
      <c r="F415" s="108"/>
      <c r="G415" s="107"/>
    </row>
    <row r="416">
      <c r="C416" s="107"/>
      <c r="F416" s="108"/>
      <c r="G416" s="107"/>
    </row>
    <row r="417">
      <c r="C417" s="107"/>
      <c r="F417" s="108"/>
      <c r="G417" s="107"/>
    </row>
    <row r="418">
      <c r="C418" s="107"/>
      <c r="F418" s="108"/>
      <c r="G418" s="107"/>
    </row>
    <row r="419">
      <c r="C419" s="107"/>
      <c r="F419" s="108"/>
      <c r="G419" s="107"/>
    </row>
    <row r="420">
      <c r="C420" s="107"/>
      <c r="F420" s="108"/>
      <c r="G420" s="107"/>
    </row>
    <row r="421">
      <c r="C421" s="107"/>
      <c r="F421" s="108"/>
      <c r="G421" s="107"/>
    </row>
    <row r="422">
      <c r="C422" s="107"/>
      <c r="F422" s="108"/>
      <c r="G422" s="107"/>
    </row>
    <row r="423">
      <c r="C423" s="107"/>
      <c r="F423" s="108"/>
      <c r="G423" s="107"/>
    </row>
    <row r="424">
      <c r="C424" s="107"/>
      <c r="F424" s="108"/>
      <c r="G424" s="107"/>
    </row>
    <row r="425">
      <c r="C425" s="107"/>
      <c r="F425" s="108"/>
      <c r="G425" s="107"/>
    </row>
    <row r="426">
      <c r="C426" s="107"/>
      <c r="F426" s="108"/>
      <c r="G426" s="107"/>
    </row>
    <row r="427">
      <c r="C427" s="107"/>
      <c r="F427" s="108"/>
      <c r="G427" s="107"/>
    </row>
    <row r="428">
      <c r="C428" s="107"/>
      <c r="F428" s="108"/>
      <c r="G428" s="107"/>
    </row>
    <row r="429">
      <c r="C429" s="107"/>
      <c r="F429" s="108"/>
      <c r="G429" s="107"/>
    </row>
    <row r="430">
      <c r="C430" s="107"/>
      <c r="F430" s="108"/>
      <c r="G430" s="107"/>
    </row>
    <row r="431">
      <c r="C431" s="107"/>
      <c r="F431" s="108"/>
      <c r="G431" s="107"/>
    </row>
    <row r="432">
      <c r="C432" s="107"/>
      <c r="F432" s="108"/>
      <c r="G432" s="107"/>
    </row>
    <row r="433">
      <c r="C433" s="107"/>
      <c r="F433" s="108"/>
      <c r="G433" s="107"/>
    </row>
    <row r="434">
      <c r="C434" s="107"/>
      <c r="F434" s="108"/>
      <c r="G434" s="107"/>
    </row>
    <row r="435">
      <c r="C435" s="107"/>
      <c r="F435" s="108"/>
      <c r="G435" s="107"/>
    </row>
    <row r="436">
      <c r="C436" s="107"/>
      <c r="F436" s="108"/>
      <c r="G436" s="107"/>
    </row>
    <row r="437">
      <c r="C437" s="107"/>
      <c r="F437" s="108"/>
      <c r="G437" s="107"/>
    </row>
    <row r="438">
      <c r="C438" s="107"/>
      <c r="F438" s="108"/>
      <c r="G438" s="107"/>
    </row>
    <row r="439">
      <c r="C439" s="107"/>
      <c r="F439" s="108"/>
      <c r="G439" s="107"/>
    </row>
    <row r="440">
      <c r="C440" s="107"/>
      <c r="F440" s="108"/>
      <c r="G440" s="107"/>
    </row>
    <row r="441">
      <c r="C441" s="107"/>
      <c r="F441" s="108"/>
      <c r="G441" s="107"/>
    </row>
    <row r="442">
      <c r="C442" s="107"/>
      <c r="F442" s="108"/>
      <c r="G442" s="107"/>
    </row>
    <row r="443">
      <c r="C443" s="107"/>
      <c r="F443" s="108"/>
      <c r="G443" s="107"/>
    </row>
    <row r="444">
      <c r="C444" s="107"/>
      <c r="F444" s="108"/>
      <c r="G444" s="107"/>
    </row>
    <row r="445">
      <c r="C445" s="107"/>
      <c r="F445" s="108"/>
      <c r="G445" s="107"/>
    </row>
    <row r="446">
      <c r="C446" s="107"/>
      <c r="F446" s="108"/>
      <c r="G446" s="107"/>
    </row>
    <row r="447">
      <c r="C447" s="107"/>
      <c r="F447" s="108"/>
      <c r="G447" s="107"/>
    </row>
    <row r="448">
      <c r="C448" s="107"/>
      <c r="F448" s="108"/>
      <c r="G448" s="107"/>
    </row>
    <row r="449">
      <c r="C449" s="107"/>
      <c r="F449" s="108"/>
      <c r="G449" s="107"/>
    </row>
    <row r="450">
      <c r="C450" s="107"/>
      <c r="F450" s="108"/>
      <c r="G450" s="107"/>
    </row>
    <row r="451">
      <c r="C451" s="107"/>
      <c r="F451" s="108"/>
      <c r="G451" s="107"/>
    </row>
    <row r="452">
      <c r="C452" s="107"/>
      <c r="F452" s="108"/>
      <c r="G452" s="107"/>
    </row>
    <row r="453">
      <c r="C453" s="107"/>
      <c r="F453" s="108"/>
      <c r="G453" s="107"/>
    </row>
    <row r="454">
      <c r="C454" s="107"/>
      <c r="F454" s="108"/>
      <c r="G454" s="107"/>
    </row>
    <row r="455">
      <c r="C455" s="107"/>
      <c r="F455" s="108"/>
      <c r="G455" s="107"/>
    </row>
    <row r="456">
      <c r="C456" s="107"/>
      <c r="F456" s="108"/>
      <c r="G456" s="107"/>
    </row>
    <row r="457">
      <c r="C457" s="107"/>
      <c r="F457" s="108"/>
      <c r="G457" s="107"/>
    </row>
    <row r="458">
      <c r="C458" s="107"/>
      <c r="F458" s="108"/>
      <c r="G458" s="107"/>
    </row>
    <row r="459">
      <c r="C459" s="107"/>
      <c r="F459" s="108"/>
      <c r="G459" s="107"/>
    </row>
    <row r="460">
      <c r="C460" s="107"/>
      <c r="F460" s="108"/>
      <c r="G460" s="107"/>
    </row>
    <row r="461">
      <c r="C461" s="107"/>
      <c r="F461" s="108"/>
      <c r="G461" s="107"/>
    </row>
    <row r="462">
      <c r="C462" s="107"/>
      <c r="F462" s="108"/>
      <c r="G462" s="107"/>
    </row>
    <row r="463">
      <c r="C463" s="107"/>
      <c r="F463" s="108"/>
      <c r="G463" s="107"/>
    </row>
    <row r="464">
      <c r="C464" s="107"/>
      <c r="F464" s="108"/>
      <c r="G464" s="107"/>
    </row>
    <row r="465">
      <c r="C465" s="107"/>
      <c r="F465" s="108"/>
      <c r="G465" s="107"/>
    </row>
    <row r="466">
      <c r="C466" s="107"/>
      <c r="F466" s="108"/>
      <c r="G466" s="107"/>
    </row>
    <row r="467">
      <c r="C467" s="107"/>
      <c r="F467" s="108"/>
      <c r="G467" s="107"/>
    </row>
    <row r="468">
      <c r="C468" s="107"/>
      <c r="F468" s="108"/>
      <c r="G468" s="107"/>
    </row>
    <row r="469">
      <c r="C469" s="107"/>
      <c r="F469" s="108"/>
      <c r="G469" s="107"/>
    </row>
    <row r="470">
      <c r="C470" s="107"/>
      <c r="F470" s="108"/>
      <c r="G470" s="107"/>
    </row>
    <row r="471">
      <c r="C471" s="107"/>
      <c r="F471" s="108"/>
      <c r="G471" s="107"/>
    </row>
    <row r="472">
      <c r="C472" s="107"/>
      <c r="F472" s="108"/>
      <c r="G472" s="107"/>
    </row>
    <row r="473">
      <c r="C473" s="107"/>
      <c r="F473" s="108"/>
      <c r="G473" s="107"/>
    </row>
    <row r="474">
      <c r="C474" s="107"/>
      <c r="F474" s="108"/>
      <c r="G474" s="107"/>
    </row>
    <row r="475">
      <c r="C475" s="107"/>
      <c r="F475" s="108"/>
      <c r="G475" s="107"/>
    </row>
    <row r="476">
      <c r="C476" s="107"/>
      <c r="F476" s="108"/>
      <c r="G476" s="107"/>
    </row>
    <row r="477">
      <c r="C477" s="107"/>
      <c r="F477" s="108"/>
      <c r="G477" s="107"/>
    </row>
    <row r="478">
      <c r="C478" s="107"/>
      <c r="F478" s="108"/>
      <c r="G478" s="107"/>
    </row>
    <row r="479">
      <c r="C479" s="107"/>
      <c r="F479" s="108"/>
      <c r="G479" s="107"/>
    </row>
    <row r="480">
      <c r="C480" s="107"/>
      <c r="F480" s="108"/>
      <c r="G480" s="107"/>
    </row>
    <row r="481">
      <c r="C481" s="107"/>
      <c r="F481" s="108"/>
      <c r="G481" s="107"/>
    </row>
    <row r="482">
      <c r="C482" s="107"/>
      <c r="F482" s="108"/>
      <c r="G482" s="107"/>
    </row>
    <row r="483">
      <c r="C483" s="107"/>
      <c r="F483" s="108"/>
      <c r="G483" s="107"/>
    </row>
    <row r="484">
      <c r="C484" s="107"/>
      <c r="F484" s="108"/>
      <c r="G484" s="107"/>
    </row>
    <row r="485">
      <c r="C485" s="107"/>
      <c r="F485" s="108"/>
      <c r="G485" s="107"/>
    </row>
    <row r="486">
      <c r="C486" s="107"/>
      <c r="F486" s="108"/>
      <c r="G486" s="107"/>
    </row>
    <row r="487">
      <c r="C487" s="107"/>
      <c r="F487" s="108"/>
      <c r="G487" s="107"/>
    </row>
    <row r="488">
      <c r="C488" s="107"/>
      <c r="F488" s="108"/>
      <c r="G488" s="107"/>
    </row>
    <row r="489">
      <c r="C489" s="107"/>
      <c r="F489" s="108"/>
      <c r="G489" s="107"/>
    </row>
    <row r="490">
      <c r="C490" s="107"/>
      <c r="F490" s="108"/>
      <c r="G490" s="107"/>
    </row>
    <row r="491">
      <c r="C491" s="107"/>
      <c r="F491" s="108"/>
      <c r="G491" s="107"/>
    </row>
    <row r="492">
      <c r="C492" s="107"/>
      <c r="F492" s="108"/>
      <c r="G492" s="107"/>
    </row>
    <row r="493">
      <c r="C493" s="107"/>
      <c r="F493" s="108"/>
      <c r="G493" s="107"/>
    </row>
    <row r="494">
      <c r="C494" s="107"/>
      <c r="F494" s="108"/>
      <c r="G494" s="107"/>
    </row>
    <row r="495">
      <c r="C495" s="107"/>
      <c r="F495" s="108"/>
      <c r="G495" s="107"/>
    </row>
    <row r="496">
      <c r="C496" s="107"/>
      <c r="F496" s="108"/>
      <c r="G496" s="107"/>
    </row>
    <row r="497">
      <c r="C497" s="107"/>
      <c r="F497" s="108"/>
      <c r="G497" s="107"/>
    </row>
    <row r="498">
      <c r="C498" s="107"/>
      <c r="F498" s="108"/>
      <c r="G498" s="107"/>
    </row>
    <row r="499">
      <c r="C499" s="107"/>
      <c r="F499" s="108"/>
      <c r="G499" s="107"/>
    </row>
    <row r="500">
      <c r="C500" s="107"/>
      <c r="F500" s="108"/>
      <c r="G500" s="107"/>
    </row>
    <row r="501">
      <c r="C501" s="107"/>
      <c r="F501" s="108"/>
      <c r="G501" s="107"/>
    </row>
    <row r="502">
      <c r="C502" s="107"/>
      <c r="F502" s="108"/>
      <c r="G502" s="107"/>
    </row>
    <row r="503">
      <c r="C503" s="107"/>
      <c r="F503" s="108"/>
      <c r="G503" s="107"/>
    </row>
    <row r="504">
      <c r="C504" s="107"/>
      <c r="F504" s="108"/>
      <c r="G504" s="107"/>
    </row>
    <row r="505">
      <c r="C505" s="107"/>
      <c r="F505" s="108"/>
      <c r="G505" s="107"/>
    </row>
    <row r="506">
      <c r="C506" s="107"/>
      <c r="F506" s="108"/>
      <c r="G506" s="107"/>
    </row>
    <row r="507">
      <c r="C507" s="107"/>
      <c r="F507" s="108"/>
      <c r="G507" s="107"/>
    </row>
    <row r="508">
      <c r="C508" s="107"/>
      <c r="F508" s="108"/>
      <c r="G508" s="107"/>
    </row>
    <row r="509">
      <c r="C509" s="107"/>
      <c r="F509" s="108"/>
      <c r="G509" s="107"/>
    </row>
    <row r="510">
      <c r="C510" s="107"/>
      <c r="F510" s="108"/>
      <c r="G510" s="107"/>
    </row>
    <row r="511">
      <c r="C511" s="107"/>
      <c r="F511" s="108"/>
      <c r="G511" s="107"/>
    </row>
    <row r="512">
      <c r="C512" s="107"/>
      <c r="F512" s="108"/>
      <c r="G512" s="107"/>
    </row>
    <row r="513">
      <c r="C513" s="107"/>
      <c r="F513" s="108"/>
      <c r="G513" s="107"/>
    </row>
    <row r="514">
      <c r="C514" s="107"/>
      <c r="F514" s="108"/>
      <c r="G514" s="107"/>
    </row>
    <row r="515">
      <c r="C515" s="107"/>
      <c r="F515" s="108"/>
      <c r="G515" s="107"/>
    </row>
    <row r="516">
      <c r="C516" s="107"/>
      <c r="F516" s="108"/>
      <c r="G516" s="107"/>
    </row>
    <row r="517">
      <c r="C517" s="107"/>
      <c r="F517" s="108"/>
      <c r="G517" s="107"/>
    </row>
    <row r="518">
      <c r="C518" s="107"/>
      <c r="F518" s="108"/>
      <c r="G518" s="107"/>
    </row>
    <row r="519">
      <c r="C519" s="107"/>
      <c r="F519" s="108"/>
      <c r="G519" s="107"/>
    </row>
    <row r="520">
      <c r="C520" s="107"/>
      <c r="F520" s="108"/>
      <c r="G520" s="107"/>
    </row>
    <row r="521">
      <c r="C521" s="107"/>
      <c r="F521" s="108"/>
      <c r="G521" s="107"/>
    </row>
    <row r="522">
      <c r="C522" s="107"/>
      <c r="F522" s="108"/>
      <c r="G522" s="107"/>
    </row>
    <row r="523">
      <c r="C523" s="107"/>
      <c r="F523" s="108"/>
      <c r="G523" s="107"/>
    </row>
    <row r="524">
      <c r="C524" s="107"/>
      <c r="F524" s="108"/>
      <c r="G524" s="107"/>
    </row>
    <row r="525">
      <c r="C525" s="107"/>
      <c r="F525" s="108"/>
      <c r="G525" s="107"/>
    </row>
    <row r="526">
      <c r="C526" s="107"/>
      <c r="F526" s="108"/>
      <c r="G526" s="107"/>
    </row>
    <row r="527">
      <c r="C527" s="107"/>
      <c r="F527" s="108"/>
      <c r="G527" s="107"/>
    </row>
    <row r="528">
      <c r="C528" s="107"/>
      <c r="F528" s="108"/>
      <c r="G528" s="107"/>
    </row>
    <row r="529">
      <c r="C529" s="107"/>
      <c r="F529" s="108"/>
      <c r="G529" s="107"/>
    </row>
    <row r="530">
      <c r="C530" s="107"/>
      <c r="F530" s="108"/>
      <c r="G530" s="107"/>
    </row>
    <row r="531">
      <c r="C531" s="107"/>
      <c r="F531" s="108"/>
      <c r="G531" s="107"/>
    </row>
    <row r="532">
      <c r="C532" s="107"/>
      <c r="F532" s="108"/>
      <c r="G532" s="107"/>
    </row>
    <row r="533">
      <c r="C533" s="107"/>
      <c r="F533" s="108"/>
      <c r="G533" s="107"/>
    </row>
    <row r="534">
      <c r="C534" s="107"/>
      <c r="F534" s="108"/>
      <c r="G534" s="107"/>
    </row>
    <row r="535">
      <c r="C535" s="107"/>
      <c r="F535" s="108"/>
      <c r="G535" s="107"/>
    </row>
    <row r="536">
      <c r="C536" s="107"/>
      <c r="F536" s="108"/>
      <c r="G536" s="107"/>
    </row>
    <row r="537">
      <c r="C537" s="107"/>
      <c r="F537" s="108"/>
      <c r="G537" s="107"/>
    </row>
    <row r="538">
      <c r="C538" s="107"/>
      <c r="F538" s="108"/>
      <c r="G538" s="107"/>
    </row>
    <row r="539">
      <c r="C539" s="107"/>
      <c r="F539" s="108"/>
      <c r="G539" s="107"/>
    </row>
    <row r="540">
      <c r="C540" s="107"/>
      <c r="F540" s="108"/>
      <c r="G540" s="107"/>
    </row>
    <row r="541">
      <c r="C541" s="107"/>
      <c r="F541" s="108"/>
      <c r="G541" s="107"/>
    </row>
    <row r="542">
      <c r="C542" s="107"/>
      <c r="F542" s="108"/>
      <c r="G542" s="107"/>
    </row>
    <row r="543">
      <c r="C543" s="107"/>
      <c r="F543" s="108"/>
      <c r="G543" s="107"/>
    </row>
    <row r="544">
      <c r="C544" s="107"/>
      <c r="F544" s="108"/>
      <c r="G544" s="107"/>
    </row>
    <row r="545">
      <c r="C545" s="107"/>
      <c r="F545" s="108"/>
      <c r="G545" s="107"/>
    </row>
    <row r="546">
      <c r="C546" s="107"/>
      <c r="F546" s="108"/>
      <c r="G546" s="107"/>
    </row>
    <row r="547">
      <c r="C547" s="107"/>
      <c r="F547" s="108"/>
      <c r="G547" s="107"/>
    </row>
    <row r="548">
      <c r="C548" s="107"/>
      <c r="F548" s="108"/>
      <c r="G548" s="107"/>
    </row>
    <row r="549">
      <c r="C549" s="107"/>
      <c r="F549" s="108"/>
      <c r="G549" s="107"/>
    </row>
    <row r="550">
      <c r="C550" s="107"/>
      <c r="F550" s="108"/>
      <c r="G550" s="107"/>
    </row>
    <row r="551">
      <c r="C551" s="107"/>
      <c r="F551" s="108"/>
      <c r="G551" s="107"/>
    </row>
    <row r="552">
      <c r="C552" s="107"/>
      <c r="F552" s="108"/>
      <c r="G552" s="107"/>
    </row>
    <row r="553">
      <c r="C553" s="107"/>
      <c r="F553" s="108"/>
      <c r="G553" s="107"/>
    </row>
    <row r="554">
      <c r="C554" s="107"/>
      <c r="F554" s="108"/>
      <c r="G554" s="107"/>
    </row>
    <row r="555">
      <c r="C555" s="107"/>
      <c r="F555" s="108"/>
      <c r="G555" s="107"/>
    </row>
    <row r="556">
      <c r="C556" s="107"/>
      <c r="F556" s="108"/>
      <c r="G556" s="107"/>
    </row>
    <row r="557">
      <c r="C557" s="107"/>
      <c r="F557" s="108"/>
      <c r="G557" s="107"/>
    </row>
    <row r="558">
      <c r="C558" s="107"/>
      <c r="F558" s="108"/>
      <c r="G558" s="107"/>
    </row>
    <row r="559">
      <c r="C559" s="107"/>
      <c r="F559" s="108"/>
      <c r="G559" s="107"/>
    </row>
    <row r="560">
      <c r="C560" s="107"/>
      <c r="F560" s="108"/>
      <c r="G560" s="107"/>
    </row>
    <row r="561">
      <c r="C561" s="107"/>
      <c r="F561" s="108"/>
      <c r="G561" s="107"/>
    </row>
    <row r="562">
      <c r="C562" s="107"/>
      <c r="F562" s="108"/>
      <c r="G562" s="107"/>
    </row>
    <row r="563">
      <c r="C563" s="107"/>
      <c r="F563" s="108"/>
      <c r="G563" s="107"/>
    </row>
    <row r="564">
      <c r="C564" s="107"/>
      <c r="F564" s="108"/>
      <c r="G564" s="107"/>
    </row>
    <row r="565">
      <c r="C565" s="107"/>
      <c r="F565" s="108"/>
      <c r="G565" s="107"/>
    </row>
    <row r="566">
      <c r="C566" s="107"/>
      <c r="F566" s="108"/>
      <c r="G566" s="107"/>
    </row>
    <row r="567">
      <c r="C567" s="107"/>
      <c r="F567" s="108"/>
      <c r="G567" s="107"/>
    </row>
    <row r="568">
      <c r="C568" s="107"/>
      <c r="F568" s="108"/>
      <c r="G568" s="107"/>
    </row>
    <row r="569">
      <c r="C569" s="107"/>
      <c r="F569" s="108"/>
      <c r="G569" s="107"/>
    </row>
    <row r="570">
      <c r="C570" s="107"/>
      <c r="F570" s="108"/>
      <c r="G570" s="107"/>
    </row>
    <row r="571">
      <c r="C571" s="107"/>
      <c r="F571" s="108"/>
      <c r="G571" s="107"/>
    </row>
    <row r="572">
      <c r="C572" s="107"/>
      <c r="F572" s="108"/>
      <c r="G572" s="107"/>
    </row>
    <row r="573">
      <c r="C573" s="107"/>
      <c r="F573" s="108"/>
      <c r="G573" s="107"/>
    </row>
    <row r="574">
      <c r="C574" s="107"/>
      <c r="F574" s="108"/>
      <c r="G574" s="107"/>
    </row>
    <row r="575">
      <c r="C575" s="107"/>
      <c r="F575" s="108"/>
      <c r="G575" s="107"/>
    </row>
    <row r="576">
      <c r="C576" s="107"/>
      <c r="F576" s="108"/>
      <c r="G576" s="107"/>
    </row>
    <row r="577">
      <c r="C577" s="107"/>
      <c r="F577" s="108"/>
      <c r="G577" s="107"/>
    </row>
    <row r="578">
      <c r="C578" s="107"/>
      <c r="F578" s="108"/>
      <c r="G578" s="107"/>
    </row>
    <row r="579">
      <c r="C579" s="107"/>
      <c r="F579" s="108"/>
      <c r="G579" s="107"/>
    </row>
    <row r="580">
      <c r="C580" s="107"/>
      <c r="F580" s="108"/>
      <c r="G580" s="107"/>
    </row>
    <row r="581">
      <c r="C581" s="107"/>
      <c r="F581" s="108"/>
      <c r="G581" s="107"/>
    </row>
    <row r="582">
      <c r="C582" s="107"/>
      <c r="F582" s="108"/>
      <c r="G582" s="107"/>
    </row>
    <row r="583">
      <c r="C583" s="107"/>
      <c r="F583" s="108"/>
      <c r="G583" s="107"/>
    </row>
    <row r="584">
      <c r="C584" s="107"/>
      <c r="F584" s="108"/>
      <c r="G584" s="107"/>
    </row>
    <row r="585">
      <c r="C585" s="107"/>
      <c r="F585" s="108"/>
      <c r="G585" s="107"/>
    </row>
    <row r="586">
      <c r="C586" s="107"/>
      <c r="F586" s="108"/>
      <c r="G586" s="107"/>
    </row>
    <row r="587">
      <c r="C587" s="107"/>
      <c r="F587" s="108"/>
      <c r="G587" s="107"/>
    </row>
    <row r="588">
      <c r="C588" s="107"/>
      <c r="F588" s="108"/>
      <c r="G588" s="107"/>
    </row>
    <row r="589">
      <c r="C589" s="107"/>
      <c r="F589" s="108"/>
      <c r="G589" s="107"/>
    </row>
    <row r="590">
      <c r="C590" s="107"/>
      <c r="F590" s="108"/>
      <c r="G590" s="107"/>
    </row>
    <row r="591">
      <c r="C591" s="107"/>
      <c r="F591" s="108"/>
      <c r="G591" s="107"/>
    </row>
    <row r="592">
      <c r="C592" s="107"/>
      <c r="F592" s="108"/>
      <c r="G592" s="107"/>
    </row>
    <row r="593">
      <c r="C593" s="107"/>
      <c r="F593" s="108"/>
      <c r="G593" s="107"/>
    </row>
    <row r="594">
      <c r="C594" s="107"/>
      <c r="F594" s="108"/>
      <c r="G594" s="107"/>
    </row>
    <row r="595">
      <c r="C595" s="107"/>
      <c r="F595" s="108"/>
      <c r="G595" s="107"/>
    </row>
    <row r="596">
      <c r="C596" s="107"/>
      <c r="F596" s="108"/>
      <c r="G596" s="107"/>
    </row>
    <row r="597">
      <c r="C597" s="107"/>
      <c r="F597" s="108"/>
      <c r="G597" s="107"/>
    </row>
    <row r="598">
      <c r="C598" s="107"/>
      <c r="F598" s="108"/>
      <c r="G598" s="107"/>
    </row>
    <row r="599">
      <c r="C599" s="107"/>
      <c r="F599" s="108"/>
      <c r="G599" s="107"/>
    </row>
    <row r="600">
      <c r="C600" s="107"/>
      <c r="F600" s="108"/>
      <c r="G600" s="107"/>
    </row>
    <row r="601">
      <c r="C601" s="107"/>
      <c r="F601" s="108"/>
      <c r="G601" s="107"/>
    </row>
    <row r="602">
      <c r="C602" s="107"/>
      <c r="F602" s="108"/>
      <c r="G602" s="107"/>
    </row>
    <row r="603">
      <c r="C603" s="107"/>
      <c r="F603" s="108"/>
      <c r="G603" s="107"/>
    </row>
    <row r="604">
      <c r="C604" s="107"/>
      <c r="F604" s="108"/>
      <c r="G604" s="107"/>
    </row>
    <row r="605">
      <c r="C605" s="107"/>
      <c r="F605" s="108"/>
      <c r="G605" s="107"/>
    </row>
    <row r="606">
      <c r="C606" s="107"/>
      <c r="F606" s="108"/>
      <c r="G606" s="107"/>
    </row>
    <row r="607">
      <c r="C607" s="107"/>
      <c r="F607" s="108"/>
      <c r="G607" s="107"/>
    </row>
    <row r="608">
      <c r="C608" s="107"/>
      <c r="F608" s="108"/>
      <c r="G608" s="107"/>
    </row>
    <row r="609">
      <c r="C609" s="107"/>
      <c r="F609" s="108"/>
      <c r="G609" s="107"/>
    </row>
    <row r="610">
      <c r="C610" s="107"/>
      <c r="F610" s="108"/>
      <c r="G610" s="107"/>
    </row>
    <row r="611">
      <c r="C611" s="107"/>
      <c r="F611" s="108"/>
      <c r="G611" s="107"/>
    </row>
    <row r="612">
      <c r="C612" s="107"/>
      <c r="F612" s="108"/>
      <c r="G612" s="107"/>
    </row>
    <row r="613">
      <c r="C613" s="107"/>
      <c r="F613" s="108"/>
      <c r="G613" s="107"/>
    </row>
    <row r="614">
      <c r="C614" s="107"/>
      <c r="F614" s="108"/>
      <c r="G614" s="107"/>
    </row>
    <row r="615">
      <c r="C615" s="107"/>
      <c r="F615" s="108"/>
      <c r="G615" s="107"/>
    </row>
    <row r="616">
      <c r="C616" s="107"/>
      <c r="F616" s="108"/>
      <c r="G616" s="107"/>
    </row>
    <row r="617">
      <c r="C617" s="107"/>
      <c r="F617" s="108"/>
      <c r="G617" s="107"/>
    </row>
    <row r="618">
      <c r="C618" s="107"/>
      <c r="F618" s="108"/>
      <c r="G618" s="107"/>
    </row>
    <row r="619">
      <c r="C619" s="107"/>
      <c r="F619" s="108"/>
      <c r="G619" s="107"/>
    </row>
    <row r="620">
      <c r="C620" s="107"/>
      <c r="F620" s="108"/>
      <c r="G620" s="107"/>
    </row>
    <row r="621">
      <c r="C621" s="107"/>
      <c r="F621" s="108"/>
      <c r="G621" s="107"/>
    </row>
    <row r="622">
      <c r="C622" s="107"/>
      <c r="F622" s="108"/>
      <c r="G622" s="107"/>
    </row>
    <row r="623">
      <c r="C623" s="107"/>
      <c r="F623" s="108"/>
      <c r="G623" s="107"/>
    </row>
    <row r="624">
      <c r="C624" s="107"/>
      <c r="F624" s="108"/>
      <c r="G624" s="107"/>
    </row>
    <row r="625">
      <c r="C625" s="107"/>
      <c r="F625" s="108"/>
      <c r="G625" s="107"/>
    </row>
    <row r="626">
      <c r="C626" s="107"/>
      <c r="F626" s="108"/>
      <c r="G626" s="107"/>
    </row>
    <row r="627">
      <c r="C627" s="107"/>
      <c r="F627" s="108"/>
      <c r="G627" s="107"/>
    </row>
    <row r="628">
      <c r="C628" s="107"/>
      <c r="F628" s="108"/>
      <c r="G628" s="107"/>
    </row>
    <row r="629">
      <c r="C629" s="107"/>
      <c r="F629" s="108"/>
      <c r="G629" s="107"/>
    </row>
    <row r="630">
      <c r="C630" s="107"/>
      <c r="F630" s="108"/>
      <c r="G630" s="107"/>
    </row>
    <row r="631">
      <c r="C631" s="107"/>
      <c r="F631" s="108"/>
      <c r="G631" s="107"/>
    </row>
    <row r="632">
      <c r="C632" s="107"/>
      <c r="F632" s="108"/>
      <c r="G632" s="107"/>
    </row>
    <row r="633">
      <c r="C633" s="107"/>
      <c r="F633" s="108"/>
      <c r="G633" s="107"/>
    </row>
    <row r="634">
      <c r="C634" s="107"/>
      <c r="F634" s="108"/>
      <c r="G634" s="107"/>
    </row>
    <row r="635">
      <c r="C635" s="107"/>
      <c r="F635" s="108"/>
      <c r="G635" s="107"/>
    </row>
    <row r="636">
      <c r="C636" s="107"/>
      <c r="F636" s="108"/>
      <c r="G636" s="107"/>
    </row>
    <row r="637">
      <c r="C637" s="107"/>
      <c r="F637" s="108"/>
      <c r="G637" s="107"/>
    </row>
    <row r="638">
      <c r="C638" s="107"/>
      <c r="F638" s="108"/>
      <c r="G638" s="107"/>
    </row>
    <row r="639">
      <c r="C639" s="107"/>
      <c r="F639" s="108"/>
      <c r="G639" s="107"/>
    </row>
    <row r="640">
      <c r="C640" s="107"/>
      <c r="F640" s="108"/>
      <c r="G640" s="107"/>
    </row>
    <row r="641">
      <c r="C641" s="107"/>
      <c r="F641" s="108"/>
      <c r="G641" s="107"/>
    </row>
    <row r="642">
      <c r="C642" s="107"/>
      <c r="F642" s="108"/>
      <c r="G642" s="107"/>
    </row>
    <row r="643">
      <c r="C643" s="107"/>
      <c r="F643" s="108"/>
      <c r="G643" s="107"/>
    </row>
    <row r="644">
      <c r="C644" s="107"/>
      <c r="F644" s="108"/>
      <c r="G644" s="107"/>
    </row>
    <row r="645">
      <c r="C645" s="107"/>
      <c r="F645" s="108"/>
      <c r="G645" s="107"/>
    </row>
    <row r="646">
      <c r="C646" s="107"/>
      <c r="F646" s="108"/>
      <c r="G646" s="107"/>
    </row>
    <row r="647">
      <c r="C647" s="107"/>
      <c r="F647" s="108"/>
      <c r="G647" s="107"/>
    </row>
    <row r="648">
      <c r="C648" s="107"/>
      <c r="F648" s="108"/>
      <c r="G648" s="107"/>
    </row>
    <row r="649">
      <c r="C649" s="107"/>
      <c r="F649" s="108"/>
      <c r="G649" s="107"/>
    </row>
    <row r="650">
      <c r="C650" s="107"/>
      <c r="F650" s="108"/>
      <c r="G650" s="107"/>
    </row>
    <row r="651">
      <c r="C651" s="107"/>
      <c r="F651" s="108"/>
      <c r="G651" s="107"/>
    </row>
    <row r="652">
      <c r="C652" s="107"/>
      <c r="F652" s="108"/>
      <c r="G652" s="107"/>
    </row>
    <row r="653">
      <c r="C653" s="107"/>
      <c r="F653" s="108"/>
      <c r="G653" s="107"/>
    </row>
    <row r="654">
      <c r="C654" s="107"/>
      <c r="F654" s="108"/>
      <c r="G654" s="107"/>
    </row>
    <row r="655">
      <c r="C655" s="107"/>
      <c r="F655" s="108"/>
      <c r="G655" s="107"/>
    </row>
    <row r="656">
      <c r="C656" s="107"/>
      <c r="F656" s="108"/>
      <c r="G656" s="107"/>
    </row>
    <row r="657">
      <c r="C657" s="107"/>
      <c r="F657" s="108"/>
      <c r="G657" s="107"/>
    </row>
    <row r="658">
      <c r="C658" s="107"/>
      <c r="F658" s="108"/>
      <c r="G658" s="107"/>
    </row>
    <row r="659">
      <c r="C659" s="107"/>
      <c r="F659" s="108"/>
      <c r="G659" s="107"/>
    </row>
    <row r="660">
      <c r="C660" s="107"/>
      <c r="F660" s="108"/>
      <c r="G660" s="107"/>
    </row>
    <row r="661">
      <c r="C661" s="107"/>
      <c r="F661" s="108"/>
      <c r="G661" s="107"/>
    </row>
    <row r="662">
      <c r="C662" s="107"/>
      <c r="F662" s="108"/>
      <c r="G662" s="107"/>
    </row>
    <row r="663">
      <c r="C663" s="107"/>
      <c r="F663" s="108"/>
      <c r="G663" s="107"/>
    </row>
    <row r="664">
      <c r="C664" s="107"/>
      <c r="F664" s="108"/>
      <c r="G664" s="107"/>
    </row>
    <row r="665">
      <c r="C665" s="107"/>
      <c r="F665" s="108"/>
      <c r="G665" s="107"/>
    </row>
    <row r="666">
      <c r="C666" s="107"/>
      <c r="F666" s="108"/>
      <c r="G666" s="107"/>
    </row>
    <row r="667">
      <c r="C667" s="107"/>
      <c r="F667" s="108"/>
      <c r="G667" s="107"/>
    </row>
    <row r="668">
      <c r="C668" s="107"/>
      <c r="F668" s="108"/>
      <c r="G668" s="107"/>
    </row>
    <row r="669">
      <c r="C669" s="107"/>
      <c r="F669" s="108"/>
      <c r="G669" s="107"/>
    </row>
    <row r="670">
      <c r="C670" s="107"/>
      <c r="F670" s="108"/>
      <c r="G670" s="107"/>
    </row>
    <row r="671">
      <c r="C671" s="107"/>
      <c r="F671" s="108"/>
      <c r="G671" s="107"/>
    </row>
    <row r="672">
      <c r="C672" s="107"/>
      <c r="F672" s="108"/>
      <c r="G672" s="107"/>
    </row>
    <row r="673">
      <c r="C673" s="107"/>
      <c r="F673" s="108"/>
      <c r="G673" s="107"/>
    </row>
    <row r="674">
      <c r="C674" s="107"/>
      <c r="F674" s="108"/>
      <c r="G674" s="107"/>
    </row>
    <row r="675">
      <c r="C675" s="107"/>
      <c r="F675" s="108"/>
      <c r="G675" s="107"/>
    </row>
    <row r="676">
      <c r="C676" s="107"/>
      <c r="F676" s="108"/>
      <c r="G676" s="107"/>
    </row>
    <row r="677">
      <c r="C677" s="107"/>
      <c r="F677" s="108"/>
      <c r="G677" s="107"/>
    </row>
    <row r="678">
      <c r="C678" s="107"/>
      <c r="F678" s="108"/>
      <c r="G678" s="107"/>
    </row>
    <row r="679">
      <c r="C679" s="107"/>
      <c r="F679" s="108"/>
      <c r="G679" s="107"/>
    </row>
    <row r="680">
      <c r="C680" s="107"/>
      <c r="F680" s="108"/>
      <c r="G680" s="107"/>
    </row>
    <row r="681">
      <c r="C681" s="107"/>
      <c r="F681" s="108"/>
      <c r="G681" s="107"/>
    </row>
    <row r="682">
      <c r="C682" s="107"/>
      <c r="F682" s="108"/>
      <c r="G682" s="107"/>
    </row>
    <row r="683">
      <c r="C683" s="107"/>
      <c r="F683" s="108"/>
      <c r="G683" s="107"/>
    </row>
    <row r="684">
      <c r="C684" s="107"/>
      <c r="F684" s="108"/>
      <c r="G684" s="107"/>
    </row>
    <row r="685">
      <c r="C685" s="107"/>
      <c r="F685" s="108"/>
      <c r="G685" s="107"/>
    </row>
    <row r="686">
      <c r="C686" s="107"/>
      <c r="F686" s="108"/>
      <c r="G686" s="107"/>
    </row>
    <row r="687">
      <c r="C687" s="107"/>
      <c r="F687" s="108"/>
      <c r="G687" s="107"/>
    </row>
    <row r="688">
      <c r="C688" s="107"/>
      <c r="F688" s="108"/>
      <c r="G688" s="107"/>
    </row>
    <row r="689">
      <c r="C689" s="107"/>
      <c r="F689" s="108"/>
      <c r="G689" s="107"/>
    </row>
    <row r="690">
      <c r="C690" s="107"/>
      <c r="F690" s="108"/>
      <c r="G690" s="107"/>
    </row>
    <row r="691">
      <c r="C691" s="107"/>
      <c r="F691" s="108"/>
      <c r="G691" s="107"/>
    </row>
    <row r="692">
      <c r="C692" s="107"/>
      <c r="F692" s="108"/>
      <c r="G692" s="107"/>
    </row>
    <row r="693">
      <c r="C693" s="107"/>
      <c r="F693" s="108"/>
      <c r="G693" s="107"/>
    </row>
    <row r="694">
      <c r="C694" s="107"/>
      <c r="F694" s="108"/>
      <c r="G694" s="107"/>
    </row>
    <row r="695">
      <c r="C695" s="107"/>
      <c r="F695" s="108"/>
      <c r="G695" s="107"/>
    </row>
    <row r="696">
      <c r="C696" s="107"/>
      <c r="F696" s="108"/>
      <c r="G696" s="107"/>
    </row>
    <row r="697">
      <c r="C697" s="107"/>
      <c r="F697" s="108"/>
      <c r="G697" s="107"/>
    </row>
    <row r="698">
      <c r="C698" s="107"/>
      <c r="F698" s="108"/>
      <c r="G698" s="107"/>
    </row>
    <row r="699">
      <c r="C699" s="107"/>
      <c r="F699" s="108"/>
      <c r="G699" s="107"/>
    </row>
    <row r="700">
      <c r="C700" s="107"/>
      <c r="F700" s="108"/>
      <c r="G700" s="107"/>
    </row>
    <row r="701">
      <c r="C701" s="107"/>
      <c r="F701" s="108"/>
      <c r="G701" s="107"/>
    </row>
    <row r="702">
      <c r="C702" s="107"/>
      <c r="F702" s="108"/>
      <c r="G702" s="107"/>
    </row>
    <row r="703">
      <c r="C703" s="107"/>
      <c r="F703" s="108"/>
      <c r="G703" s="107"/>
    </row>
    <row r="704">
      <c r="C704" s="107"/>
      <c r="F704" s="108"/>
      <c r="G704" s="107"/>
    </row>
    <row r="705">
      <c r="C705" s="107"/>
      <c r="F705" s="108"/>
      <c r="G705" s="107"/>
    </row>
    <row r="706">
      <c r="C706" s="107"/>
      <c r="F706" s="108"/>
      <c r="G706" s="107"/>
    </row>
    <row r="707">
      <c r="C707" s="107"/>
      <c r="F707" s="108"/>
      <c r="G707" s="107"/>
    </row>
    <row r="708">
      <c r="C708" s="107"/>
      <c r="F708" s="108"/>
      <c r="G708" s="107"/>
    </row>
    <row r="709">
      <c r="C709" s="107"/>
      <c r="F709" s="108"/>
      <c r="G709" s="107"/>
    </row>
    <row r="710">
      <c r="C710" s="107"/>
      <c r="F710" s="108"/>
      <c r="G710" s="107"/>
    </row>
    <row r="711">
      <c r="C711" s="107"/>
      <c r="F711" s="108"/>
      <c r="G711" s="107"/>
    </row>
    <row r="712">
      <c r="C712" s="107"/>
      <c r="F712" s="108"/>
      <c r="G712" s="107"/>
    </row>
    <row r="713">
      <c r="C713" s="107"/>
      <c r="F713" s="108"/>
      <c r="G713" s="107"/>
    </row>
    <row r="714">
      <c r="C714" s="107"/>
      <c r="F714" s="108"/>
      <c r="G714" s="107"/>
    </row>
    <row r="715">
      <c r="C715" s="107"/>
      <c r="F715" s="108"/>
      <c r="G715" s="107"/>
    </row>
    <row r="716">
      <c r="C716" s="107"/>
      <c r="F716" s="108"/>
      <c r="G716" s="107"/>
    </row>
    <row r="717">
      <c r="C717" s="107"/>
      <c r="F717" s="108"/>
      <c r="G717" s="107"/>
    </row>
    <row r="718">
      <c r="C718" s="107"/>
      <c r="F718" s="108"/>
      <c r="G718" s="107"/>
    </row>
    <row r="719">
      <c r="C719" s="107"/>
      <c r="F719" s="108"/>
      <c r="G719" s="107"/>
    </row>
    <row r="720">
      <c r="C720" s="107"/>
      <c r="F720" s="108"/>
      <c r="G720" s="107"/>
    </row>
    <row r="721">
      <c r="C721" s="107"/>
      <c r="F721" s="108"/>
      <c r="G721" s="107"/>
    </row>
    <row r="722">
      <c r="C722" s="107"/>
      <c r="F722" s="108"/>
      <c r="G722" s="107"/>
    </row>
    <row r="723">
      <c r="C723" s="107"/>
      <c r="F723" s="108"/>
      <c r="G723" s="107"/>
    </row>
    <row r="724">
      <c r="C724" s="107"/>
      <c r="F724" s="108"/>
      <c r="G724" s="107"/>
    </row>
    <row r="725">
      <c r="C725" s="107"/>
      <c r="F725" s="108"/>
      <c r="G725" s="107"/>
    </row>
    <row r="726">
      <c r="C726" s="107"/>
      <c r="F726" s="108"/>
      <c r="G726" s="107"/>
    </row>
    <row r="727">
      <c r="C727" s="107"/>
      <c r="F727" s="108"/>
      <c r="G727" s="107"/>
    </row>
    <row r="728">
      <c r="C728" s="107"/>
      <c r="F728" s="108"/>
      <c r="G728" s="107"/>
    </row>
    <row r="729">
      <c r="C729" s="107"/>
      <c r="F729" s="108"/>
      <c r="G729" s="107"/>
    </row>
    <row r="730">
      <c r="C730" s="107"/>
      <c r="F730" s="108"/>
      <c r="G730" s="107"/>
    </row>
    <row r="731">
      <c r="C731" s="107"/>
      <c r="F731" s="108"/>
      <c r="G731" s="107"/>
    </row>
    <row r="732">
      <c r="C732" s="107"/>
      <c r="F732" s="108"/>
      <c r="G732" s="107"/>
    </row>
    <row r="733">
      <c r="C733" s="107"/>
      <c r="F733" s="108"/>
      <c r="G733" s="107"/>
    </row>
    <row r="734">
      <c r="C734" s="107"/>
      <c r="F734" s="108"/>
      <c r="G734" s="107"/>
    </row>
    <row r="735">
      <c r="C735" s="107"/>
      <c r="F735" s="108"/>
      <c r="G735" s="107"/>
    </row>
    <row r="736">
      <c r="C736" s="107"/>
      <c r="F736" s="108"/>
      <c r="G736" s="107"/>
    </row>
    <row r="737">
      <c r="C737" s="107"/>
      <c r="F737" s="108"/>
      <c r="G737" s="107"/>
    </row>
    <row r="738">
      <c r="C738" s="107"/>
      <c r="F738" s="108"/>
      <c r="G738" s="107"/>
    </row>
    <row r="739">
      <c r="C739" s="107"/>
      <c r="F739" s="108"/>
      <c r="G739" s="107"/>
    </row>
    <row r="740">
      <c r="C740" s="107"/>
      <c r="F740" s="108"/>
      <c r="G740" s="107"/>
    </row>
    <row r="741">
      <c r="C741" s="107"/>
      <c r="F741" s="108"/>
      <c r="G741" s="107"/>
    </row>
    <row r="742">
      <c r="C742" s="107"/>
      <c r="F742" s="108"/>
      <c r="G742" s="107"/>
    </row>
    <row r="743">
      <c r="C743" s="107"/>
      <c r="F743" s="108"/>
      <c r="G743" s="107"/>
    </row>
    <row r="744">
      <c r="C744" s="107"/>
      <c r="F744" s="108"/>
      <c r="G744" s="107"/>
    </row>
    <row r="745">
      <c r="C745" s="107"/>
      <c r="F745" s="108"/>
      <c r="G745" s="107"/>
    </row>
    <row r="746">
      <c r="C746" s="107"/>
      <c r="F746" s="108"/>
      <c r="G746" s="107"/>
    </row>
    <row r="747">
      <c r="C747" s="107"/>
      <c r="F747" s="108"/>
      <c r="G747" s="107"/>
    </row>
    <row r="748">
      <c r="C748" s="107"/>
      <c r="F748" s="108"/>
      <c r="G748" s="107"/>
    </row>
    <row r="749">
      <c r="C749" s="107"/>
      <c r="F749" s="108"/>
      <c r="G749" s="107"/>
    </row>
    <row r="750">
      <c r="C750" s="107"/>
      <c r="F750" s="108"/>
      <c r="G750" s="107"/>
    </row>
    <row r="751">
      <c r="C751" s="107"/>
      <c r="F751" s="108"/>
      <c r="G751" s="107"/>
    </row>
    <row r="752">
      <c r="C752" s="107"/>
      <c r="F752" s="108"/>
      <c r="G752" s="107"/>
    </row>
    <row r="753">
      <c r="C753" s="107"/>
      <c r="F753" s="108"/>
      <c r="G753" s="107"/>
    </row>
    <row r="754">
      <c r="C754" s="107"/>
      <c r="F754" s="108"/>
      <c r="G754" s="107"/>
    </row>
    <row r="755">
      <c r="C755" s="107"/>
      <c r="F755" s="108"/>
      <c r="G755" s="107"/>
    </row>
    <row r="756">
      <c r="C756" s="107"/>
      <c r="F756" s="108"/>
      <c r="G756" s="107"/>
    </row>
    <row r="757">
      <c r="C757" s="107"/>
      <c r="F757" s="108"/>
      <c r="G757" s="107"/>
    </row>
    <row r="758">
      <c r="C758" s="107"/>
      <c r="F758" s="108"/>
      <c r="G758" s="107"/>
    </row>
    <row r="759">
      <c r="C759" s="107"/>
      <c r="F759" s="108"/>
      <c r="G759" s="107"/>
    </row>
    <row r="760">
      <c r="C760" s="107"/>
      <c r="F760" s="108"/>
      <c r="G760" s="107"/>
    </row>
    <row r="761">
      <c r="C761" s="107"/>
      <c r="F761" s="108"/>
      <c r="G761" s="107"/>
    </row>
    <row r="762">
      <c r="C762" s="107"/>
      <c r="F762" s="108"/>
      <c r="G762" s="107"/>
    </row>
    <row r="763">
      <c r="C763" s="107"/>
      <c r="F763" s="108"/>
      <c r="G763" s="107"/>
    </row>
    <row r="764">
      <c r="C764" s="107"/>
      <c r="F764" s="108"/>
      <c r="G764" s="107"/>
    </row>
    <row r="765">
      <c r="C765" s="107"/>
      <c r="F765" s="108"/>
      <c r="G765" s="107"/>
    </row>
    <row r="766">
      <c r="C766" s="107"/>
      <c r="F766" s="108"/>
      <c r="G766" s="107"/>
    </row>
    <row r="767">
      <c r="C767" s="107"/>
      <c r="F767" s="108"/>
      <c r="G767" s="107"/>
    </row>
    <row r="768">
      <c r="C768" s="107"/>
      <c r="F768" s="108"/>
      <c r="G768" s="107"/>
    </row>
    <row r="769">
      <c r="C769" s="107"/>
      <c r="F769" s="108"/>
      <c r="G769" s="107"/>
    </row>
    <row r="770">
      <c r="C770" s="107"/>
      <c r="F770" s="108"/>
      <c r="G770" s="107"/>
    </row>
    <row r="771">
      <c r="C771" s="107"/>
      <c r="F771" s="108"/>
      <c r="G771" s="107"/>
    </row>
    <row r="772">
      <c r="C772" s="107"/>
      <c r="F772" s="108"/>
      <c r="G772" s="107"/>
    </row>
    <row r="773">
      <c r="C773" s="107"/>
      <c r="F773" s="108"/>
      <c r="G773" s="107"/>
    </row>
    <row r="774">
      <c r="C774" s="107"/>
      <c r="F774" s="108"/>
      <c r="G774" s="107"/>
    </row>
    <row r="775">
      <c r="C775" s="107"/>
      <c r="F775" s="108"/>
      <c r="G775" s="107"/>
    </row>
    <row r="776">
      <c r="C776" s="107"/>
      <c r="F776" s="108"/>
      <c r="G776" s="107"/>
    </row>
    <row r="777">
      <c r="C777" s="107"/>
      <c r="F777" s="108"/>
      <c r="G777" s="107"/>
    </row>
    <row r="778">
      <c r="C778" s="107"/>
      <c r="F778" s="108"/>
      <c r="G778" s="107"/>
    </row>
    <row r="779">
      <c r="C779" s="107"/>
      <c r="F779" s="108"/>
      <c r="G779" s="107"/>
    </row>
    <row r="780">
      <c r="C780" s="107"/>
      <c r="F780" s="108"/>
      <c r="G780" s="107"/>
    </row>
    <row r="781">
      <c r="C781" s="107"/>
      <c r="F781" s="108"/>
      <c r="G781" s="107"/>
    </row>
    <row r="782">
      <c r="C782" s="107"/>
      <c r="F782" s="108"/>
      <c r="G782" s="107"/>
    </row>
    <row r="783">
      <c r="C783" s="107"/>
      <c r="F783" s="108"/>
      <c r="G783" s="107"/>
    </row>
    <row r="784">
      <c r="C784" s="107"/>
      <c r="F784" s="108"/>
      <c r="G784" s="107"/>
    </row>
    <row r="785">
      <c r="C785" s="107"/>
      <c r="F785" s="108"/>
      <c r="G785" s="107"/>
    </row>
    <row r="786">
      <c r="C786" s="107"/>
      <c r="F786" s="108"/>
      <c r="G786" s="107"/>
    </row>
    <row r="787">
      <c r="C787" s="107"/>
      <c r="F787" s="108"/>
      <c r="G787" s="107"/>
    </row>
    <row r="788">
      <c r="C788" s="107"/>
      <c r="F788" s="108"/>
      <c r="G788" s="107"/>
    </row>
    <row r="789">
      <c r="C789" s="107"/>
      <c r="F789" s="108"/>
      <c r="G789" s="107"/>
    </row>
    <row r="790">
      <c r="C790" s="107"/>
      <c r="F790" s="108"/>
      <c r="G790" s="107"/>
    </row>
    <row r="791">
      <c r="C791" s="107"/>
      <c r="F791" s="108"/>
      <c r="G791" s="107"/>
    </row>
    <row r="792">
      <c r="C792" s="107"/>
      <c r="F792" s="108"/>
      <c r="G792" s="107"/>
    </row>
    <row r="793">
      <c r="C793" s="107"/>
      <c r="F793" s="108"/>
      <c r="G793" s="107"/>
    </row>
    <row r="794">
      <c r="C794" s="107"/>
      <c r="F794" s="108"/>
      <c r="G794" s="107"/>
    </row>
    <row r="795">
      <c r="C795" s="107"/>
      <c r="F795" s="108"/>
      <c r="G795" s="107"/>
    </row>
    <row r="796">
      <c r="C796" s="107"/>
      <c r="F796" s="108"/>
      <c r="G796" s="107"/>
    </row>
    <row r="797">
      <c r="C797" s="107"/>
      <c r="F797" s="108"/>
      <c r="G797" s="107"/>
    </row>
    <row r="798">
      <c r="C798" s="107"/>
      <c r="F798" s="108"/>
      <c r="G798" s="107"/>
    </row>
    <row r="799">
      <c r="C799" s="107"/>
      <c r="F799" s="108"/>
      <c r="G799" s="107"/>
    </row>
    <row r="800">
      <c r="C800" s="107"/>
      <c r="F800" s="108"/>
      <c r="G800" s="107"/>
    </row>
    <row r="801">
      <c r="C801" s="107"/>
      <c r="F801" s="108"/>
      <c r="G801" s="107"/>
    </row>
    <row r="802">
      <c r="C802" s="107"/>
      <c r="F802" s="108"/>
      <c r="G802" s="107"/>
    </row>
    <row r="803">
      <c r="C803" s="107"/>
      <c r="F803" s="108"/>
      <c r="G803" s="107"/>
    </row>
    <row r="804">
      <c r="C804" s="107"/>
      <c r="F804" s="108"/>
      <c r="G804" s="107"/>
    </row>
    <row r="805">
      <c r="C805" s="107"/>
      <c r="F805" s="108"/>
      <c r="G805" s="107"/>
    </row>
    <row r="806">
      <c r="C806" s="107"/>
      <c r="F806" s="108"/>
      <c r="G806" s="107"/>
    </row>
    <row r="807">
      <c r="C807" s="107"/>
      <c r="F807" s="108"/>
      <c r="G807" s="107"/>
    </row>
    <row r="808">
      <c r="C808" s="107"/>
      <c r="F808" s="108"/>
      <c r="G808" s="107"/>
    </row>
    <row r="809">
      <c r="C809" s="107"/>
      <c r="F809" s="108"/>
      <c r="G809" s="107"/>
    </row>
    <row r="810">
      <c r="C810" s="107"/>
      <c r="F810" s="108"/>
      <c r="G810" s="107"/>
    </row>
    <row r="811">
      <c r="C811" s="107"/>
      <c r="F811" s="108"/>
      <c r="G811" s="107"/>
    </row>
    <row r="812">
      <c r="C812" s="107"/>
      <c r="F812" s="108"/>
      <c r="G812" s="107"/>
    </row>
    <row r="813">
      <c r="C813" s="107"/>
      <c r="F813" s="108"/>
      <c r="G813" s="107"/>
    </row>
    <row r="814">
      <c r="C814" s="107"/>
      <c r="F814" s="108"/>
      <c r="G814" s="107"/>
    </row>
    <row r="815">
      <c r="C815" s="107"/>
      <c r="F815" s="108"/>
      <c r="G815" s="107"/>
    </row>
    <row r="816">
      <c r="C816" s="107"/>
      <c r="F816" s="108"/>
      <c r="G816" s="107"/>
    </row>
    <row r="817">
      <c r="C817" s="107"/>
      <c r="F817" s="108"/>
      <c r="G817" s="107"/>
    </row>
    <row r="818">
      <c r="C818" s="107"/>
      <c r="F818" s="108"/>
      <c r="G818" s="107"/>
    </row>
    <row r="819">
      <c r="C819" s="107"/>
      <c r="F819" s="108"/>
      <c r="G819" s="107"/>
    </row>
    <row r="820">
      <c r="C820" s="107"/>
      <c r="F820" s="108"/>
      <c r="G820" s="107"/>
    </row>
    <row r="821">
      <c r="C821" s="107"/>
      <c r="F821" s="108"/>
      <c r="G821" s="107"/>
    </row>
    <row r="822">
      <c r="C822" s="107"/>
      <c r="F822" s="108"/>
      <c r="G822" s="107"/>
    </row>
    <row r="823">
      <c r="C823" s="107"/>
      <c r="F823" s="108"/>
      <c r="G823" s="107"/>
    </row>
    <row r="824">
      <c r="C824" s="107"/>
      <c r="F824" s="108"/>
      <c r="G824" s="107"/>
    </row>
    <row r="825">
      <c r="C825" s="107"/>
      <c r="F825" s="108"/>
      <c r="G825" s="107"/>
    </row>
    <row r="826">
      <c r="C826" s="107"/>
      <c r="F826" s="108"/>
      <c r="G826" s="107"/>
    </row>
    <row r="827">
      <c r="C827" s="107"/>
      <c r="F827" s="108"/>
      <c r="G827" s="107"/>
    </row>
    <row r="828">
      <c r="C828" s="107"/>
      <c r="F828" s="108"/>
      <c r="G828" s="107"/>
    </row>
    <row r="829">
      <c r="C829" s="107"/>
      <c r="F829" s="108"/>
      <c r="G829" s="107"/>
    </row>
    <row r="830">
      <c r="C830" s="107"/>
      <c r="F830" s="108"/>
      <c r="G830" s="107"/>
    </row>
    <row r="831">
      <c r="C831" s="107"/>
      <c r="F831" s="108"/>
      <c r="G831" s="107"/>
    </row>
    <row r="832">
      <c r="C832" s="107"/>
      <c r="F832" s="108"/>
      <c r="G832" s="107"/>
    </row>
    <row r="833">
      <c r="C833" s="107"/>
      <c r="F833" s="108"/>
      <c r="G833" s="107"/>
    </row>
    <row r="834">
      <c r="C834" s="107"/>
      <c r="F834" s="108"/>
      <c r="G834" s="107"/>
    </row>
    <row r="835">
      <c r="C835" s="107"/>
      <c r="F835" s="108"/>
      <c r="G835" s="107"/>
    </row>
    <row r="836">
      <c r="C836" s="107"/>
      <c r="F836" s="108"/>
      <c r="G836" s="107"/>
    </row>
    <row r="837">
      <c r="C837" s="107"/>
      <c r="F837" s="108"/>
      <c r="G837" s="107"/>
    </row>
    <row r="838">
      <c r="C838" s="107"/>
      <c r="F838" s="108"/>
      <c r="G838" s="107"/>
    </row>
    <row r="839">
      <c r="C839" s="107"/>
      <c r="F839" s="108"/>
      <c r="G839" s="107"/>
    </row>
    <row r="840">
      <c r="C840" s="107"/>
      <c r="F840" s="108"/>
      <c r="G840" s="107"/>
    </row>
    <row r="841">
      <c r="C841" s="107"/>
      <c r="F841" s="108"/>
      <c r="G841" s="107"/>
    </row>
    <row r="842">
      <c r="C842" s="107"/>
      <c r="F842" s="108"/>
      <c r="G842" s="107"/>
    </row>
    <row r="843">
      <c r="C843" s="107"/>
      <c r="F843" s="108"/>
      <c r="G843" s="107"/>
    </row>
    <row r="844">
      <c r="C844" s="107"/>
      <c r="F844" s="108"/>
      <c r="G844" s="107"/>
    </row>
    <row r="845">
      <c r="C845" s="107"/>
      <c r="F845" s="108"/>
      <c r="G845" s="107"/>
    </row>
    <row r="846">
      <c r="C846" s="107"/>
      <c r="F846" s="108"/>
      <c r="G846" s="107"/>
    </row>
    <row r="847">
      <c r="C847" s="107"/>
      <c r="F847" s="108"/>
      <c r="G847" s="107"/>
    </row>
    <row r="848">
      <c r="C848" s="107"/>
      <c r="F848" s="108"/>
      <c r="G848" s="107"/>
    </row>
    <row r="849">
      <c r="C849" s="107"/>
      <c r="F849" s="108"/>
      <c r="G849" s="107"/>
    </row>
    <row r="850">
      <c r="C850" s="107"/>
      <c r="F850" s="108"/>
      <c r="G850" s="107"/>
    </row>
    <row r="851">
      <c r="C851" s="107"/>
      <c r="F851" s="108"/>
      <c r="G851" s="107"/>
    </row>
    <row r="852">
      <c r="C852" s="107"/>
      <c r="F852" s="108"/>
      <c r="G852" s="107"/>
    </row>
    <row r="853">
      <c r="C853" s="107"/>
      <c r="F853" s="108"/>
      <c r="G853" s="107"/>
    </row>
    <row r="854">
      <c r="C854" s="107"/>
      <c r="F854" s="108"/>
      <c r="G854" s="107"/>
    </row>
    <row r="855">
      <c r="C855" s="107"/>
      <c r="F855" s="108"/>
      <c r="G855" s="107"/>
    </row>
    <row r="856">
      <c r="C856" s="107"/>
      <c r="F856" s="108"/>
      <c r="G856" s="107"/>
    </row>
    <row r="857">
      <c r="C857" s="107"/>
      <c r="F857" s="108"/>
      <c r="G857" s="107"/>
    </row>
    <row r="858">
      <c r="C858" s="107"/>
      <c r="F858" s="108"/>
      <c r="G858" s="107"/>
    </row>
    <row r="859">
      <c r="C859" s="107"/>
      <c r="F859" s="108"/>
      <c r="G859" s="107"/>
    </row>
    <row r="860">
      <c r="C860" s="107"/>
      <c r="F860" s="108"/>
      <c r="G860" s="107"/>
    </row>
    <row r="861">
      <c r="C861" s="107"/>
      <c r="F861" s="108"/>
      <c r="G861" s="107"/>
    </row>
    <row r="862">
      <c r="C862" s="107"/>
      <c r="F862" s="108"/>
      <c r="G862" s="107"/>
    </row>
    <row r="863">
      <c r="C863" s="107"/>
      <c r="F863" s="108"/>
      <c r="G863" s="107"/>
    </row>
    <row r="864">
      <c r="C864" s="107"/>
      <c r="F864" s="108"/>
      <c r="G864" s="107"/>
    </row>
    <row r="865">
      <c r="C865" s="107"/>
      <c r="F865" s="108"/>
      <c r="G865" s="107"/>
    </row>
    <row r="866">
      <c r="C866" s="107"/>
      <c r="F866" s="108"/>
      <c r="G866" s="107"/>
    </row>
    <row r="867">
      <c r="C867" s="107"/>
      <c r="F867" s="108"/>
      <c r="G867" s="107"/>
    </row>
    <row r="868">
      <c r="C868" s="107"/>
      <c r="F868" s="108"/>
      <c r="G868" s="107"/>
    </row>
    <row r="869">
      <c r="C869" s="107"/>
      <c r="F869" s="108"/>
      <c r="G869" s="107"/>
    </row>
    <row r="870">
      <c r="C870" s="107"/>
      <c r="F870" s="108"/>
      <c r="G870" s="107"/>
    </row>
    <row r="871">
      <c r="C871" s="107"/>
      <c r="F871" s="108"/>
      <c r="G871" s="107"/>
    </row>
    <row r="872">
      <c r="C872" s="107"/>
      <c r="F872" s="108"/>
      <c r="G872" s="107"/>
    </row>
    <row r="873">
      <c r="C873" s="107"/>
      <c r="F873" s="108"/>
      <c r="G873" s="107"/>
    </row>
    <row r="874">
      <c r="C874" s="107"/>
      <c r="F874" s="108"/>
      <c r="G874" s="107"/>
    </row>
    <row r="875">
      <c r="C875" s="107"/>
      <c r="F875" s="108"/>
      <c r="G875" s="107"/>
    </row>
    <row r="876">
      <c r="C876" s="107"/>
      <c r="F876" s="108"/>
      <c r="G876" s="107"/>
    </row>
    <row r="877">
      <c r="C877" s="107"/>
      <c r="F877" s="108"/>
      <c r="G877" s="107"/>
    </row>
    <row r="878">
      <c r="C878" s="107"/>
      <c r="F878" s="108"/>
      <c r="G878" s="107"/>
    </row>
    <row r="879">
      <c r="C879" s="107"/>
      <c r="F879" s="108"/>
      <c r="G879" s="107"/>
    </row>
    <row r="880">
      <c r="C880" s="107"/>
      <c r="F880" s="108"/>
      <c r="G880" s="107"/>
    </row>
    <row r="881">
      <c r="C881" s="107"/>
      <c r="F881" s="108"/>
      <c r="G881" s="107"/>
    </row>
    <row r="882">
      <c r="C882" s="107"/>
      <c r="F882" s="108"/>
      <c r="G882" s="107"/>
    </row>
    <row r="883">
      <c r="C883" s="107"/>
      <c r="F883" s="108"/>
      <c r="G883" s="107"/>
    </row>
    <row r="884">
      <c r="C884" s="107"/>
      <c r="F884" s="108"/>
      <c r="G884" s="107"/>
    </row>
    <row r="885">
      <c r="C885" s="107"/>
      <c r="F885" s="108"/>
      <c r="G885" s="107"/>
    </row>
    <row r="886">
      <c r="C886" s="107"/>
      <c r="F886" s="108"/>
      <c r="G886" s="107"/>
    </row>
    <row r="887">
      <c r="C887" s="107"/>
      <c r="F887" s="108"/>
      <c r="G887" s="107"/>
    </row>
    <row r="888">
      <c r="C888" s="107"/>
      <c r="F888" s="108"/>
      <c r="G888" s="107"/>
    </row>
    <row r="889">
      <c r="C889" s="107"/>
      <c r="F889" s="108"/>
      <c r="G889" s="107"/>
    </row>
    <row r="890">
      <c r="C890" s="107"/>
      <c r="F890" s="108"/>
      <c r="G890" s="107"/>
    </row>
    <row r="891">
      <c r="C891" s="107"/>
      <c r="F891" s="108"/>
      <c r="G891" s="107"/>
    </row>
    <row r="892">
      <c r="C892" s="107"/>
      <c r="F892" s="108"/>
      <c r="G892" s="107"/>
    </row>
    <row r="893">
      <c r="C893" s="107"/>
      <c r="F893" s="108"/>
      <c r="G893" s="107"/>
    </row>
    <row r="894">
      <c r="C894" s="107"/>
      <c r="F894" s="108"/>
      <c r="G894" s="107"/>
    </row>
    <row r="895">
      <c r="C895" s="107"/>
      <c r="F895" s="108"/>
      <c r="G895" s="107"/>
    </row>
    <row r="896">
      <c r="C896" s="107"/>
      <c r="F896" s="108"/>
      <c r="G896" s="107"/>
    </row>
    <row r="897">
      <c r="C897" s="107"/>
      <c r="F897" s="108"/>
      <c r="G897" s="107"/>
    </row>
    <row r="898">
      <c r="C898" s="107"/>
      <c r="F898" s="108"/>
      <c r="G898" s="107"/>
    </row>
    <row r="899">
      <c r="C899" s="107"/>
      <c r="F899" s="108"/>
      <c r="G899" s="107"/>
    </row>
    <row r="900">
      <c r="C900" s="107"/>
      <c r="F900" s="108"/>
      <c r="G900" s="107"/>
    </row>
    <row r="901">
      <c r="C901" s="107"/>
      <c r="F901" s="108"/>
      <c r="G901" s="107"/>
    </row>
    <row r="902">
      <c r="C902" s="107"/>
      <c r="F902" s="108"/>
      <c r="G902" s="107"/>
    </row>
    <row r="903">
      <c r="C903" s="107"/>
      <c r="F903" s="108"/>
      <c r="G903" s="107"/>
    </row>
    <row r="904">
      <c r="C904" s="107"/>
      <c r="F904" s="108"/>
      <c r="G904" s="107"/>
    </row>
    <row r="905">
      <c r="C905" s="107"/>
      <c r="F905" s="108"/>
      <c r="G905" s="107"/>
    </row>
    <row r="906">
      <c r="C906" s="107"/>
      <c r="F906" s="108"/>
      <c r="G906" s="107"/>
    </row>
    <row r="907">
      <c r="C907" s="107"/>
      <c r="F907" s="108"/>
      <c r="G907" s="107"/>
    </row>
    <row r="908">
      <c r="C908" s="107"/>
      <c r="F908" s="108"/>
      <c r="G908" s="107"/>
    </row>
    <row r="909">
      <c r="C909" s="107"/>
      <c r="F909" s="108"/>
      <c r="G909" s="107"/>
    </row>
    <row r="910">
      <c r="C910" s="107"/>
      <c r="F910" s="108"/>
      <c r="G910" s="107"/>
    </row>
    <row r="911">
      <c r="C911" s="107"/>
      <c r="F911" s="108"/>
      <c r="G911" s="107"/>
    </row>
    <row r="912">
      <c r="C912" s="107"/>
      <c r="F912" s="108"/>
      <c r="G912" s="107"/>
    </row>
    <row r="913">
      <c r="C913" s="107"/>
      <c r="F913" s="108"/>
      <c r="G913" s="107"/>
    </row>
    <row r="914">
      <c r="C914" s="107"/>
      <c r="F914" s="108"/>
      <c r="G914" s="107"/>
    </row>
    <row r="915">
      <c r="C915" s="107"/>
      <c r="F915" s="108"/>
      <c r="G915" s="107"/>
    </row>
    <row r="916">
      <c r="C916" s="107"/>
      <c r="F916" s="108"/>
      <c r="G916" s="107"/>
    </row>
    <row r="917">
      <c r="C917" s="107"/>
      <c r="F917" s="108"/>
      <c r="G917" s="107"/>
    </row>
    <row r="918">
      <c r="C918" s="107"/>
      <c r="F918" s="108"/>
      <c r="G918" s="107"/>
    </row>
    <row r="919">
      <c r="C919" s="107"/>
      <c r="F919" s="108"/>
      <c r="G919" s="107"/>
    </row>
    <row r="920">
      <c r="C920" s="107"/>
      <c r="F920" s="108"/>
      <c r="G920" s="107"/>
    </row>
    <row r="921">
      <c r="C921" s="107"/>
      <c r="F921" s="108"/>
      <c r="G921" s="107"/>
    </row>
    <row r="922">
      <c r="C922" s="107"/>
      <c r="F922" s="108"/>
      <c r="G922" s="107"/>
    </row>
    <row r="923">
      <c r="C923" s="107"/>
      <c r="F923" s="108"/>
      <c r="G923" s="107"/>
    </row>
    <row r="924">
      <c r="C924" s="107"/>
      <c r="F924" s="108"/>
      <c r="G924" s="107"/>
    </row>
    <row r="925">
      <c r="C925" s="107"/>
      <c r="F925" s="108"/>
      <c r="G925" s="107"/>
    </row>
    <row r="926">
      <c r="C926" s="107"/>
      <c r="F926" s="108"/>
      <c r="G926" s="107"/>
    </row>
    <row r="927">
      <c r="C927" s="107"/>
      <c r="F927" s="108"/>
      <c r="G927" s="107"/>
    </row>
    <row r="928">
      <c r="C928" s="107"/>
      <c r="F928" s="108"/>
      <c r="G928" s="107"/>
    </row>
    <row r="929">
      <c r="C929" s="107"/>
      <c r="F929" s="108"/>
      <c r="G929" s="107"/>
    </row>
    <row r="930">
      <c r="C930" s="107"/>
      <c r="F930" s="108"/>
      <c r="G930" s="107"/>
    </row>
    <row r="931">
      <c r="C931" s="107"/>
      <c r="F931" s="108"/>
      <c r="G931" s="107"/>
    </row>
    <row r="932">
      <c r="C932" s="107"/>
      <c r="F932" s="108"/>
      <c r="G932" s="107"/>
    </row>
    <row r="933">
      <c r="C933" s="107"/>
      <c r="F933" s="108"/>
      <c r="G933" s="107"/>
    </row>
    <row r="934">
      <c r="C934" s="107"/>
      <c r="F934" s="108"/>
      <c r="G934" s="107"/>
    </row>
    <row r="935">
      <c r="C935" s="107"/>
      <c r="F935" s="108"/>
      <c r="G935" s="107"/>
    </row>
    <row r="936">
      <c r="C936" s="107"/>
      <c r="F936" s="108"/>
      <c r="G936" s="107"/>
    </row>
    <row r="937">
      <c r="C937" s="107"/>
      <c r="F937" s="108"/>
      <c r="G937" s="107"/>
    </row>
    <row r="938">
      <c r="C938" s="107"/>
      <c r="F938" s="108"/>
      <c r="G938" s="107"/>
    </row>
    <row r="939">
      <c r="C939" s="107"/>
      <c r="F939" s="108"/>
      <c r="G939" s="107"/>
    </row>
    <row r="940">
      <c r="C940" s="107"/>
      <c r="F940" s="108"/>
      <c r="G940" s="107"/>
    </row>
    <row r="941">
      <c r="C941" s="107"/>
      <c r="F941" s="108"/>
      <c r="G941" s="107"/>
    </row>
    <row r="942">
      <c r="C942" s="107"/>
      <c r="F942" s="108"/>
      <c r="G942" s="107"/>
    </row>
    <row r="943">
      <c r="C943" s="107"/>
      <c r="F943" s="108"/>
      <c r="G943" s="107"/>
    </row>
    <row r="944">
      <c r="C944" s="107"/>
      <c r="F944" s="108"/>
      <c r="G944" s="107"/>
    </row>
    <row r="945">
      <c r="C945" s="107"/>
      <c r="F945" s="108"/>
      <c r="G945" s="107"/>
    </row>
    <row r="946">
      <c r="C946" s="107"/>
      <c r="F946" s="108"/>
      <c r="G946" s="107"/>
    </row>
    <row r="947">
      <c r="C947" s="107"/>
      <c r="F947" s="108"/>
      <c r="G947" s="107"/>
    </row>
    <row r="948">
      <c r="C948" s="107"/>
      <c r="F948" s="108"/>
      <c r="G948" s="107"/>
    </row>
    <row r="949">
      <c r="C949" s="107"/>
      <c r="F949" s="108"/>
      <c r="G949" s="107"/>
    </row>
    <row r="950">
      <c r="C950" s="107"/>
      <c r="F950" s="108"/>
      <c r="G950" s="107"/>
    </row>
    <row r="951">
      <c r="C951" s="107"/>
      <c r="F951" s="108"/>
      <c r="G951" s="107"/>
    </row>
    <row r="952">
      <c r="C952" s="107"/>
      <c r="F952" s="108"/>
      <c r="G952" s="107"/>
    </row>
    <row r="953">
      <c r="C953" s="107"/>
      <c r="F953" s="108"/>
      <c r="G953" s="107"/>
    </row>
    <row r="954">
      <c r="C954" s="107"/>
      <c r="F954" s="108"/>
      <c r="G954" s="107"/>
    </row>
    <row r="955">
      <c r="C955" s="107"/>
      <c r="F955" s="108"/>
      <c r="G955" s="107"/>
    </row>
    <row r="956">
      <c r="C956" s="107"/>
      <c r="F956" s="108"/>
      <c r="G956" s="107"/>
    </row>
    <row r="957">
      <c r="C957" s="107"/>
      <c r="F957" s="108"/>
      <c r="G957" s="107"/>
    </row>
    <row r="958">
      <c r="C958" s="107"/>
      <c r="F958" s="108"/>
      <c r="G958" s="107"/>
    </row>
    <row r="959">
      <c r="C959" s="107"/>
      <c r="F959" s="108"/>
      <c r="G959" s="107"/>
    </row>
    <row r="960">
      <c r="C960" s="107"/>
      <c r="F960" s="108"/>
      <c r="G960" s="107"/>
    </row>
    <row r="961">
      <c r="C961" s="107"/>
      <c r="F961" s="108"/>
      <c r="G961" s="107"/>
    </row>
    <row r="962">
      <c r="C962" s="107"/>
      <c r="F962" s="108"/>
      <c r="G962" s="107"/>
    </row>
    <row r="963">
      <c r="C963" s="107"/>
      <c r="F963" s="108"/>
      <c r="G963" s="107"/>
    </row>
    <row r="964">
      <c r="C964" s="107"/>
      <c r="F964" s="108"/>
      <c r="G964" s="107"/>
    </row>
    <row r="965">
      <c r="C965" s="107"/>
      <c r="F965" s="108"/>
      <c r="G965" s="107"/>
    </row>
    <row r="966">
      <c r="C966" s="107"/>
      <c r="F966" s="108"/>
      <c r="G966" s="107"/>
    </row>
    <row r="967">
      <c r="C967" s="107"/>
      <c r="F967" s="108"/>
      <c r="G967" s="107"/>
    </row>
    <row r="968">
      <c r="C968" s="107"/>
      <c r="F968" s="108"/>
      <c r="G968" s="107"/>
    </row>
    <row r="969">
      <c r="C969" s="107"/>
      <c r="F969" s="108"/>
      <c r="G969" s="107"/>
    </row>
    <row r="970">
      <c r="C970" s="107"/>
      <c r="F970" s="108"/>
      <c r="G970" s="107"/>
    </row>
    <row r="971">
      <c r="C971" s="107"/>
      <c r="F971" s="108"/>
      <c r="G971" s="107"/>
    </row>
    <row r="972">
      <c r="C972" s="107"/>
      <c r="F972" s="108"/>
      <c r="G972" s="107"/>
    </row>
    <row r="973">
      <c r="C973" s="107"/>
      <c r="F973" s="108"/>
      <c r="G973" s="107"/>
    </row>
    <row r="974">
      <c r="C974" s="107"/>
      <c r="F974" s="108"/>
      <c r="G974" s="107"/>
    </row>
    <row r="975">
      <c r="C975" s="107"/>
      <c r="F975" s="108"/>
      <c r="G975" s="107"/>
    </row>
    <row r="976">
      <c r="C976" s="107"/>
      <c r="F976" s="108"/>
      <c r="G976" s="107"/>
    </row>
    <row r="977">
      <c r="C977" s="107"/>
      <c r="F977" s="108"/>
      <c r="G977" s="107"/>
    </row>
    <row r="978">
      <c r="C978" s="107"/>
      <c r="F978" s="108"/>
      <c r="G978" s="107"/>
    </row>
    <row r="979">
      <c r="C979" s="107"/>
      <c r="F979" s="108"/>
      <c r="G979" s="107"/>
    </row>
    <row r="980">
      <c r="C980" s="107"/>
      <c r="F980" s="108"/>
      <c r="G980" s="107"/>
    </row>
    <row r="981">
      <c r="C981" s="107"/>
      <c r="F981" s="108"/>
      <c r="G981" s="107"/>
    </row>
    <row r="982">
      <c r="C982" s="107"/>
      <c r="F982" s="108"/>
      <c r="G982" s="107"/>
    </row>
    <row r="983">
      <c r="C983" s="107"/>
      <c r="F983" s="108"/>
      <c r="G983" s="107"/>
    </row>
    <row r="984">
      <c r="C984" s="107"/>
      <c r="F984" s="108"/>
      <c r="G984" s="107"/>
    </row>
    <row r="985">
      <c r="C985" s="107"/>
      <c r="F985" s="108"/>
      <c r="G985" s="107"/>
    </row>
    <row r="986">
      <c r="C986" s="107"/>
      <c r="F986" s="108"/>
      <c r="G986" s="107"/>
    </row>
    <row r="987">
      <c r="C987" s="107"/>
      <c r="F987" s="108"/>
      <c r="G987" s="107"/>
    </row>
    <row r="988">
      <c r="C988" s="107"/>
      <c r="F988" s="108"/>
      <c r="G988" s="107"/>
    </row>
    <row r="989">
      <c r="C989" s="107"/>
      <c r="F989" s="108"/>
      <c r="G989" s="107"/>
    </row>
    <row r="990">
      <c r="C990" s="107"/>
      <c r="F990" s="108"/>
      <c r="G990" s="107"/>
    </row>
    <row r="991">
      <c r="C991" s="107"/>
      <c r="F991" s="108"/>
      <c r="G991" s="107"/>
    </row>
    <row r="992">
      <c r="C992" s="107"/>
      <c r="F992" s="108"/>
      <c r="G992" s="107"/>
    </row>
    <row r="993">
      <c r="C993" s="107"/>
      <c r="F993" s="108"/>
      <c r="G993" s="107"/>
    </row>
    <row r="994">
      <c r="C994" s="107"/>
      <c r="F994" s="108"/>
      <c r="G994" s="107"/>
    </row>
    <row r="995">
      <c r="C995" s="107"/>
      <c r="F995" s="108"/>
      <c r="G995" s="107"/>
    </row>
    <row r="996">
      <c r="C996" s="107"/>
      <c r="F996" s="108"/>
      <c r="G996" s="107"/>
    </row>
    <row r="997">
      <c r="C997" s="107"/>
      <c r="F997" s="108"/>
      <c r="G997" s="107"/>
    </row>
    <row r="998">
      <c r="C998" s="107"/>
      <c r="F998" s="108"/>
      <c r="G998" s="107"/>
    </row>
    <row r="999">
      <c r="C999" s="107"/>
      <c r="F999" s="108"/>
      <c r="G999" s="107"/>
    </row>
    <row r="1000">
      <c r="C1000" s="107"/>
      <c r="F1000" s="108"/>
      <c r="G1000" s="107"/>
    </row>
    <row r="1001">
      <c r="C1001" s="107"/>
      <c r="F1001" s="108"/>
      <c r="G1001" s="10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7" max="7" width="19.13"/>
    <col customWidth="1" min="9" max="9" width="19.63"/>
  </cols>
  <sheetData>
    <row r="1">
      <c r="A1" s="103" t="s">
        <v>625</v>
      </c>
      <c r="B1" s="28"/>
      <c r="C1" s="28"/>
      <c r="D1" s="28"/>
      <c r="E1" s="28"/>
      <c r="G1" s="109" t="s">
        <v>626</v>
      </c>
      <c r="H1" s="110">
        <v>0.49</v>
      </c>
      <c r="I1" s="111" t="s">
        <v>627</v>
      </c>
      <c r="J1" s="112">
        <v>0.4</v>
      </c>
    </row>
    <row r="2">
      <c r="A2" s="113" t="s">
        <v>628</v>
      </c>
      <c r="B2" s="114"/>
      <c r="C2" s="115"/>
      <c r="D2" s="115"/>
      <c r="E2" s="28"/>
      <c r="G2" s="109" t="s">
        <v>629</v>
      </c>
      <c r="H2" s="110">
        <v>0.45</v>
      </c>
      <c r="I2" s="116" t="s">
        <v>629</v>
      </c>
      <c r="J2" s="112">
        <v>0.45</v>
      </c>
    </row>
    <row r="3">
      <c r="A3" s="117" t="s">
        <v>630</v>
      </c>
      <c r="B3" s="117" t="s">
        <v>631</v>
      </c>
      <c r="C3" s="118" t="s">
        <v>632</v>
      </c>
      <c r="D3" s="119" t="s">
        <v>633</v>
      </c>
      <c r="E3" s="120" t="s">
        <v>634</v>
      </c>
      <c r="G3" s="109" t="s">
        <v>635</v>
      </c>
      <c r="H3" s="110">
        <v>0.6</v>
      </c>
      <c r="I3" s="111" t="s">
        <v>635</v>
      </c>
      <c r="J3" s="112">
        <v>0.6</v>
      </c>
    </row>
    <row r="4">
      <c r="A4" s="111"/>
      <c r="B4" s="121"/>
      <c r="C4" s="122"/>
      <c r="D4" s="112"/>
      <c r="E4" s="123" t="str">
        <f t="shared" ref="E4:E14" si="1">C4/$B$2</f>
        <v>#DIV/0!</v>
      </c>
      <c r="G4" s="124" t="s">
        <v>627</v>
      </c>
      <c r="H4" s="110">
        <v>0.4</v>
      </c>
      <c r="I4" s="111" t="s">
        <v>626</v>
      </c>
      <c r="J4" s="112">
        <v>0.49</v>
      </c>
    </row>
    <row r="5">
      <c r="B5" s="121"/>
      <c r="C5" s="122"/>
      <c r="D5" s="112"/>
      <c r="E5" s="123" t="str">
        <f t="shared" si="1"/>
        <v>#DIV/0!</v>
      </c>
      <c r="G5" s="124" t="s">
        <v>636</v>
      </c>
      <c r="H5" s="110">
        <v>0.62</v>
      </c>
      <c r="I5" s="111" t="s">
        <v>636</v>
      </c>
      <c r="J5" s="112">
        <v>0.62</v>
      </c>
    </row>
    <row r="6">
      <c r="A6" s="111"/>
      <c r="B6" s="121"/>
      <c r="C6" s="122"/>
      <c r="D6" s="112"/>
      <c r="E6" s="123" t="str">
        <f t="shared" si="1"/>
        <v>#DIV/0!</v>
      </c>
      <c r="G6" s="124" t="s">
        <v>637</v>
      </c>
      <c r="H6" s="110">
        <v>0.48</v>
      </c>
      <c r="I6" s="111" t="s">
        <v>638</v>
      </c>
      <c r="J6" s="112">
        <v>0.3</v>
      </c>
    </row>
    <row r="7">
      <c r="A7" s="111"/>
      <c r="B7" s="121"/>
      <c r="C7" s="122"/>
      <c r="D7" s="112"/>
      <c r="E7" s="123" t="str">
        <f t="shared" si="1"/>
        <v>#DIV/0!</v>
      </c>
      <c r="G7" s="124" t="s">
        <v>639</v>
      </c>
      <c r="H7" s="110">
        <v>0.53</v>
      </c>
      <c r="I7" s="111" t="s">
        <v>640</v>
      </c>
      <c r="J7" s="112">
        <v>0.31</v>
      </c>
    </row>
    <row r="8">
      <c r="A8" s="111"/>
      <c r="B8" s="121"/>
      <c r="C8" s="122"/>
      <c r="D8" s="112"/>
      <c r="E8" s="123" t="str">
        <f t="shared" si="1"/>
        <v>#DIV/0!</v>
      </c>
      <c r="G8" s="124" t="s">
        <v>641</v>
      </c>
      <c r="H8" s="110">
        <v>0.43</v>
      </c>
      <c r="I8" s="111" t="s">
        <v>639</v>
      </c>
      <c r="J8" s="112">
        <v>0.53</v>
      </c>
    </row>
    <row r="9">
      <c r="A9" s="111"/>
      <c r="B9" s="121"/>
      <c r="C9" s="122"/>
      <c r="D9" s="112"/>
      <c r="E9" s="123" t="str">
        <f t="shared" si="1"/>
        <v>#DIV/0!</v>
      </c>
      <c r="G9" s="124" t="s">
        <v>642</v>
      </c>
      <c r="H9" s="110">
        <v>0.65</v>
      </c>
      <c r="I9" s="111" t="s">
        <v>643</v>
      </c>
      <c r="J9" s="112">
        <v>0.42</v>
      </c>
    </row>
    <row r="10">
      <c r="A10" s="111"/>
      <c r="B10" s="121"/>
      <c r="C10" s="122"/>
      <c r="D10" s="112"/>
      <c r="E10" s="123" t="str">
        <f t="shared" si="1"/>
        <v>#DIV/0!</v>
      </c>
      <c r="G10" s="124" t="s">
        <v>644</v>
      </c>
      <c r="H10" s="110">
        <v>0.31</v>
      </c>
      <c r="I10" s="111" t="s">
        <v>645</v>
      </c>
      <c r="J10" s="112">
        <v>0.71</v>
      </c>
    </row>
    <row r="11">
      <c r="A11" s="111"/>
      <c r="B11" s="121"/>
      <c r="C11" s="122"/>
      <c r="D11" s="112"/>
      <c r="E11" s="123" t="str">
        <f t="shared" si="1"/>
        <v>#DIV/0!</v>
      </c>
      <c r="G11" s="125" t="s">
        <v>646</v>
      </c>
      <c r="H11" s="126">
        <v>0.23</v>
      </c>
      <c r="I11" s="127" t="s">
        <v>647</v>
      </c>
      <c r="J11" s="128">
        <v>0.43</v>
      </c>
    </row>
    <row r="12">
      <c r="A12" s="111"/>
      <c r="B12" s="121"/>
      <c r="C12" s="122"/>
      <c r="D12" s="112"/>
      <c r="E12" s="123" t="str">
        <f t="shared" si="1"/>
        <v>#DIV/0!</v>
      </c>
      <c r="G12" s="129" t="s">
        <v>648</v>
      </c>
      <c r="H12" s="110">
        <v>0.32</v>
      </c>
      <c r="I12" s="130" t="s">
        <v>649</v>
      </c>
      <c r="J12" s="112">
        <v>0.28</v>
      </c>
    </row>
    <row r="13">
      <c r="A13" s="111"/>
      <c r="B13" s="121"/>
      <c r="C13" s="122"/>
      <c r="D13" s="112"/>
      <c r="E13" s="123" t="str">
        <f t="shared" si="1"/>
        <v>#DIV/0!</v>
      </c>
      <c r="G13" s="129" t="s">
        <v>650</v>
      </c>
      <c r="H13" s="110">
        <v>0.27</v>
      </c>
      <c r="I13" s="130" t="s">
        <v>651</v>
      </c>
      <c r="J13" s="112">
        <v>0.12</v>
      </c>
    </row>
    <row r="14">
      <c r="A14" s="131"/>
      <c r="B14" s="132" t="s">
        <v>652</v>
      </c>
      <c r="C14" s="133">
        <f>sum(C4:C13)</f>
        <v>0</v>
      </c>
      <c r="D14" s="134"/>
      <c r="E14" s="123" t="str">
        <f t="shared" si="1"/>
        <v>#DIV/0!</v>
      </c>
      <c r="G14" s="135" t="s">
        <v>653</v>
      </c>
      <c r="H14" s="110">
        <v>0.1</v>
      </c>
      <c r="I14" s="130" t="s">
        <v>654</v>
      </c>
      <c r="J14" s="112">
        <v>0.32</v>
      </c>
    </row>
    <row r="15">
      <c r="A15" s="136" t="s">
        <v>655</v>
      </c>
      <c r="B15" s="137" t="str">
        <f>C14/B2</f>
        <v>#DIV/0!</v>
      </c>
      <c r="C15" s="138"/>
      <c r="D15" s="139"/>
      <c r="E15" s="140"/>
      <c r="G15" s="135" t="s">
        <v>656</v>
      </c>
      <c r="H15" s="110">
        <v>0.11</v>
      </c>
      <c r="I15" s="130" t="s">
        <v>657</v>
      </c>
      <c r="J15" s="112">
        <v>0.09</v>
      </c>
    </row>
    <row r="16">
      <c r="A16" s="115"/>
      <c r="B16" s="115"/>
      <c r="C16" s="115"/>
      <c r="D16" s="115"/>
      <c r="E16" s="28"/>
      <c r="G16" s="135" t="s">
        <v>658</v>
      </c>
      <c r="H16" s="110">
        <v>0.1</v>
      </c>
      <c r="I16" s="130" t="s">
        <v>659</v>
      </c>
      <c r="J16" s="112">
        <v>0.32</v>
      </c>
    </row>
    <row r="17">
      <c r="A17" s="113" t="s">
        <v>628</v>
      </c>
      <c r="B17" s="114"/>
      <c r="C17" s="115"/>
      <c r="D17" s="115"/>
      <c r="E17" s="28"/>
      <c r="G17" s="135" t="s">
        <v>660</v>
      </c>
      <c r="H17" s="110">
        <v>0.15</v>
      </c>
      <c r="I17" s="130" t="s">
        <v>661</v>
      </c>
      <c r="J17" s="112">
        <v>0.3</v>
      </c>
    </row>
    <row r="18">
      <c r="A18" s="141" t="s">
        <v>662</v>
      </c>
      <c r="B18" s="141" t="s">
        <v>631</v>
      </c>
      <c r="C18" s="142" t="s">
        <v>632</v>
      </c>
      <c r="D18" s="119" t="s">
        <v>633</v>
      </c>
      <c r="E18" s="143" t="s">
        <v>634</v>
      </c>
      <c r="G18" s="129" t="s">
        <v>663</v>
      </c>
      <c r="H18" s="110">
        <v>0.72</v>
      </c>
      <c r="I18" s="130" t="s">
        <v>653</v>
      </c>
      <c r="J18" s="112">
        <v>0.1</v>
      </c>
    </row>
    <row r="19">
      <c r="A19" s="127"/>
      <c r="B19" s="144"/>
      <c r="C19" s="145"/>
      <c r="D19" s="128"/>
      <c r="E19" s="123" t="str">
        <f t="shared" ref="E19:E29" si="2">C19/$B$17</f>
        <v>#DIV/0!</v>
      </c>
      <c r="G19" s="129" t="s">
        <v>664</v>
      </c>
      <c r="H19" s="110">
        <v>0.15</v>
      </c>
      <c r="I19" s="130" t="s">
        <v>646</v>
      </c>
      <c r="J19" s="112">
        <v>0.23</v>
      </c>
    </row>
    <row r="20">
      <c r="A20" s="130"/>
      <c r="B20" s="146"/>
      <c r="C20" s="147"/>
      <c r="D20" s="112"/>
      <c r="E20" s="123" t="str">
        <f t="shared" si="2"/>
        <v>#DIV/0!</v>
      </c>
      <c r="G20" s="129" t="s">
        <v>665</v>
      </c>
      <c r="H20" s="110">
        <v>0.2</v>
      </c>
      <c r="I20" s="130" t="s">
        <v>666</v>
      </c>
      <c r="J20" s="112">
        <v>0.27</v>
      </c>
    </row>
    <row r="21">
      <c r="A21" s="130"/>
      <c r="B21" s="146"/>
      <c r="C21" s="147"/>
      <c r="D21" s="112"/>
      <c r="E21" s="123" t="str">
        <f t="shared" si="2"/>
        <v>#DIV/0!</v>
      </c>
      <c r="G21" s="127" t="s">
        <v>667</v>
      </c>
      <c r="H21" s="128">
        <v>0.23</v>
      </c>
    </row>
    <row r="22">
      <c r="A22" s="130"/>
      <c r="B22" s="146"/>
      <c r="C22" s="147"/>
      <c r="D22" s="112"/>
      <c r="E22" s="123" t="str">
        <f t="shared" si="2"/>
        <v>#DIV/0!</v>
      </c>
      <c r="G22" s="130" t="s">
        <v>668</v>
      </c>
      <c r="H22" s="112">
        <v>0.32</v>
      </c>
    </row>
    <row r="23">
      <c r="A23" s="130"/>
      <c r="B23" s="146"/>
      <c r="C23" s="147"/>
      <c r="D23" s="112"/>
      <c r="E23" s="123" t="str">
        <f t="shared" si="2"/>
        <v>#DIV/0!</v>
      </c>
      <c r="G23" s="130" t="s">
        <v>648</v>
      </c>
      <c r="H23" s="112">
        <v>0.32</v>
      </c>
      <c r="I23" s="148"/>
    </row>
    <row r="24">
      <c r="A24" s="130"/>
      <c r="B24" s="146"/>
      <c r="C24" s="147"/>
      <c r="D24" s="112"/>
      <c r="E24" s="123" t="str">
        <f t="shared" si="2"/>
        <v>#DIV/0!</v>
      </c>
      <c r="G24" s="130" t="s">
        <v>669</v>
      </c>
      <c r="H24" s="112">
        <v>0.16</v>
      </c>
      <c r="I24" s="149"/>
    </row>
    <row r="25">
      <c r="A25" s="130"/>
      <c r="B25" s="146"/>
      <c r="C25" s="147"/>
      <c r="D25" s="112"/>
      <c r="E25" s="123" t="str">
        <f t="shared" si="2"/>
        <v>#DIV/0!</v>
      </c>
      <c r="G25" s="130" t="s">
        <v>663</v>
      </c>
      <c r="H25" s="112">
        <v>0.2</v>
      </c>
      <c r="I25" s="148"/>
    </row>
    <row r="26">
      <c r="A26" s="130"/>
      <c r="B26" s="146"/>
      <c r="C26" s="147"/>
      <c r="D26" s="112"/>
      <c r="E26" s="123" t="str">
        <f t="shared" si="2"/>
        <v>#DIV/0!</v>
      </c>
      <c r="G26" s="130" t="s">
        <v>656</v>
      </c>
      <c r="H26" s="112">
        <v>0.11</v>
      </c>
      <c r="I26" s="149"/>
    </row>
    <row r="27">
      <c r="A27" s="130"/>
      <c r="B27" s="146"/>
      <c r="C27" s="147"/>
      <c r="D27" s="112"/>
      <c r="E27" s="123" t="str">
        <f t="shared" si="2"/>
        <v>#DIV/0!</v>
      </c>
      <c r="G27" s="130" t="s">
        <v>670</v>
      </c>
      <c r="H27" s="112">
        <v>0.21</v>
      </c>
      <c r="I27" s="148"/>
    </row>
    <row r="28">
      <c r="A28" s="130"/>
      <c r="B28" s="146"/>
      <c r="C28" s="147"/>
      <c r="D28" s="112"/>
      <c r="E28" s="123" t="str">
        <f t="shared" si="2"/>
        <v>#DIV/0!</v>
      </c>
      <c r="G28" s="130" t="s">
        <v>650</v>
      </c>
      <c r="H28" s="112">
        <v>0.1</v>
      </c>
      <c r="I28" s="149"/>
    </row>
    <row r="29">
      <c r="A29" s="11"/>
      <c r="B29" s="150" t="s">
        <v>671</v>
      </c>
      <c r="C29" s="151">
        <f>SUM(C19:C28)</f>
        <v>0</v>
      </c>
      <c r="D29" s="152"/>
      <c r="E29" s="123" t="str">
        <f t="shared" si="2"/>
        <v>#DIV/0!</v>
      </c>
      <c r="G29" s="130" t="s">
        <v>646</v>
      </c>
      <c r="H29" s="112">
        <v>0.23</v>
      </c>
      <c r="I29" s="148"/>
    </row>
    <row r="30">
      <c r="A30" s="136" t="s">
        <v>655</v>
      </c>
      <c r="B30" s="137" t="str">
        <f>C29/B17</f>
        <v>#DIV/0!</v>
      </c>
      <c r="C30" s="138"/>
      <c r="D30" s="153"/>
      <c r="E30" s="140"/>
      <c r="G30" s="130" t="s">
        <v>664</v>
      </c>
      <c r="H30" s="112">
        <v>0.15</v>
      </c>
      <c r="I30" s="149"/>
    </row>
    <row r="31">
      <c r="A31" s="28"/>
      <c r="B31" s="28"/>
      <c r="C31" s="28"/>
      <c r="D31" s="28"/>
      <c r="E31" s="28"/>
      <c r="G31" s="127" t="s">
        <v>659</v>
      </c>
      <c r="H31" s="128">
        <v>0.32</v>
      </c>
      <c r="I31" s="148"/>
    </row>
    <row r="32">
      <c r="A32" s="28"/>
      <c r="B32" s="28"/>
      <c r="C32" s="28"/>
      <c r="D32" s="28"/>
      <c r="E32" s="28"/>
      <c r="G32" s="130" t="s">
        <v>646</v>
      </c>
      <c r="H32" s="112">
        <v>0.23</v>
      </c>
      <c r="I32" s="149"/>
    </row>
    <row r="33">
      <c r="A33" s="28"/>
      <c r="B33" s="28"/>
      <c r="C33" s="28"/>
      <c r="D33" s="28"/>
      <c r="E33" s="28"/>
      <c r="G33" s="130" t="s">
        <v>653</v>
      </c>
      <c r="H33" s="112">
        <v>0.1</v>
      </c>
    </row>
    <row r="34">
      <c r="A34" s="28"/>
      <c r="B34" s="28"/>
      <c r="C34" s="28"/>
      <c r="D34" s="28"/>
      <c r="E34" s="28"/>
      <c r="G34" s="130" t="s">
        <v>672</v>
      </c>
      <c r="H34" s="112">
        <v>0.1</v>
      </c>
    </row>
    <row r="35">
      <c r="A35" s="28"/>
      <c r="B35" s="28"/>
      <c r="C35" s="28"/>
      <c r="D35" s="28"/>
      <c r="E35" s="28"/>
      <c r="G35" s="130" t="s">
        <v>673</v>
      </c>
      <c r="H35" s="112">
        <v>0.2</v>
      </c>
      <c r="I35" s="148"/>
    </row>
    <row r="36">
      <c r="A36" s="154" t="s">
        <v>5</v>
      </c>
      <c r="B36" s="154" t="s">
        <v>8</v>
      </c>
      <c r="C36" s="154" t="s">
        <v>674</v>
      </c>
      <c r="D36" s="154" t="s">
        <v>675</v>
      </c>
      <c r="E36" s="28"/>
      <c r="G36" s="130" t="s">
        <v>663</v>
      </c>
      <c r="H36" s="112">
        <v>0.2</v>
      </c>
      <c r="I36" s="149"/>
    </row>
    <row r="37">
      <c r="A37" s="155" t="str">
        <f>CogsReport!E3</f>
        <v>Cooking oil 20L</v>
      </c>
      <c r="B37" s="155" t="str">
        <f>CogsReport!F3</f>
        <v>Liters</v>
      </c>
      <c r="C37" s="155">
        <f>CogsReport!G3</f>
        <v>22.9</v>
      </c>
      <c r="D37" s="156">
        <f>CogsReport!H3</f>
        <v>180461.9565</v>
      </c>
      <c r="E37" s="28"/>
      <c r="G37" s="130" t="s">
        <v>665</v>
      </c>
      <c r="H37" s="112">
        <v>0.2</v>
      </c>
      <c r="I37" s="148"/>
    </row>
    <row r="38">
      <c r="A38" s="155" t="str">
        <f>CogsReport!E4</f>
        <v>Seseame Oil</v>
      </c>
      <c r="B38" s="155" t="str">
        <f>CogsReport!F4</f>
        <v>Kg</v>
      </c>
      <c r="C38" s="155">
        <f>CogsReport!G4</f>
        <v>0.62</v>
      </c>
      <c r="D38" s="156">
        <f>CogsReport!H4</f>
        <v>122368.4211</v>
      </c>
      <c r="E38" s="28"/>
      <c r="G38" s="130" t="s">
        <v>676</v>
      </c>
      <c r="H38" s="112">
        <v>0.27</v>
      </c>
      <c r="I38" s="149"/>
    </row>
    <row r="39">
      <c r="A39" s="155" t="str">
        <f>CogsReport!E5</f>
        <v>Irish potatoes</v>
      </c>
      <c r="B39" s="155" t="str">
        <f>CogsReport!F5</f>
        <v>Kg</v>
      </c>
      <c r="C39" s="155">
        <f>CogsReport!G5</f>
        <v>49.85</v>
      </c>
      <c r="D39" s="156">
        <f>CogsReport!H5</f>
        <v>114655</v>
      </c>
      <c r="E39" s="28"/>
      <c r="G39" s="130" t="s">
        <v>650</v>
      </c>
      <c r="H39" s="112">
        <v>0.27</v>
      </c>
      <c r="I39" s="148"/>
    </row>
    <row r="40">
      <c r="A40" s="155" t="str">
        <f>CogsReport!E6</f>
        <v>Mozzarella cheese</v>
      </c>
      <c r="B40" s="155" t="str">
        <f>CogsReport!F6</f>
        <v>Kg</v>
      </c>
      <c r="C40" s="155">
        <f>CogsReport!G6</f>
        <v>4</v>
      </c>
      <c r="D40" s="156">
        <f>CogsReport!H6</f>
        <v>88000</v>
      </c>
      <c r="E40" s="28"/>
      <c r="G40" s="130" t="s">
        <v>666</v>
      </c>
      <c r="H40" s="112">
        <v>0.27</v>
      </c>
      <c r="I40" s="149"/>
    </row>
    <row r="41">
      <c r="A41" s="155" t="str">
        <f>CogsReport!E7</f>
        <v>Plantain</v>
      </c>
      <c r="B41" s="155" t="str">
        <f>CogsReport!F7</f>
        <v>Cluster</v>
      </c>
      <c r="C41" s="155">
        <f>CogsReport!G7</f>
        <v>9</v>
      </c>
      <c r="D41" s="156">
        <f>CogsReport!H7</f>
        <v>77142.85714</v>
      </c>
      <c r="E41" s="28"/>
      <c r="H41" s="148"/>
      <c r="I41" s="148"/>
    </row>
    <row r="42">
      <c r="A42" s="155" t="str">
        <f>CogsReport!E8</f>
        <v>Patio Bella take away bags</v>
      </c>
      <c r="B42" s="155" t="str">
        <f>CogsReport!F8</f>
        <v>Pcs</v>
      </c>
      <c r="C42" s="155">
        <f>CogsReport!G8</f>
        <v>60</v>
      </c>
      <c r="D42" s="156">
        <f>CogsReport!H8</f>
        <v>51000</v>
      </c>
      <c r="E42" s="28"/>
      <c r="H42" s="149"/>
      <c r="I42" s="149"/>
    </row>
    <row r="43">
      <c r="A43" s="155" t="str">
        <f>CogsReport!E9</f>
        <v>Basmati rice</v>
      </c>
      <c r="B43" s="155" t="str">
        <f>CogsReport!F9</f>
        <v>Kg</v>
      </c>
      <c r="C43" s="155">
        <f>CogsReport!G9</f>
        <v>4.9</v>
      </c>
      <c r="D43" s="156">
        <f>CogsReport!H9</f>
        <v>49000</v>
      </c>
      <c r="E43" s="28"/>
      <c r="H43" s="148"/>
      <c r="I43" s="148"/>
    </row>
    <row r="44">
      <c r="A44" s="155" t="str">
        <f>CogsReport!E10</f>
        <v>Pilau masala</v>
      </c>
      <c r="B44" s="155" t="str">
        <f>CogsReport!F10</f>
        <v>Kg</v>
      </c>
      <c r="C44" s="155">
        <f>CogsReport!G10</f>
        <v>0.462</v>
      </c>
      <c r="D44" s="156">
        <f>CogsReport!H10</f>
        <v>43890</v>
      </c>
      <c r="E44" s="28"/>
      <c r="H44" s="149"/>
      <c r="I44" s="149"/>
    </row>
    <row r="45">
      <c r="A45" s="155" t="str">
        <f>CogsReport!E11</f>
        <v>Aromat</v>
      </c>
      <c r="B45" s="155" t="str">
        <f>CogsReport!F11</f>
        <v>Kg</v>
      </c>
      <c r="C45" s="155">
        <f>CogsReport!G11</f>
        <v>0.864</v>
      </c>
      <c r="D45" s="156">
        <f>CogsReport!H11</f>
        <v>38880</v>
      </c>
      <c r="E45" s="28"/>
      <c r="H45" s="157"/>
      <c r="I45" s="157"/>
    </row>
    <row r="46">
      <c r="A46" s="155" t="str">
        <f>CogsReport!E12</f>
        <v>Baking flour</v>
      </c>
      <c r="B46" s="155" t="str">
        <f>CogsReport!F12</f>
        <v>Kg</v>
      </c>
      <c r="C46" s="155">
        <f>CogsReport!G12</f>
        <v>10.754</v>
      </c>
      <c r="D46" s="156">
        <f>CogsReport!H12</f>
        <v>35843.082</v>
      </c>
      <c r="E46" s="28"/>
    </row>
    <row r="47">
      <c r="A47" s="11"/>
      <c r="B47" s="11"/>
      <c r="C47" s="11"/>
      <c r="D47" s="158"/>
      <c r="E47" s="28"/>
    </row>
    <row r="48">
      <c r="A48" s="159" t="s">
        <v>5</v>
      </c>
      <c r="B48" s="159" t="s">
        <v>8</v>
      </c>
      <c r="C48" s="159" t="s">
        <v>674</v>
      </c>
      <c r="D48" s="159" t="s">
        <v>675</v>
      </c>
      <c r="E48" s="28"/>
    </row>
    <row r="49">
      <c r="A49" s="160" t="str">
        <f>CogsReport!N3</f>
        <v>Panfried goat</v>
      </c>
      <c r="B49" s="160" t="str">
        <f>CogsReport!O3</f>
        <v>Ptns</v>
      </c>
      <c r="C49" s="161">
        <f>CogsReport!P3</f>
        <v>8</v>
      </c>
      <c r="D49" s="162">
        <f>CogsReport!Q3</f>
        <v>67968</v>
      </c>
      <c r="E49" s="28"/>
    </row>
    <row r="50">
      <c r="A50" s="160" t="str">
        <f>CogsReport!N4</f>
        <v>Chicken wings</v>
      </c>
      <c r="B50" s="160" t="str">
        <f>CogsReport!O4</f>
        <v>Pcs</v>
      </c>
      <c r="C50" s="161">
        <f>CogsReport!P4</f>
        <v>11</v>
      </c>
      <c r="D50" s="162">
        <f>CogsReport!Q4</f>
        <v>99297</v>
      </c>
      <c r="E50" s="28"/>
    </row>
    <row r="51">
      <c r="A51" s="160" t="str">
        <f>CogsReport!N5</f>
        <v>Chicken skewers</v>
      </c>
      <c r="B51" s="160" t="str">
        <f>CogsReport!O5</f>
        <v>Pcs</v>
      </c>
      <c r="C51" s="161">
        <f>CogsReport!P5</f>
        <v>5.5</v>
      </c>
      <c r="D51" s="162">
        <f>CogsReport!Q5</f>
        <v>38940</v>
      </c>
      <c r="E51" s="28"/>
    </row>
    <row r="52">
      <c r="A52" s="160" t="str">
        <f>CogsReport!N6</f>
        <v>Goat ribs</v>
      </c>
      <c r="B52" s="160" t="str">
        <f>CogsReport!O6</f>
        <v>Ptns</v>
      </c>
      <c r="C52" s="161">
        <f>CogsReport!P6</f>
        <v>4</v>
      </c>
      <c r="D52" s="162">
        <f>CogsReport!Q6</f>
        <v>42480</v>
      </c>
      <c r="E52" s="28"/>
    </row>
    <row r="53">
      <c r="A53" s="160" t="str">
        <f>CogsReport!N7</f>
        <v>Chicken stroganoff</v>
      </c>
      <c r="B53" s="160" t="str">
        <f>CogsReport!O7</f>
        <v>Ptns</v>
      </c>
      <c r="C53" s="161">
        <f>CogsReport!P7</f>
        <v>13.5</v>
      </c>
      <c r="D53" s="162">
        <f>CogsReport!Q7</f>
        <v>54162</v>
      </c>
      <c r="E53" s="28"/>
    </row>
    <row r="54">
      <c r="A54" s="160" t="str">
        <f>CogsReport!N8</f>
        <v>Beef burger patty</v>
      </c>
      <c r="B54" s="160" t="str">
        <f>CogsReport!O8</f>
        <v>Ptns</v>
      </c>
      <c r="C54" s="161">
        <f>CogsReport!P8</f>
        <v>4</v>
      </c>
      <c r="D54" s="162">
        <f>CogsReport!Q8</f>
        <v>19116</v>
      </c>
      <c r="E54" s="28"/>
    </row>
    <row r="55">
      <c r="A55" s="160" t="str">
        <f>CogsReport!N9</f>
        <v>Pork ribs</v>
      </c>
      <c r="B55" s="160" t="str">
        <f>CogsReport!O9</f>
        <v>Ptns</v>
      </c>
      <c r="C55" s="161">
        <f>CogsReport!P9</f>
        <v>4</v>
      </c>
      <c r="D55" s="162">
        <f>CogsReport!Q9</f>
        <v>33180</v>
      </c>
      <c r="E55" s="28"/>
    </row>
    <row r="56">
      <c r="A56" s="160" t="str">
        <f>CogsReport!N10</f>
        <v>Tilapia fillet</v>
      </c>
      <c r="B56" s="160" t="str">
        <f>CogsReport!O10</f>
        <v>Pcs</v>
      </c>
      <c r="C56" s="161">
        <f>CogsReport!P10</f>
        <v>3</v>
      </c>
      <c r="D56" s="162">
        <f>CogsReport!Q10</f>
        <v>30798</v>
      </c>
      <c r="E56" s="28"/>
    </row>
    <row r="57">
      <c r="A57" s="160" t="str">
        <f>CogsReport!N11</f>
        <v>Beef sausages</v>
      </c>
      <c r="B57" s="160" t="str">
        <f>CogsReport!O11</f>
        <v>Ptns</v>
      </c>
      <c r="C57" s="161">
        <f>CogsReport!P11</f>
        <v>1.5</v>
      </c>
      <c r="D57" s="162">
        <f>CogsReport!Q11</f>
        <v>6555</v>
      </c>
      <c r="E57" s="28"/>
    </row>
    <row r="58">
      <c r="A58" s="160" t="str">
        <f>CogsReport!N12</f>
        <v>Beef fillet</v>
      </c>
      <c r="B58" s="160" t="str">
        <f>CogsReport!O12</f>
        <v>Ptns</v>
      </c>
      <c r="C58" s="161">
        <f>CogsReport!P12</f>
        <v>1</v>
      </c>
      <c r="D58" s="162">
        <f>CogsReport!Q12</f>
        <v>9558</v>
      </c>
      <c r="E58" s="28"/>
    </row>
    <row r="59">
      <c r="A59" s="160" t="str">
        <f>CogsReport!N13</f>
        <v>Bacon</v>
      </c>
      <c r="B59" s="160" t="str">
        <f>CogsReport!O13</f>
        <v>Pcs</v>
      </c>
      <c r="C59" s="161">
        <f>CogsReport!P13</f>
        <v>0</v>
      </c>
      <c r="D59" s="162">
        <f>CogsReport!Q13</f>
        <v>0</v>
      </c>
      <c r="E59" s="28"/>
    </row>
    <row r="60">
      <c r="A60" s="28"/>
      <c r="B60" s="28"/>
      <c r="C60" s="163"/>
      <c r="D60" s="164"/>
      <c r="E60" s="28"/>
    </row>
    <row r="61">
      <c r="A61" s="28"/>
      <c r="B61" s="28"/>
      <c r="C61" s="163"/>
      <c r="D61" s="164"/>
      <c r="E61" s="28"/>
    </row>
    <row r="62">
      <c r="A62" s="154" t="s">
        <v>5</v>
      </c>
      <c r="B62" s="154" t="s">
        <v>8</v>
      </c>
      <c r="C62" s="154" t="s">
        <v>677</v>
      </c>
      <c r="D62" s="154" t="s">
        <v>675</v>
      </c>
      <c r="E62" s="28"/>
    </row>
    <row r="63">
      <c r="A63" s="11"/>
      <c r="B63" s="11"/>
      <c r="C63" s="11"/>
      <c r="D63" s="158"/>
      <c r="E63" s="28"/>
    </row>
    <row r="64">
      <c r="A64" s="11"/>
      <c r="B64" s="11"/>
      <c r="C64" s="11"/>
      <c r="D64" s="158"/>
      <c r="E64" s="28"/>
    </row>
    <row r="65">
      <c r="A65" s="11"/>
      <c r="B65" s="11"/>
      <c r="C65" s="11"/>
      <c r="D65" s="158"/>
      <c r="E65" s="28"/>
    </row>
    <row r="66">
      <c r="A66" s="11"/>
      <c r="B66" s="11"/>
      <c r="C66" s="11"/>
      <c r="D66" s="158"/>
      <c r="E66" s="28"/>
    </row>
    <row r="67">
      <c r="A67" s="11"/>
      <c r="B67" s="165" t="s">
        <v>671</v>
      </c>
      <c r="C67" s="11"/>
      <c r="D67" s="166">
        <f>sum(D63:D66)</f>
        <v>0</v>
      </c>
      <c r="E67" s="28"/>
    </row>
    <row r="68">
      <c r="A68" s="28"/>
      <c r="B68" s="28"/>
      <c r="C68" s="28"/>
      <c r="D68" s="28"/>
      <c r="E68" s="28"/>
    </row>
    <row r="69">
      <c r="A69" s="28"/>
      <c r="B69" s="28"/>
      <c r="C69" s="28"/>
      <c r="D69" s="28"/>
      <c r="E69" s="28"/>
    </row>
    <row r="70">
      <c r="A70" s="28"/>
      <c r="B70" s="28"/>
      <c r="C70" s="28"/>
      <c r="D70" s="28"/>
      <c r="E70" s="28"/>
    </row>
    <row r="71">
      <c r="A71" s="28"/>
      <c r="B71" s="28"/>
      <c r="C71" s="28"/>
      <c r="D71" s="28"/>
      <c r="E71" s="28"/>
    </row>
    <row r="72">
      <c r="A72" s="28"/>
      <c r="B72" s="28"/>
      <c r="C72" s="28"/>
      <c r="D72" s="28"/>
      <c r="E72" s="28"/>
    </row>
    <row r="73">
      <c r="A73" s="28"/>
      <c r="B73" s="28"/>
      <c r="C73" s="28"/>
      <c r="D73" s="28"/>
      <c r="E73" s="28"/>
    </row>
    <row r="74">
      <c r="A74" s="28"/>
      <c r="B74" s="28"/>
      <c r="C74" s="28"/>
      <c r="D74" s="28"/>
      <c r="E74" s="28"/>
    </row>
    <row r="75">
      <c r="A75" s="28"/>
      <c r="B75" s="28"/>
      <c r="C75" s="28"/>
      <c r="D75" s="28"/>
      <c r="E75" s="28"/>
    </row>
    <row r="76">
      <c r="A76" s="28"/>
      <c r="B76" s="28"/>
      <c r="C76" s="28"/>
      <c r="D76" s="28"/>
      <c r="E76" s="28"/>
    </row>
    <row r="77">
      <c r="A77" s="28"/>
      <c r="B77" s="28"/>
      <c r="C77" s="28"/>
      <c r="D77" s="28"/>
      <c r="E77" s="28"/>
    </row>
    <row r="78">
      <c r="A78" s="28"/>
      <c r="B78" s="28"/>
      <c r="C78" s="28"/>
      <c r="D78" s="28"/>
      <c r="E78" s="28"/>
    </row>
    <row r="79">
      <c r="A79" s="28"/>
      <c r="B79" s="28"/>
      <c r="C79" s="28"/>
      <c r="D79" s="28"/>
      <c r="E79" s="28"/>
    </row>
    <row r="80">
      <c r="A80" s="28"/>
      <c r="B80" s="28"/>
      <c r="C80" s="28"/>
      <c r="D80" s="28"/>
      <c r="E80" s="28"/>
    </row>
    <row r="81">
      <c r="A81" s="28"/>
      <c r="B81" s="28"/>
      <c r="C81" s="28"/>
      <c r="D81" s="28"/>
      <c r="E81" s="28"/>
    </row>
    <row r="82">
      <c r="A82" s="28"/>
      <c r="B82" s="28"/>
      <c r="C82" s="28"/>
      <c r="D82" s="28"/>
      <c r="E82" s="28"/>
    </row>
    <row r="83">
      <c r="A83" s="28"/>
      <c r="B83" s="28"/>
      <c r="C83" s="28"/>
      <c r="D83" s="28"/>
      <c r="E83" s="28"/>
    </row>
    <row r="84">
      <c r="A84" s="28"/>
      <c r="B84" s="28"/>
      <c r="C84" s="28"/>
      <c r="D84" s="28"/>
      <c r="E84" s="28"/>
    </row>
    <row r="85">
      <c r="A85" s="28"/>
      <c r="B85" s="28"/>
      <c r="C85" s="28"/>
      <c r="D85" s="28"/>
      <c r="E85" s="28"/>
    </row>
    <row r="86">
      <c r="A86" s="28"/>
      <c r="B86" s="28"/>
      <c r="C86" s="28"/>
      <c r="D86" s="28"/>
      <c r="E86" s="28"/>
    </row>
    <row r="87">
      <c r="A87" s="28"/>
      <c r="B87" s="28"/>
      <c r="C87" s="28"/>
      <c r="D87" s="28"/>
      <c r="E87" s="28"/>
    </row>
    <row r="88">
      <c r="A88" s="28"/>
      <c r="B88" s="28"/>
      <c r="C88" s="28"/>
      <c r="D88" s="28"/>
      <c r="E88" s="28"/>
    </row>
    <row r="89">
      <c r="A89" s="28"/>
      <c r="B89" s="28"/>
      <c r="C89" s="28"/>
      <c r="D89" s="28"/>
      <c r="E89" s="28"/>
    </row>
    <row r="90">
      <c r="A90" s="167" t="s">
        <v>678</v>
      </c>
      <c r="D90" s="28"/>
      <c r="E90" s="28"/>
    </row>
    <row r="91">
      <c r="A91" s="154" t="s">
        <v>679</v>
      </c>
      <c r="B91" s="154" t="s">
        <v>680</v>
      </c>
      <c r="C91" s="154" t="s">
        <v>681</v>
      </c>
      <c r="D91" s="28"/>
      <c r="E91" s="28"/>
    </row>
    <row r="92">
      <c r="A92" s="168">
        <v>1.0</v>
      </c>
      <c r="B92" s="135" t="s">
        <v>682</v>
      </c>
      <c r="C92" s="168">
        <v>0.28</v>
      </c>
      <c r="D92" s="28"/>
      <c r="E92" s="28"/>
    </row>
    <row r="93">
      <c r="A93" s="168">
        <v>2.0</v>
      </c>
      <c r="B93" s="135" t="s">
        <v>682</v>
      </c>
      <c r="C93" s="168">
        <v>0.285</v>
      </c>
      <c r="D93" s="28"/>
      <c r="E93" s="28"/>
    </row>
    <row r="94">
      <c r="A94" s="168">
        <v>3.0</v>
      </c>
      <c r="B94" s="135" t="s">
        <v>682</v>
      </c>
      <c r="C94" s="168">
        <v>0.235</v>
      </c>
      <c r="D94" s="28"/>
      <c r="E94" s="28"/>
    </row>
    <row r="95">
      <c r="A95" s="168">
        <v>4.0</v>
      </c>
      <c r="B95" s="135" t="s">
        <v>682</v>
      </c>
      <c r="C95" s="168">
        <v>0.24</v>
      </c>
      <c r="D95" s="28"/>
      <c r="E95" s="28"/>
    </row>
    <row r="96">
      <c r="A96" s="168">
        <v>5.0</v>
      </c>
      <c r="B96" s="135" t="s">
        <v>682</v>
      </c>
      <c r="C96" s="168">
        <v>0.285</v>
      </c>
      <c r="D96" s="28"/>
      <c r="E96" s="28"/>
    </row>
    <row r="97">
      <c r="A97" s="28"/>
      <c r="B97" s="28"/>
      <c r="C97" s="28"/>
      <c r="D97" s="28"/>
      <c r="E97" s="28"/>
    </row>
    <row r="98">
      <c r="A98" s="28"/>
      <c r="B98" s="28"/>
      <c r="C98" s="28"/>
      <c r="D98" s="28"/>
      <c r="E98" s="28"/>
    </row>
    <row r="99">
      <c r="A99" s="28"/>
      <c r="B99" s="28"/>
      <c r="C99" s="28"/>
      <c r="D99" s="28"/>
      <c r="E99" s="28"/>
    </row>
    <row r="100">
      <c r="A100" s="28"/>
      <c r="B100" s="28"/>
      <c r="C100" s="28"/>
      <c r="D100" s="28"/>
      <c r="E100" s="28"/>
    </row>
    <row r="101">
      <c r="A101" s="28"/>
      <c r="B101" s="28"/>
      <c r="C101" s="28"/>
      <c r="D101" s="28"/>
      <c r="E101" s="28"/>
    </row>
    <row r="102">
      <c r="A102" s="28"/>
      <c r="B102" s="28"/>
      <c r="C102" s="28"/>
      <c r="D102" s="28"/>
      <c r="E102" s="28"/>
    </row>
    <row r="103">
      <c r="A103" s="28"/>
      <c r="B103" s="28"/>
      <c r="C103" s="28"/>
      <c r="D103" s="28"/>
      <c r="E103" s="28"/>
    </row>
    <row r="104">
      <c r="A104" s="28"/>
      <c r="B104" s="28"/>
      <c r="C104" s="28"/>
      <c r="D104" s="28"/>
      <c r="E104" s="28"/>
    </row>
    <row r="105">
      <c r="A105" s="28"/>
      <c r="B105" s="28"/>
      <c r="C105" s="28"/>
      <c r="D105" s="28"/>
      <c r="E105" s="28"/>
    </row>
    <row r="106">
      <c r="A106" s="28"/>
      <c r="B106" s="28"/>
      <c r="C106" s="28"/>
      <c r="D106" s="28"/>
      <c r="E106" s="28"/>
    </row>
    <row r="107">
      <c r="A107" s="28"/>
      <c r="B107" s="28"/>
      <c r="C107" s="28"/>
      <c r="D107" s="28"/>
      <c r="E107" s="28"/>
    </row>
    <row r="108">
      <c r="A108" s="28"/>
      <c r="B108" s="28"/>
      <c r="C108" s="28"/>
      <c r="D108" s="28"/>
      <c r="E108" s="28"/>
    </row>
    <row r="109">
      <c r="A109" s="28"/>
      <c r="B109" s="28"/>
      <c r="C109" s="28"/>
      <c r="D109" s="28"/>
      <c r="E109" s="28"/>
    </row>
    <row r="110">
      <c r="A110" s="28"/>
      <c r="B110" s="28"/>
      <c r="C110" s="28"/>
      <c r="D110" s="28"/>
      <c r="E110" s="28"/>
    </row>
    <row r="111">
      <c r="A111" s="28"/>
      <c r="B111" s="28"/>
      <c r="C111" s="28"/>
      <c r="D111" s="28"/>
      <c r="E111" s="28"/>
    </row>
    <row r="112">
      <c r="A112" s="28"/>
      <c r="B112" s="28"/>
      <c r="C112" s="28"/>
      <c r="D112" s="28"/>
      <c r="E112" s="28"/>
    </row>
    <row r="113">
      <c r="A113" s="28"/>
      <c r="B113" s="28"/>
      <c r="C113" s="28"/>
      <c r="D113" s="28"/>
      <c r="E113" s="28"/>
    </row>
    <row r="114">
      <c r="A114" s="28"/>
      <c r="B114" s="28"/>
      <c r="C114" s="28"/>
      <c r="D114" s="28"/>
      <c r="E114" s="28"/>
    </row>
    <row r="115">
      <c r="A115" s="28"/>
      <c r="B115" s="28"/>
      <c r="C115" s="28"/>
      <c r="D115" s="28"/>
      <c r="E115" s="28"/>
    </row>
    <row r="116">
      <c r="A116" s="28"/>
      <c r="B116" s="28"/>
      <c r="C116" s="28"/>
      <c r="D116" s="28"/>
      <c r="E116" s="28"/>
    </row>
    <row r="117">
      <c r="A117" s="28"/>
      <c r="B117" s="28"/>
      <c r="C117" s="28"/>
      <c r="D117" s="28"/>
      <c r="E117" s="28"/>
    </row>
    <row r="118">
      <c r="A118" s="28"/>
      <c r="B118" s="28"/>
      <c r="C118" s="28"/>
      <c r="D118" s="28"/>
      <c r="E118" s="28"/>
    </row>
    <row r="119">
      <c r="A119" s="28"/>
      <c r="B119" s="28"/>
      <c r="C119" s="28"/>
      <c r="D119" s="28"/>
      <c r="E119" s="28"/>
    </row>
    <row r="120">
      <c r="A120" s="28"/>
      <c r="B120" s="28"/>
      <c r="C120" s="28"/>
      <c r="D120" s="28"/>
      <c r="E120" s="28"/>
    </row>
    <row r="121">
      <c r="A121" s="28"/>
      <c r="B121" s="28"/>
      <c r="C121" s="28"/>
      <c r="D121" s="28"/>
      <c r="E121" s="28"/>
    </row>
    <row r="122">
      <c r="A122" s="28"/>
      <c r="B122" s="28"/>
      <c r="C122" s="28"/>
      <c r="D122" s="28"/>
      <c r="E122" s="28"/>
    </row>
    <row r="123">
      <c r="A123" s="28"/>
      <c r="B123" s="28"/>
      <c r="C123" s="28"/>
      <c r="D123" s="28"/>
      <c r="E123" s="28"/>
    </row>
    <row r="124">
      <c r="A124" s="28"/>
      <c r="B124" s="28"/>
      <c r="C124" s="28"/>
      <c r="D124" s="28"/>
      <c r="E124" s="28"/>
    </row>
    <row r="125">
      <c r="A125" s="28"/>
      <c r="B125" s="28"/>
      <c r="C125" s="28"/>
      <c r="D125" s="28"/>
      <c r="E125" s="28"/>
    </row>
    <row r="126">
      <c r="A126" s="28"/>
      <c r="B126" s="28"/>
      <c r="C126" s="28"/>
      <c r="D126" s="28"/>
      <c r="E126" s="28"/>
    </row>
    <row r="127">
      <c r="A127" s="28"/>
      <c r="B127" s="28"/>
      <c r="C127" s="28"/>
      <c r="D127" s="28"/>
      <c r="E127" s="28"/>
    </row>
    <row r="128">
      <c r="A128" s="28"/>
      <c r="B128" s="28"/>
      <c r="C128" s="28"/>
      <c r="D128" s="28"/>
      <c r="E128" s="28"/>
    </row>
    <row r="129">
      <c r="A129" s="28"/>
      <c r="B129" s="28"/>
      <c r="C129" s="28"/>
      <c r="D129" s="28"/>
      <c r="E129" s="28"/>
    </row>
    <row r="130">
      <c r="A130" s="28"/>
      <c r="B130" s="28"/>
      <c r="C130" s="28"/>
      <c r="D130" s="28"/>
      <c r="E130" s="28"/>
    </row>
    <row r="131">
      <c r="A131" s="28"/>
      <c r="B131" s="28"/>
      <c r="C131" s="28"/>
      <c r="D131" s="28"/>
      <c r="E131" s="28"/>
    </row>
    <row r="132">
      <c r="A132" s="28"/>
      <c r="B132" s="28"/>
      <c r="C132" s="28"/>
      <c r="D132" s="28"/>
      <c r="E132" s="28"/>
    </row>
    <row r="133">
      <c r="A133" s="28"/>
      <c r="B133" s="28"/>
      <c r="C133" s="28"/>
      <c r="D133" s="28"/>
      <c r="E133" s="28"/>
    </row>
    <row r="134">
      <c r="A134" s="28"/>
      <c r="B134" s="28"/>
      <c r="C134" s="28"/>
      <c r="D134" s="28"/>
      <c r="E134" s="28"/>
    </row>
    <row r="135">
      <c r="A135" s="28"/>
      <c r="B135" s="28"/>
      <c r="C135" s="28"/>
      <c r="D135" s="28"/>
      <c r="E135" s="28"/>
    </row>
    <row r="136">
      <c r="A136" s="28"/>
      <c r="B136" s="28"/>
      <c r="C136" s="28"/>
      <c r="D136" s="28"/>
      <c r="E136" s="28"/>
    </row>
    <row r="137">
      <c r="A137" s="28"/>
      <c r="B137" s="28"/>
      <c r="C137" s="28"/>
      <c r="D137" s="28"/>
      <c r="E137" s="28"/>
    </row>
    <row r="138">
      <c r="A138" s="28"/>
      <c r="B138" s="28"/>
      <c r="C138" s="28"/>
      <c r="D138" s="28"/>
      <c r="E138" s="28"/>
    </row>
    <row r="139">
      <c r="A139" s="28"/>
      <c r="B139" s="28"/>
      <c r="C139" s="28"/>
      <c r="D139" s="28"/>
      <c r="E139" s="28"/>
    </row>
    <row r="140">
      <c r="A140" s="28"/>
      <c r="B140" s="28"/>
      <c r="C140" s="28"/>
      <c r="D140" s="28"/>
      <c r="E140" s="28"/>
    </row>
    <row r="141">
      <c r="A141" s="28"/>
      <c r="B141" s="28"/>
      <c r="C141" s="28"/>
      <c r="D141" s="28"/>
      <c r="E141" s="28"/>
    </row>
    <row r="142">
      <c r="A142" s="28"/>
      <c r="B142" s="28"/>
      <c r="C142" s="28"/>
      <c r="D142" s="28"/>
      <c r="E142" s="28"/>
    </row>
    <row r="143">
      <c r="A143" s="28"/>
      <c r="B143" s="28"/>
      <c r="C143" s="28"/>
      <c r="D143" s="28"/>
      <c r="E143" s="28"/>
    </row>
    <row r="144">
      <c r="A144" s="28"/>
      <c r="B144" s="28"/>
      <c r="C144" s="28"/>
      <c r="D144" s="28"/>
      <c r="E144" s="28"/>
    </row>
    <row r="145">
      <c r="A145" s="28"/>
      <c r="B145" s="28"/>
      <c r="C145" s="28"/>
      <c r="D145" s="28"/>
      <c r="E145" s="28"/>
    </row>
    <row r="146">
      <c r="A146" s="28"/>
      <c r="B146" s="28"/>
      <c r="C146" s="28"/>
      <c r="D146" s="28"/>
      <c r="E146" s="28"/>
    </row>
    <row r="147">
      <c r="A147" s="28"/>
      <c r="B147" s="28"/>
      <c r="C147" s="28"/>
      <c r="D147" s="28"/>
      <c r="E147" s="28"/>
    </row>
    <row r="148">
      <c r="A148" s="28"/>
      <c r="B148" s="28"/>
      <c r="C148" s="28"/>
      <c r="D148" s="28"/>
      <c r="E148" s="28"/>
    </row>
    <row r="149">
      <c r="A149" s="28"/>
      <c r="B149" s="28"/>
      <c r="C149" s="28"/>
      <c r="D149" s="28"/>
      <c r="E149" s="28"/>
    </row>
    <row r="150">
      <c r="A150" s="28"/>
      <c r="B150" s="28"/>
      <c r="C150" s="28"/>
      <c r="D150" s="28"/>
      <c r="E150" s="28"/>
    </row>
    <row r="151">
      <c r="A151" s="28"/>
      <c r="B151" s="28"/>
      <c r="C151" s="28"/>
      <c r="D151" s="28"/>
      <c r="E151" s="28"/>
    </row>
    <row r="152">
      <c r="A152" s="28"/>
      <c r="B152" s="28"/>
      <c r="C152" s="28"/>
      <c r="D152" s="28"/>
      <c r="E152" s="28"/>
    </row>
    <row r="153">
      <c r="A153" s="28"/>
      <c r="B153" s="28"/>
      <c r="C153" s="28"/>
      <c r="D153" s="28"/>
      <c r="E153" s="28"/>
    </row>
    <row r="154">
      <c r="A154" s="28"/>
      <c r="B154" s="28"/>
      <c r="C154" s="28"/>
      <c r="D154" s="28"/>
      <c r="E154" s="28"/>
    </row>
    <row r="155">
      <c r="A155" s="28"/>
      <c r="B155" s="28"/>
      <c r="C155" s="28"/>
      <c r="D155" s="28"/>
      <c r="E155" s="28"/>
    </row>
    <row r="156">
      <c r="A156" s="28"/>
      <c r="B156" s="28"/>
      <c r="C156" s="28"/>
      <c r="D156" s="28"/>
      <c r="E156" s="28"/>
    </row>
    <row r="157">
      <c r="A157" s="28"/>
      <c r="B157" s="28"/>
      <c r="C157" s="28"/>
      <c r="D157" s="28"/>
      <c r="E157" s="28"/>
    </row>
    <row r="158">
      <c r="A158" s="28"/>
      <c r="B158" s="28"/>
      <c r="C158" s="28"/>
      <c r="D158" s="28"/>
      <c r="E158" s="28"/>
    </row>
    <row r="159">
      <c r="A159" s="28"/>
      <c r="B159" s="28"/>
      <c r="C159" s="28"/>
      <c r="D159" s="28"/>
      <c r="E159" s="28"/>
    </row>
    <row r="160">
      <c r="A160" s="28"/>
      <c r="B160" s="28"/>
      <c r="C160" s="28"/>
      <c r="D160" s="28"/>
      <c r="E160" s="28"/>
    </row>
    <row r="161">
      <c r="A161" s="28"/>
      <c r="B161" s="28"/>
      <c r="C161" s="28"/>
      <c r="D161" s="28"/>
      <c r="E161" s="28"/>
    </row>
    <row r="162">
      <c r="A162" s="28"/>
      <c r="B162" s="28"/>
      <c r="C162" s="28"/>
      <c r="D162" s="28"/>
      <c r="E162" s="28"/>
    </row>
    <row r="163">
      <c r="A163" s="28"/>
      <c r="B163" s="28"/>
      <c r="C163" s="28"/>
      <c r="D163" s="28"/>
      <c r="E163" s="28"/>
    </row>
    <row r="164">
      <c r="A164" s="28"/>
      <c r="B164" s="28"/>
      <c r="C164" s="28"/>
      <c r="D164" s="28"/>
      <c r="E164" s="28"/>
    </row>
    <row r="165">
      <c r="A165" s="28"/>
      <c r="B165" s="28"/>
      <c r="C165" s="28"/>
      <c r="D165" s="28"/>
      <c r="E165" s="28"/>
    </row>
    <row r="166">
      <c r="A166" s="28"/>
      <c r="B166" s="28"/>
      <c r="C166" s="28"/>
      <c r="D166" s="28"/>
      <c r="E166" s="28"/>
    </row>
    <row r="167">
      <c r="A167" s="28"/>
      <c r="B167" s="28"/>
      <c r="C167" s="28"/>
      <c r="D167" s="28"/>
      <c r="E167" s="28"/>
    </row>
    <row r="168">
      <c r="A168" s="28"/>
      <c r="B168" s="28"/>
      <c r="C168" s="28"/>
      <c r="D168" s="28"/>
      <c r="E168" s="28"/>
    </row>
    <row r="169">
      <c r="A169" s="28"/>
      <c r="B169" s="28"/>
      <c r="C169" s="28"/>
      <c r="D169" s="28"/>
      <c r="E169" s="28"/>
    </row>
    <row r="170">
      <c r="A170" s="28"/>
      <c r="B170" s="28"/>
      <c r="C170" s="28"/>
      <c r="D170" s="28"/>
      <c r="E170" s="28"/>
    </row>
    <row r="171">
      <c r="A171" s="28"/>
      <c r="B171" s="28"/>
      <c r="C171" s="28"/>
      <c r="D171" s="28"/>
      <c r="E171" s="28"/>
    </row>
    <row r="172">
      <c r="A172" s="28"/>
      <c r="B172" s="28"/>
      <c r="C172" s="28"/>
      <c r="D172" s="28"/>
      <c r="E172" s="28"/>
    </row>
    <row r="173">
      <c r="A173" s="28"/>
      <c r="B173" s="28"/>
      <c r="C173" s="28"/>
      <c r="D173" s="28"/>
      <c r="E173" s="28"/>
    </row>
    <row r="174">
      <c r="A174" s="28"/>
      <c r="B174" s="28"/>
      <c r="C174" s="28"/>
      <c r="D174" s="28"/>
      <c r="E174" s="28"/>
    </row>
    <row r="175">
      <c r="A175" s="28"/>
      <c r="B175" s="28"/>
      <c r="C175" s="28"/>
      <c r="D175" s="28"/>
      <c r="E175" s="28"/>
    </row>
    <row r="176">
      <c r="A176" s="28"/>
      <c r="B176" s="28"/>
      <c r="C176" s="28"/>
      <c r="D176" s="28"/>
      <c r="E176" s="28"/>
    </row>
    <row r="177">
      <c r="A177" s="28"/>
      <c r="B177" s="28"/>
      <c r="C177" s="28"/>
      <c r="D177" s="28"/>
      <c r="E177" s="28"/>
    </row>
    <row r="178">
      <c r="A178" s="28"/>
      <c r="B178" s="28"/>
      <c r="C178" s="28"/>
      <c r="D178" s="28"/>
      <c r="E178" s="28"/>
    </row>
    <row r="179">
      <c r="A179" s="28"/>
      <c r="B179" s="28"/>
      <c r="C179" s="28"/>
      <c r="D179" s="28"/>
      <c r="E179" s="28"/>
    </row>
    <row r="180">
      <c r="A180" s="28"/>
      <c r="B180" s="28"/>
      <c r="C180" s="28"/>
      <c r="D180" s="28"/>
      <c r="E180" s="28"/>
    </row>
    <row r="181">
      <c r="A181" s="28"/>
      <c r="B181" s="28"/>
      <c r="C181" s="28"/>
      <c r="D181" s="28"/>
      <c r="E181" s="28"/>
    </row>
    <row r="182">
      <c r="A182" s="28"/>
      <c r="B182" s="28"/>
      <c r="C182" s="28"/>
      <c r="D182" s="28"/>
      <c r="E182" s="28"/>
    </row>
    <row r="183">
      <c r="A183" s="28"/>
      <c r="B183" s="28"/>
      <c r="C183" s="28"/>
      <c r="D183" s="28"/>
      <c r="E183" s="28"/>
    </row>
    <row r="184">
      <c r="A184" s="28"/>
      <c r="B184" s="28"/>
      <c r="C184" s="28"/>
      <c r="D184" s="28"/>
      <c r="E184" s="28"/>
    </row>
    <row r="185">
      <c r="A185" s="28"/>
      <c r="B185" s="28"/>
      <c r="C185" s="28"/>
      <c r="D185" s="28"/>
      <c r="E185" s="28"/>
    </row>
    <row r="186">
      <c r="A186" s="28"/>
      <c r="B186" s="28"/>
      <c r="C186" s="28"/>
      <c r="D186" s="28"/>
      <c r="E186" s="28"/>
    </row>
    <row r="187">
      <c r="A187" s="28"/>
      <c r="B187" s="28"/>
      <c r="C187" s="28"/>
      <c r="D187" s="28"/>
      <c r="E187" s="28"/>
    </row>
    <row r="188">
      <c r="A188" s="28"/>
      <c r="B188" s="28"/>
      <c r="C188" s="28"/>
      <c r="D188" s="28"/>
      <c r="E188" s="28"/>
    </row>
    <row r="189">
      <c r="A189" s="28"/>
      <c r="B189" s="28"/>
      <c r="C189" s="28"/>
      <c r="D189" s="28"/>
      <c r="E189" s="28"/>
    </row>
    <row r="190">
      <c r="A190" s="28"/>
      <c r="B190" s="28"/>
      <c r="C190" s="28"/>
      <c r="D190" s="28"/>
      <c r="E190" s="28"/>
    </row>
    <row r="191">
      <c r="A191" s="28"/>
      <c r="B191" s="28"/>
      <c r="C191" s="28"/>
      <c r="D191" s="28"/>
      <c r="E191" s="28"/>
    </row>
    <row r="192">
      <c r="A192" s="28"/>
      <c r="B192" s="28"/>
      <c r="C192" s="28"/>
      <c r="D192" s="28"/>
      <c r="E192" s="28"/>
    </row>
    <row r="193">
      <c r="A193" s="28"/>
      <c r="B193" s="28"/>
      <c r="C193" s="28"/>
      <c r="D193" s="28"/>
      <c r="E193" s="28"/>
    </row>
    <row r="194">
      <c r="A194" s="28"/>
      <c r="B194" s="28"/>
      <c r="C194" s="28"/>
      <c r="D194" s="28"/>
      <c r="E194" s="28"/>
    </row>
    <row r="195">
      <c r="A195" s="28"/>
      <c r="B195" s="28"/>
      <c r="C195" s="28"/>
      <c r="D195" s="28"/>
      <c r="E195" s="28"/>
    </row>
    <row r="196">
      <c r="A196" s="28"/>
      <c r="B196" s="28"/>
      <c r="C196" s="28"/>
      <c r="D196" s="28"/>
      <c r="E196" s="28"/>
    </row>
    <row r="197">
      <c r="A197" s="28"/>
      <c r="B197" s="28"/>
      <c r="C197" s="28"/>
      <c r="D197" s="28"/>
      <c r="E197" s="28"/>
    </row>
    <row r="198">
      <c r="A198" s="28"/>
      <c r="B198" s="28"/>
      <c r="C198" s="28"/>
      <c r="D198" s="28"/>
      <c r="E198" s="28"/>
    </row>
    <row r="199">
      <c r="A199" s="28"/>
      <c r="B199" s="28"/>
      <c r="C199" s="28"/>
      <c r="D199" s="28"/>
      <c r="E199" s="28"/>
    </row>
    <row r="200">
      <c r="A200" s="28"/>
      <c r="B200" s="28"/>
      <c r="C200" s="28"/>
      <c r="D200" s="28"/>
      <c r="E200" s="28"/>
    </row>
    <row r="201">
      <c r="A201" s="28"/>
      <c r="B201" s="28"/>
      <c r="C201" s="28"/>
      <c r="D201" s="28"/>
      <c r="E201" s="28"/>
    </row>
    <row r="202">
      <c r="A202" s="28"/>
      <c r="B202" s="28"/>
      <c r="C202" s="28"/>
      <c r="D202" s="28"/>
      <c r="E202" s="28"/>
    </row>
    <row r="203">
      <c r="A203" s="28"/>
      <c r="B203" s="28"/>
      <c r="C203" s="28"/>
      <c r="D203" s="28"/>
      <c r="E203" s="28"/>
    </row>
    <row r="204">
      <c r="A204" s="28"/>
      <c r="B204" s="28"/>
      <c r="C204" s="28"/>
      <c r="D204" s="28"/>
      <c r="E204" s="28"/>
    </row>
    <row r="205">
      <c r="A205" s="28"/>
      <c r="B205" s="28"/>
      <c r="C205" s="28"/>
      <c r="D205" s="28"/>
      <c r="E205" s="28"/>
    </row>
    <row r="206">
      <c r="A206" s="28"/>
      <c r="B206" s="28"/>
      <c r="C206" s="28"/>
      <c r="D206" s="28"/>
      <c r="E206" s="28"/>
    </row>
    <row r="207">
      <c r="A207" s="28"/>
      <c r="B207" s="28"/>
      <c r="C207" s="28"/>
      <c r="D207" s="28"/>
      <c r="E207" s="28"/>
    </row>
    <row r="208">
      <c r="A208" s="28"/>
      <c r="B208" s="28"/>
      <c r="C208" s="28"/>
      <c r="D208" s="28"/>
      <c r="E208" s="28"/>
    </row>
    <row r="209">
      <c r="A209" s="28"/>
      <c r="B209" s="28"/>
      <c r="C209" s="28"/>
      <c r="D209" s="28"/>
      <c r="E209" s="28"/>
    </row>
    <row r="210">
      <c r="A210" s="28"/>
      <c r="B210" s="28"/>
      <c r="C210" s="28"/>
      <c r="D210" s="28"/>
      <c r="E210" s="28"/>
    </row>
    <row r="211">
      <c r="A211" s="28"/>
      <c r="B211" s="28"/>
      <c r="C211" s="28"/>
      <c r="D211" s="28"/>
      <c r="E211" s="28"/>
    </row>
    <row r="212">
      <c r="A212" s="28"/>
      <c r="B212" s="28"/>
      <c r="C212" s="28"/>
      <c r="D212" s="28"/>
      <c r="E212" s="28"/>
    </row>
    <row r="213">
      <c r="A213" s="28"/>
      <c r="B213" s="28"/>
      <c r="C213" s="28"/>
      <c r="D213" s="28"/>
      <c r="E213" s="28"/>
    </row>
    <row r="214">
      <c r="A214" s="28"/>
      <c r="B214" s="28"/>
      <c r="C214" s="28"/>
      <c r="D214" s="28"/>
      <c r="E214" s="28"/>
    </row>
    <row r="215">
      <c r="A215" s="28"/>
      <c r="B215" s="28"/>
      <c r="C215" s="28"/>
      <c r="D215" s="28"/>
      <c r="E215" s="28"/>
    </row>
    <row r="216">
      <c r="A216" s="28"/>
      <c r="B216" s="28"/>
      <c r="C216" s="28"/>
      <c r="D216" s="28"/>
      <c r="E216" s="28"/>
    </row>
    <row r="217">
      <c r="A217" s="28"/>
      <c r="B217" s="28"/>
      <c r="C217" s="28"/>
      <c r="D217" s="28"/>
      <c r="E217" s="28"/>
    </row>
    <row r="218">
      <c r="A218" s="28"/>
      <c r="B218" s="28"/>
      <c r="C218" s="28"/>
      <c r="D218" s="28"/>
      <c r="E218" s="28"/>
    </row>
    <row r="219">
      <c r="A219" s="28"/>
      <c r="B219" s="28"/>
      <c r="C219" s="28"/>
      <c r="D219" s="28"/>
      <c r="E219" s="28"/>
    </row>
    <row r="220">
      <c r="A220" s="28"/>
      <c r="B220" s="28"/>
      <c r="C220" s="28"/>
      <c r="D220" s="28"/>
      <c r="E220" s="28"/>
    </row>
    <row r="221">
      <c r="A221" s="28"/>
      <c r="B221" s="28"/>
      <c r="C221" s="28"/>
      <c r="D221" s="28"/>
      <c r="E221" s="28"/>
    </row>
    <row r="222">
      <c r="A222" s="28"/>
      <c r="B222" s="28"/>
      <c r="C222" s="28"/>
      <c r="D222" s="28"/>
      <c r="E222" s="28"/>
    </row>
    <row r="223">
      <c r="A223" s="28"/>
      <c r="B223" s="28"/>
      <c r="C223" s="28"/>
      <c r="D223" s="28"/>
      <c r="E223" s="28"/>
    </row>
    <row r="224">
      <c r="A224" s="28"/>
      <c r="B224" s="28"/>
      <c r="C224" s="28"/>
      <c r="D224" s="28"/>
      <c r="E224" s="28"/>
    </row>
    <row r="225">
      <c r="A225" s="28"/>
      <c r="B225" s="28"/>
      <c r="C225" s="28"/>
      <c r="D225" s="28"/>
      <c r="E225" s="28"/>
    </row>
    <row r="226">
      <c r="A226" s="28"/>
      <c r="B226" s="28"/>
      <c r="C226" s="28"/>
      <c r="D226" s="28"/>
      <c r="E226" s="28"/>
    </row>
    <row r="227">
      <c r="A227" s="28"/>
      <c r="B227" s="28"/>
      <c r="C227" s="28"/>
      <c r="D227" s="28"/>
      <c r="E227" s="28"/>
    </row>
    <row r="228">
      <c r="A228" s="28"/>
      <c r="B228" s="28"/>
      <c r="C228" s="28"/>
      <c r="D228" s="28"/>
      <c r="E228" s="28"/>
    </row>
    <row r="229">
      <c r="A229" s="28"/>
      <c r="B229" s="28"/>
      <c r="C229" s="28"/>
      <c r="D229" s="28"/>
      <c r="E229" s="28"/>
    </row>
    <row r="230">
      <c r="A230" s="28"/>
      <c r="B230" s="28"/>
      <c r="C230" s="28"/>
      <c r="D230" s="28"/>
      <c r="E230" s="28"/>
    </row>
    <row r="231">
      <c r="A231" s="28"/>
      <c r="B231" s="28"/>
      <c r="C231" s="28"/>
      <c r="D231" s="28"/>
      <c r="E231" s="28"/>
    </row>
    <row r="232">
      <c r="A232" s="28"/>
      <c r="B232" s="28"/>
      <c r="C232" s="28"/>
      <c r="D232" s="28"/>
      <c r="E232" s="28"/>
    </row>
    <row r="233">
      <c r="A233" s="28"/>
      <c r="B233" s="28"/>
      <c r="C233" s="28"/>
      <c r="D233" s="28"/>
      <c r="E233" s="28"/>
    </row>
    <row r="234">
      <c r="A234" s="28"/>
      <c r="B234" s="28"/>
      <c r="C234" s="28"/>
      <c r="D234" s="28"/>
      <c r="E234" s="28"/>
    </row>
    <row r="235">
      <c r="A235" s="28"/>
      <c r="B235" s="28"/>
      <c r="C235" s="28"/>
      <c r="D235" s="28"/>
      <c r="E235" s="28"/>
    </row>
    <row r="236">
      <c r="A236" s="28"/>
      <c r="B236" s="28"/>
      <c r="C236" s="28"/>
      <c r="D236" s="28"/>
      <c r="E236" s="28"/>
    </row>
    <row r="237">
      <c r="A237" s="28"/>
      <c r="B237" s="28"/>
      <c r="C237" s="28"/>
      <c r="D237" s="28"/>
      <c r="E237" s="28"/>
    </row>
    <row r="238">
      <c r="A238" s="28"/>
      <c r="B238" s="28"/>
      <c r="C238" s="28"/>
      <c r="D238" s="28"/>
      <c r="E238" s="28"/>
    </row>
    <row r="239">
      <c r="A239" s="28"/>
      <c r="B239" s="28"/>
      <c r="C239" s="28"/>
      <c r="D239" s="28"/>
      <c r="E239" s="28"/>
    </row>
    <row r="240">
      <c r="A240" s="28"/>
      <c r="B240" s="28"/>
      <c r="C240" s="28"/>
      <c r="D240" s="28"/>
      <c r="E240" s="28"/>
    </row>
    <row r="241">
      <c r="A241" s="28"/>
      <c r="B241" s="28"/>
      <c r="C241" s="28"/>
      <c r="D241" s="28"/>
      <c r="E241" s="28"/>
    </row>
    <row r="242">
      <c r="A242" s="28"/>
      <c r="B242" s="28"/>
      <c r="C242" s="28"/>
      <c r="D242" s="28"/>
      <c r="E242" s="28"/>
    </row>
    <row r="243">
      <c r="A243" s="28"/>
      <c r="B243" s="28"/>
      <c r="C243" s="28"/>
      <c r="D243" s="28"/>
      <c r="E243" s="28"/>
    </row>
    <row r="244">
      <c r="A244" s="28"/>
      <c r="B244" s="28"/>
      <c r="C244" s="28"/>
      <c r="D244" s="28"/>
      <c r="E244" s="28"/>
    </row>
    <row r="245">
      <c r="A245" s="28"/>
      <c r="B245" s="28"/>
      <c r="C245" s="28"/>
      <c r="D245" s="28"/>
      <c r="E245" s="28"/>
    </row>
    <row r="246">
      <c r="A246" s="28"/>
      <c r="B246" s="28"/>
      <c r="C246" s="28"/>
      <c r="D246" s="28"/>
      <c r="E246" s="28"/>
    </row>
    <row r="247">
      <c r="A247" s="28"/>
      <c r="B247" s="28"/>
      <c r="C247" s="28"/>
      <c r="D247" s="28"/>
      <c r="E247" s="28"/>
    </row>
    <row r="248">
      <c r="A248" s="28"/>
      <c r="B248" s="28"/>
      <c r="C248" s="28"/>
      <c r="D248" s="28"/>
      <c r="E248" s="28"/>
    </row>
    <row r="249">
      <c r="A249" s="28"/>
      <c r="B249" s="28"/>
      <c r="C249" s="28"/>
      <c r="D249" s="28"/>
      <c r="E249" s="28"/>
    </row>
    <row r="250">
      <c r="A250" s="28"/>
      <c r="B250" s="28"/>
      <c r="C250" s="28"/>
      <c r="D250" s="28"/>
      <c r="E250" s="28"/>
    </row>
    <row r="251">
      <c r="A251" s="28"/>
      <c r="B251" s="28"/>
      <c r="C251" s="28"/>
      <c r="D251" s="28"/>
      <c r="E251" s="28"/>
    </row>
    <row r="252">
      <c r="A252" s="28"/>
      <c r="B252" s="28"/>
      <c r="C252" s="28"/>
      <c r="D252" s="28"/>
      <c r="E252" s="28"/>
    </row>
    <row r="253">
      <c r="A253" s="28"/>
      <c r="B253" s="28"/>
      <c r="C253" s="28"/>
      <c r="D253" s="28"/>
      <c r="E253" s="28"/>
    </row>
    <row r="254">
      <c r="A254" s="28"/>
      <c r="B254" s="28"/>
      <c r="C254" s="28"/>
      <c r="D254" s="28"/>
      <c r="E254" s="28"/>
    </row>
    <row r="255">
      <c r="A255" s="28"/>
      <c r="B255" s="28"/>
      <c r="C255" s="28"/>
      <c r="D255" s="28"/>
      <c r="E255" s="28"/>
    </row>
    <row r="256">
      <c r="A256" s="28"/>
      <c r="B256" s="28"/>
      <c r="C256" s="28"/>
      <c r="D256" s="28"/>
      <c r="E256" s="28"/>
    </row>
    <row r="257">
      <c r="A257" s="28"/>
      <c r="B257" s="28"/>
      <c r="C257" s="28"/>
      <c r="D257" s="28"/>
      <c r="E257" s="28"/>
    </row>
    <row r="258">
      <c r="A258" s="28"/>
      <c r="B258" s="28"/>
      <c r="C258" s="28"/>
      <c r="D258" s="28"/>
      <c r="E258" s="28"/>
    </row>
    <row r="259">
      <c r="A259" s="28"/>
      <c r="B259" s="28"/>
      <c r="C259" s="28"/>
      <c r="D259" s="28"/>
      <c r="E259" s="28"/>
    </row>
    <row r="260">
      <c r="A260" s="28"/>
      <c r="B260" s="28"/>
      <c r="C260" s="28"/>
      <c r="D260" s="28"/>
      <c r="E260" s="28"/>
    </row>
    <row r="261">
      <c r="A261" s="28"/>
      <c r="B261" s="28"/>
      <c r="C261" s="28"/>
      <c r="D261" s="28"/>
      <c r="E261" s="28"/>
    </row>
    <row r="262">
      <c r="A262" s="28"/>
      <c r="B262" s="28"/>
      <c r="C262" s="28"/>
      <c r="D262" s="28"/>
      <c r="E262" s="28"/>
    </row>
    <row r="263">
      <c r="A263" s="28"/>
      <c r="B263" s="28"/>
      <c r="C263" s="28"/>
      <c r="D263" s="28"/>
      <c r="E263" s="28"/>
    </row>
    <row r="264">
      <c r="A264" s="28"/>
      <c r="B264" s="28"/>
      <c r="C264" s="28"/>
      <c r="D264" s="28"/>
      <c r="E264" s="28"/>
    </row>
    <row r="265">
      <c r="A265" s="28"/>
      <c r="B265" s="28"/>
      <c r="C265" s="28"/>
      <c r="D265" s="28"/>
      <c r="E265" s="28"/>
    </row>
    <row r="266">
      <c r="A266" s="28"/>
      <c r="B266" s="28"/>
      <c r="C266" s="28"/>
      <c r="D266" s="28"/>
      <c r="E266" s="28"/>
    </row>
    <row r="267">
      <c r="A267" s="28"/>
      <c r="B267" s="28"/>
      <c r="C267" s="28"/>
      <c r="D267" s="28"/>
      <c r="E267" s="28"/>
    </row>
    <row r="268">
      <c r="A268" s="28"/>
      <c r="B268" s="28"/>
      <c r="C268" s="28"/>
      <c r="D268" s="28"/>
      <c r="E268" s="28"/>
    </row>
    <row r="269">
      <c r="A269" s="28"/>
      <c r="B269" s="28"/>
      <c r="C269" s="28"/>
      <c r="D269" s="28"/>
      <c r="E269" s="28"/>
    </row>
    <row r="270">
      <c r="A270" s="28"/>
      <c r="B270" s="28"/>
      <c r="C270" s="28"/>
      <c r="D270" s="28"/>
      <c r="E270" s="28"/>
    </row>
    <row r="271">
      <c r="A271" s="28"/>
      <c r="B271" s="28"/>
      <c r="C271" s="28"/>
      <c r="D271" s="28"/>
      <c r="E271" s="28"/>
    </row>
    <row r="272">
      <c r="A272" s="28"/>
      <c r="B272" s="28"/>
      <c r="C272" s="28"/>
      <c r="D272" s="28"/>
      <c r="E272" s="28"/>
    </row>
    <row r="273">
      <c r="A273" s="28"/>
      <c r="B273" s="28"/>
      <c r="C273" s="28"/>
      <c r="D273" s="28"/>
      <c r="E273" s="28"/>
    </row>
    <row r="274">
      <c r="A274" s="28"/>
      <c r="B274" s="28"/>
      <c r="C274" s="28"/>
      <c r="D274" s="28"/>
      <c r="E274" s="28"/>
    </row>
    <row r="275">
      <c r="A275" s="28"/>
      <c r="B275" s="28"/>
      <c r="C275" s="28"/>
      <c r="D275" s="28"/>
      <c r="E275" s="28"/>
    </row>
    <row r="276">
      <c r="A276" s="28"/>
      <c r="B276" s="28"/>
      <c r="C276" s="28"/>
      <c r="D276" s="28"/>
      <c r="E276" s="28"/>
    </row>
    <row r="277">
      <c r="A277" s="28"/>
      <c r="B277" s="28"/>
      <c r="C277" s="28"/>
      <c r="D277" s="28"/>
      <c r="E277" s="28"/>
    </row>
    <row r="278">
      <c r="A278" s="28"/>
      <c r="B278" s="28"/>
      <c r="C278" s="28"/>
      <c r="D278" s="28"/>
      <c r="E278" s="28"/>
    </row>
    <row r="279">
      <c r="A279" s="28"/>
      <c r="B279" s="28"/>
      <c r="C279" s="28"/>
      <c r="D279" s="28"/>
      <c r="E279" s="28"/>
    </row>
    <row r="280">
      <c r="A280" s="28"/>
      <c r="B280" s="28"/>
      <c r="C280" s="28"/>
      <c r="D280" s="28"/>
      <c r="E280" s="28"/>
    </row>
    <row r="281">
      <c r="A281" s="28"/>
      <c r="B281" s="28"/>
      <c r="C281" s="28"/>
      <c r="D281" s="28"/>
      <c r="E281" s="28"/>
    </row>
    <row r="282">
      <c r="A282" s="28"/>
      <c r="B282" s="28"/>
      <c r="C282" s="28"/>
      <c r="D282" s="28"/>
      <c r="E282" s="28"/>
    </row>
    <row r="283">
      <c r="A283" s="28"/>
      <c r="B283" s="28"/>
      <c r="C283" s="28"/>
      <c r="D283" s="28"/>
      <c r="E283" s="28"/>
    </row>
    <row r="284">
      <c r="A284" s="28"/>
      <c r="B284" s="28"/>
      <c r="C284" s="28"/>
      <c r="D284" s="28"/>
      <c r="E284" s="28"/>
    </row>
    <row r="285">
      <c r="A285" s="28"/>
      <c r="B285" s="28"/>
      <c r="C285" s="28"/>
      <c r="D285" s="28"/>
      <c r="E285" s="28"/>
    </row>
    <row r="286">
      <c r="A286" s="28"/>
      <c r="B286" s="28"/>
      <c r="C286" s="28"/>
      <c r="D286" s="28"/>
      <c r="E286" s="28"/>
    </row>
    <row r="287">
      <c r="A287" s="28"/>
      <c r="B287" s="28"/>
      <c r="C287" s="28"/>
      <c r="D287" s="28"/>
      <c r="E287" s="28"/>
    </row>
    <row r="288">
      <c r="A288" s="28"/>
      <c r="B288" s="28"/>
      <c r="C288" s="28"/>
      <c r="D288" s="28"/>
      <c r="E288" s="28"/>
    </row>
    <row r="289">
      <c r="A289" s="28"/>
      <c r="B289" s="28"/>
      <c r="C289" s="28"/>
      <c r="D289" s="28"/>
      <c r="E289" s="28"/>
    </row>
    <row r="290">
      <c r="A290" s="28"/>
      <c r="B290" s="28"/>
      <c r="C290" s="28"/>
      <c r="D290" s="28"/>
      <c r="E290" s="28"/>
    </row>
    <row r="291">
      <c r="A291" s="28"/>
      <c r="B291" s="28"/>
      <c r="C291" s="28"/>
      <c r="D291" s="28"/>
      <c r="E291" s="28"/>
    </row>
    <row r="292">
      <c r="A292" s="28"/>
      <c r="B292" s="28"/>
      <c r="C292" s="28"/>
      <c r="D292" s="28"/>
      <c r="E292" s="28"/>
    </row>
    <row r="293">
      <c r="A293" s="28"/>
      <c r="B293" s="28"/>
      <c r="C293" s="28"/>
      <c r="D293" s="28"/>
      <c r="E293" s="28"/>
    </row>
    <row r="294">
      <c r="A294" s="28"/>
      <c r="B294" s="28"/>
      <c r="C294" s="28"/>
      <c r="D294" s="28"/>
      <c r="E294" s="28"/>
    </row>
    <row r="295">
      <c r="A295" s="28"/>
      <c r="B295" s="28"/>
      <c r="C295" s="28"/>
      <c r="D295" s="28"/>
      <c r="E295" s="28"/>
    </row>
    <row r="296">
      <c r="A296" s="28"/>
      <c r="B296" s="28"/>
      <c r="C296" s="28"/>
      <c r="D296" s="28"/>
      <c r="E296" s="28"/>
    </row>
    <row r="297">
      <c r="A297" s="28"/>
      <c r="B297" s="28"/>
      <c r="C297" s="28"/>
      <c r="D297" s="28"/>
      <c r="E297" s="28"/>
    </row>
    <row r="298">
      <c r="A298" s="28"/>
      <c r="B298" s="28"/>
      <c r="C298" s="28"/>
      <c r="D298" s="28"/>
      <c r="E298" s="28"/>
    </row>
    <row r="299">
      <c r="A299" s="28"/>
      <c r="B299" s="28"/>
      <c r="C299" s="28"/>
      <c r="D299" s="28"/>
      <c r="E299" s="28"/>
    </row>
    <row r="300">
      <c r="A300" s="28"/>
      <c r="B300" s="28"/>
      <c r="C300" s="28"/>
      <c r="D300" s="28"/>
      <c r="E300" s="28"/>
    </row>
    <row r="301">
      <c r="A301" s="28"/>
      <c r="B301" s="28"/>
      <c r="C301" s="28"/>
      <c r="D301" s="28"/>
      <c r="E301" s="28"/>
    </row>
    <row r="302">
      <c r="A302" s="28"/>
      <c r="B302" s="28"/>
      <c r="C302" s="28"/>
      <c r="D302" s="28"/>
      <c r="E302" s="28"/>
    </row>
    <row r="303">
      <c r="A303" s="28"/>
      <c r="B303" s="28"/>
      <c r="C303" s="28"/>
      <c r="D303" s="28"/>
      <c r="E303" s="28"/>
    </row>
    <row r="304">
      <c r="A304" s="28"/>
      <c r="B304" s="28"/>
      <c r="C304" s="28"/>
      <c r="D304" s="28"/>
      <c r="E304" s="28"/>
    </row>
    <row r="305">
      <c r="A305" s="28"/>
      <c r="B305" s="28"/>
      <c r="C305" s="28"/>
      <c r="D305" s="28"/>
      <c r="E305" s="28"/>
    </row>
    <row r="306">
      <c r="A306" s="28"/>
      <c r="B306" s="28"/>
      <c r="C306" s="28"/>
      <c r="D306" s="28"/>
      <c r="E306" s="28"/>
    </row>
    <row r="307">
      <c r="A307" s="28"/>
      <c r="B307" s="28"/>
      <c r="C307" s="28"/>
      <c r="D307" s="28"/>
      <c r="E307" s="28"/>
    </row>
    <row r="308">
      <c r="A308" s="28"/>
      <c r="B308" s="28"/>
      <c r="C308" s="28"/>
      <c r="D308" s="28"/>
      <c r="E308" s="28"/>
    </row>
    <row r="309">
      <c r="A309" s="28"/>
      <c r="B309" s="28"/>
      <c r="C309" s="28"/>
      <c r="D309" s="28"/>
      <c r="E309" s="28"/>
    </row>
    <row r="310">
      <c r="A310" s="28"/>
      <c r="B310" s="28"/>
      <c r="C310" s="28"/>
      <c r="D310" s="28"/>
      <c r="E310" s="28"/>
    </row>
    <row r="311">
      <c r="A311" s="28"/>
      <c r="B311" s="28"/>
      <c r="C311" s="28"/>
      <c r="D311" s="28"/>
      <c r="E311" s="28"/>
    </row>
    <row r="312">
      <c r="A312" s="28"/>
      <c r="B312" s="28"/>
      <c r="C312" s="28"/>
      <c r="D312" s="28"/>
      <c r="E312" s="28"/>
    </row>
    <row r="313">
      <c r="A313" s="28"/>
      <c r="B313" s="28"/>
      <c r="C313" s="28"/>
      <c r="D313" s="28"/>
      <c r="E313" s="28"/>
    </row>
    <row r="314">
      <c r="A314" s="28"/>
      <c r="B314" s="28"/>
      <c r="C314" s="28"/>
      <c r="D314" s="28"/>
      <c r="E314" s="28"/>
    </row>
    <row r="315">
      <c r="A315" s="28"/>
      <c r="B315" s="28"/>
      <c r="C315" s="28"/>
      <c r="D315" s="28"/>
      <c r="E315" s="28"/>
    </row>
    <row r="316">
      <c r="A316" s="28"/>
      <c r="B316" s="28"/>
      <c r="C316" s="28"/>
      <c r="D316" s="28"/>
      <c r="E316" s="28"/>
    </row>
    <row r="317">
      <c r="A317" s="28"/>
      <c r="B317" s="28"/>
      <c r="C317" s="28"/>
      <c r="D317" s="28"/>
      <c r="E317" s="28"/>
    </row>
    <row r="318">
      <c r="A318" s="28"/>
      <c r="B318" s="28"/>
      <c r="C318" s="28"/>
      <c r="D318" s="28"/>
      <c r="E318" s="28"/>
    </row>
    <row r="319">
      <c r="A319" s="28"/>
      <c r="B319" s="28"/>
      <c r="C319" s="28"/>
      <c r="D319" s="28"/>
      <c r="E319" s="28"/>
    </row>
    <row r="320">
      <c r="A320" s="28"/>
      <c r="B320" s="28"/>
      <c r="C320" s="28"/>
      <c r="D320" s="28"/>
      <c r="E320" s="28"/>
    </row>
    <row r="321">
      <c r="A321" s="28"/>
      <c r="B321" s="28"/>
      <c r="C321" s="28"/>
      <c r="D321" s="28"/>
      <c r="E321" s="28"/>
    </row>
    <row r="322">
      <c r="A322" s="28"/>
      <c r="B322" s="28"/>
      <c r="C322" s="28"/>
      <c r="D322" s="28"/>
      <c r="E322" s="28"/>
    </row>
    <row r="323">
      <c r="A323" s="28"/>
      <c r="B323" s="28"/>
      <c r="C323" s="28"/>
      <c r="D323" s="28"/>
      <c r="E323" s="28"/>
    </row>
    <row r="324">
      <c r="A324" s="28"/>
      <c r="B324" s="28"/>
      <c r="C324" s="28"/>
      <c r="D324" s="28"/>
      <c r="E324" s="28"/>
    </row>
    <row r="325">
      <c r="A325" s="28"/>
      <c r="B325" s="28"/>
      <c r="C325" s="28"/>
      <c r="D325" s="28"/>
      <c r="E325" s="28"/>
    </row>
    <row r="326">
      <c r="A326" s="28"/>
      <c r="B326" s="28"/>
      <c r="C326" s="28"/>
      <c r="D326" s="28"/>
      <c r="E326" s="28"/>
    </row>
    <row r="327">
      <c r="A327" s="28"/>
      <c r="B327" s="28"/>
      <c r="C327" s="28"/>
      <c r="D327" s="28"/>
      <c r="E327" s="28"/>
    </row>
    <row r="328">
      <c r="A328" s="28"/>
      <c r="B328" s="28"/>
      <c r="C328" s="28"/>
      <c r="D328" s="28"/>
      <c r="E328" s="28"/>
    </row>
    <row r="329">
      <c r="A329" s="28"/>
      <c r="B329" s="28"/>
      <c r="C329" s="28"/>
      <c r="D329" s="28"/>
      <c r="E329" s="28"/>
    </row>
    <row r="330">
      <c r="A330" s="28"/>
      <c r="B330" s="28"/>
      <c r="C330" s="28"/>
      <c r="D330" s="28"/>
      <c r="E330" s="28"/>
    </row>
    <row r="331">
      <c r="A331" s="28"/>
      <c r="B331" s="28"/>
      <c r="C331" s="28"/>
      <c r="D331" s="28"/>
      <c r="E331" s="28"/>
    </row>
    <row r="332">
      <c r="A332" s="28"/>
      <c r="B332" s="28"/>
      <c r="C332" s="28"/>
      <c r="D332" s="28"/>
      <c r="E332" s="28"/>
    </row>
    <row r="333">
      <c r="A333" s="28"/>
      <c r="B333" s="28"/>
      <c r="C333" s="28"/>
      <c r="D333" s="28"/>
      <c r="E333" s="28"/>
    </row>
    <row r="334">
      <c r="A334" s="28"/>
      <c r="B334" s="28"/>
      <c r="C334" s="28"/>
      <c r="D334" s="28"/>
      <c r="E334" s="28"/>
    </row>
    <row r="335">
      <c r="A335" s="28"/>
      <c r="B335" s="28"/>
      <c r="C335" s="28"/>
      <c r="D335" s="28"/>
      <c r="E335" s="28"/>
    </row>
    <row r="336">
      <c r="A336" s="28"/>
      <c r="B336" s="28"/>
      <c r="C336" s="28"/>
      <c r="D336" s="28"/>
      <c r="E336" s="28"/>
    </row>
    <row r="337">
      <c r="A337" s="28"/>
      <c r="B337" s="28"/>
      <c r="C337" s="28"/>
      <c r="D337" s="28"/>
      <c r="E337" s="28"/>
    </row>
    <row r="338">
      <c r="A338" s="28"/>
      <c r="B338" s="28"/>
      <c r="C338" s="28"/>
      <c r="D338" s="28"/>
      <c r="E338" s="28"/>
    </row>
    <row r="339">
      <c r="A339" s="28"/>
      <c r="B339" s="28"/>
      <c r="C339" s="28"/>
      <c r="D339" s="28"/>
      <c r="E339" s="28"/>
    </row>
    <row r="340">
      <c r="A340" s="28"/>
      <c r="B340" s="28"/>
      <c r="C340" s="28"/>
      <c r="D340" s="28"/>
      <c r="E340" s="28"/>
    </row>
    <row r="341">
      <c r="A341" s="28"/>
      <c r="B341" s="28"/>
      <c r="C341" s="28"/>
      <c r="D341" s="28"/>
      <c r="E341" s="28"/>
    </row>
    <row r="342">
      <c r="A342" s="28"/>
      <c r="B342" s="28"/>
      <c r="C342" s="28"/>
      <c r="D342" s="28"/>
      <c r="E342" s="28"/>
    </row>
    <row r="343">
      <c r="A343" s="28"/>
      <c r="B343" s="28"/>
      <c r="C343" s="28"/>
      <c r="D343" s="28"/>
      <c r="E343" s="28"/>
    </row>
    <row r="344">
      <c r="A344" s="28"/>
      <c r="B344" s="28"/>
      <c r="C344" s="28"/>
      <c r="D344" s="28"/>
      <c r="E344" s="28"/>
    </row>
    <row r="345">
      <c r="A345" s="28"/>
      <c r="B345" s="28"/>
      <c r="C345" s="28"/>
      <c r="D345" s="28"/>
      <c r="E345" s="28"/>
    </row>
    <row r="346">
      <c r="A346" s="28"/>
      <c r="B346" s="28"/>
      <c r="C346" s="28"/>
      <c r="D346" s="28"/>
      <c r="E346" s="28"/>
    </row>
    <row r="347">
      <c r="A347" s="28"/>
      <c r="B347" s="28"/>
      <c r="C347" s="28"/>
      <c r="D347" s="28"/>
      <c r="E347" s="28"/>
    </row>
    <row r="348">
      <c r="A348" s="28"/>
      <c r="B348" s="28"/>
      <c r="C348" s="28"/>
      <c r="D348" s="28"/>
      <c r="E348" s="28"/>
    </row>
    <row r="349">
      <c r="A349" s="28"/>
      <c r="B349" s="28"/>
      <c r="C349" s="28"/>
      <c r="D349" s="28"/>
      <c r="E349" s="28"/>
    </row>
    <row r="350">
      <c r="A350" s="28"/>
      <c r="B350" s="28"/>
      <c r="C350" s="28"/>
      <c r="D350" s="28"/>
      <c r="E350" s="28"/>
    </row>
    <row r="351">
      <c r="A351" s="28"/>
      <c r="B351" s="28"/>
      <c r="C351" s="28"/>
      <c r="D351" s="28"/>
      <c r="E351" s="28"/>
    </row>
    <row r="352">
      <c r="A352" s="28"/>
      <c r="B352" s="28"/>
      <c r="C352" s="28"/>
      <c r="D352" s="28"/>
      <c r="E352" s="28"/>
    </row>
    <row r="353">
      <c r="A353" s="28"/>
      <c r="B353" s="28"/>
      <c r="C353" s="28"/>
      <c r="D353" s="28"/>
      <c r="E353" s="28"/>
    </row>
    <row r="354">
      <c r="A354" s="28"/>
      <c r="B354" s="28"/>
      <c r="C354" s="28"/>
      <c r="D354" s="28"/>
      <c r="E354" s="28"/>
    </row>
    <row r="355">
      <c r="A355" s="28"/>
      <c r="B355" s="28"/>
      <c r="C355" s="28"/>
      <c r="D355" s="28"/>
      <c r="E355" s="28"/>
    </row>
    <row r="356">
      <c r="A356" s="28"/>
      <c r="B356" s="28"/>
      <c r="C356" s="28"/>
      <c r="D356" s="28"/>
      <c r="E356" s="28"/>
    </row>
    <row r="357">
      <c r="A357" s="28"/>
      <c r="B357" s="28"/>
      <c r="C357" s="28"/>
      <c r="D357" s="28"/>
      <c r="E357" s="28"/>
    </row>
    <row r="358">
      <c r="A358" s="28"/>
      <c r="B358" s="28"/>
      <c r="C358" s="28"/>
      <c r="D358" s="28"/>
      <c r="E358" s="28"/>
    </row>
    <row r="359">
      <c r="A359" s="28"/>
      <c r="B359" s="28"/>
      <c r="C359" s="28"/>
      <c r="D359" s="28"/>
      <c r="E359" s="28"/>
    </row>
    <row r="360">
      <c r="A360" s="28"/>
      <c r="B360" s="28"/>
      <c r="C360" s="28"/>
      <c r="D360" s="28"/>
      <c r="E360" s="28"/>
    </row>
    <row r="361">
      <c r="A361" s="28"/>
      <c r="B361" s="28"/>
      <c r="C361" s="28"/>
      <c r="D361" s="28"/>
      <c r="E361" s="28"/>
    </row>
    <row r="362">
      <c r="A362" s="28"/>
      <c r="B362" s="28"/>
      <c r="C362" s="28"/>
      <c r="D362" s="28"/>
      <c r="E362" s="28"/>
    </row>
    <row r="363">
      <c r="A363" s="28"/>
      <c r="B363" s="28"/>
      <c r="C363" s="28"/>
      <c r="D363" s="28"/>
      <c r="E363" s="28"/>
    </row>
    <row r="364">
      <c r="A364" s="28"/>
      <c r="B364" s="28"/>
      <c r="C364" s="28"/>
      <c r="D364" s="28"/>
      <c r="E364" s="28"/>
    </row>
    <row r="365">
      <c r="A365" s="28"/>
      <c r="B365" s="28"/>
      <c r="C365" s="28"/>
      <c r="D365" s="28"/>
      <c r="E365" s="28"/>
    </row>
    <row r="366">
      <c r="A366" s="28"/>
      <c r="B366" s="28"/>
      <c r="C366" s="28"/>
      <c r="D366" s="28"/>
      <c r="E366" s="28"/>
    </row>
    <row r="367">
      <c r="A367" s="28"/>
      <c r="B367" s="28"/>
      <c r="C367" s="28"/>
      <c r="D367" s="28"/>
      <c r="E367" s="28"/>
    </row>
    <row r="368">
      <c r="A368" s="28"/>
      <c r="B368" s="28"/>
      <c r="C368" s="28"/>
      <c r="D368" s="28"/>
      <c r="E368" s="28"/>
    </row>
    <row r="369">
      <c r="A369" s="28"/>
      <c r="B369" s="28"/>
      <c r="C369" s="28"/>
      <c r="D369" s="28"/>
      <c r="E369" s="28"/>
    </row>
    <row r="370">
      <c r="A370" s="28"/>
      <c r="B370" s="28"/>
      <c r="C370" s="28"/>
      <c r="D370" s="28"/>
      <c r="E370" s="28"/>
    </row>
    <row r="371">
      <c r="A371" s="28"/>
      <c r="B371" s="28"/>
      <c r="C371" s="28"/>
      <c r="D371" s="28"/>
      <c r="E371" s="28"/>
    </row>
    <row r="372">
      <c r="A372" s="28"/>
      <c r="B372" s="28"/>
      <c r="C372" s="28"/>
      <c r="D372" s="28"/>
      <c r="E372" s="28"/>
    </row>
    <row r="373">
      <c r="A373" s="28"/>
      <c r="B373" s="28"/>
      <c r="C373" s="28"/>
      <c r="D373" s="28"/>
      <c r="E373" s="28"/>
    </row>
    <row r="374">
      <c r="A374" s="28"/>
      <c r="B374" s="28"/>
      <c r="C374" s="28"/>
      <c r="D374" s="28"/>
      <c r="E374" s="28"/>
    </row>
    <row r="375">
      <c r="A375" s="28"/>
      <c r="B375" s="28"/>
      <c r="C375" s="28"/>
      <c r="D375" s="28"/>
      <c r="E375" s="28"/>
    </row>
    <row r="376">
      <c r="A376" s="28"/>
      <c r="B376" s="28"/>
      <c r="C376" s="28"/>
      <c r="D376" s="28"/>
      <c r="E376" s="28"/>
    </row>
    <row r="377">
      <c r="A377" s="28"/>
      <c r="B377" s="28"/>
      <c r="C377" s="28"/>
      <c r="D377" s="28"/>
      <c r="E377" s="28"/>
    </row>
    <row r="378">
      <c r="A378" s="28"/>
      <c r="B378" s="28"/>
      <c r="C378" s="28"/>
      <c r="D378" s="28"/>
      <c r="E378" s="28"/>
    </row>
    <row r="379">
      <c r="A379" s="28"/>
      <c r="B379" s="28"/>
      <c r="C379" s="28"/>
      <c r="D379" s="28"/>
      <c r="E379" s="28"/>
    </row>
    <row r="380">
      <c r="A380" s="28"/>
      <c r="B380" s="28"/>
      <c r="C380" s="28"/>
      <c r="D380" s="28"/>
      <c r="E380" s="28"/>
    </row>
    <row r="381">
      <c r="A381" s="28"/>
      <c r="B381" s="28"/>
      <c r="C381" s="28"/>
      <c r="D381" s="28"/>
      <c r="E381" s="28"/>
    </row>
    <row r="382">
      <c r="A382" s="28"/>
      <c r="B382" s="28"/>
      <c r="C382" s="28"/>
      <c r="D382" s="28"/>
      <c r="E382" s="28"/>
    </row>
    <row r="383">
      <c r="A383" s="28"/>
      <c r="B383" s="28"/>
      <c r="C383" s="28"/>
      <c r="D383" s="28"/>
      <c r="E383" s="28"/>
    </row>
    <row r="384">
      <c r="A384" s="28"/>
      <c r="B384" s="28"/>
      <c r="C384" s="28"/>
      <c r="D384" s="28"/>
      <c r="E384" s="28"/>
    </row>
    <row r="385">
      <c r="A385" s="28"/>
      <c r="B385" s="28"/>
      <c r="C385" s="28"/>
      <c r="D385" s="28"/>
      <c r="E385" s="28"/>
    </row>
    <row r="386">
      <c r="A386" s="28"/>
      <c r="B386" s="28"/>
      <c r="C386" s="28"/>
      <c r="D386" s="28"/>
      <c r="E386" s="28"/>
    </row>
    <row r="387">
      <c r="A387" s="28"/>
      <c r="B387" s="28"/>
      <c r="C387" s="28"/>
      <c r="D387" s="28"/>
      <c r="E387" s="28"/>
    </row>
    <row r="388">
      <c r="A388" s="28"/>
      <c r="B388" s="28"/>
      <c r="C388" s="28"/>
      <c r="D388" s="28"/>
      <c r="E388" s="28"/>
    </row>
    <row r="389">
      <c r="A389" s="28"/>
      <c r="B389" s="28"/>
      <c r="C389" s="28"/>
      <c r="D389" s="28"/>
      <c r="E389" s="28"/>
    </row>
    <row r="390">
      <c r="A390" s="28"/>
      <c r="B390" s="28"/>
      <c r="C390" s="28"/>
      <c r="D390" s="28"/>
      <c r="E390" s="28"/>
    </row>
    <row r="391">
      <c r="A391" s="28"/>
      <c r="B391" s="28"/>
      <c r="C391" s="28"/>
      <c r="D391" s="28"/>
      <c r="E391" s="28"/>
    </row>
    <row r="392">
      <c r="A392" s="28"/>
      <c r="B392" s="28"/>
      <c r="C392" s="28"/>
      <c r="D392" s="28"/>
      <c r="E392" s="28"/>
    </row>
    <row r="393">
      <c r="A393" s="28"/>
      <c r="B393" s="28"/>
      <c r="C393" s="28"/>
      <c r="D393" s="28"/>
      <c r="E393" s="28"/>
    </row>
    <row r="394">
      <c r="A394" s="28"/>
      <c r="B394" s="28"/>
      <c r="C394" s="28"/>
      <c r="D394" s="28"/>
      <c r="E394" s="28"/>
    </row>
    <row r="395">
      <c r="A395" s="28"/>
      <c r="B395" s="28"/>
      <c r="C395" s="28"/>
      <c r="D395" s="28"/>
      <c r="E395" s="28"/>
    </row>
    <row r="396">
      <c r="A396" s="28"/>
      <c r="B396" s="28"/>
      <c r="C396" s="28"/>
      <c r="D396" s="28"/>
      <c r="E396" s="28"/>
    </row>
    <row r="397">
      <c r="A397" s="28"/>
      <c r="B397" s="28"/>
      <c r="C397" s="28"/>
      <c r="D397" s="28"/>
      <c r="E397" s="28"/>
    </row>
    <row r="398">
      <c r="A398" s="28"/>
      <c r="B398" s="28"/>
      <c r="C398" s="28"/>
      <c r="D398" s="28"/>
      <c r="E398" s="28"/>
    </row>
    <row r="399">
      <c r="A399" s="28"/>
      <c r="B399" s="28"/>
      <c r="C399" s="28"/>
      <c r="D399" s="28"/>
      <c r="E399" s="28"/>
    </row>
    <row r="400">
      <c r="A400" s="28"/>
      <c r="B400" s="28"/>
      <c r="C400" s="28"/>
      <c r="D400" s="28"/>
      <c r="E400" s="28"/>
    </row>
    <row r="401">
      <c r="A401" s="28"/>
      <c r="B401" s="28"/>
      <c r="C401" s="28"/>
      <c r="D401" s="28"/>
      <c r="E401" s="28"/>
    </row>
    <row r="402">
      <c r="A402" s="28"/>
      <c r="B402" s="28"/>
      <c r="C402" s="28"/>
      <c r="D402" s="28"/>
      <c r="E402" s="28"/>
    </row>
    <row r="403">
      <c r="A403" s="28"/>
      <c r="B403" s="28"/>
      <c r="C403" s="28"/>
      <c r="D403" s="28"/>
      <c r="E403" s="28"/>
    </row>
    <row r="404">
      <c r="A404" s="28"/>
      <c r="B404" s="28"/>
      <c r="C404" s="28"/>
      <c r="D404" s="28"/>
      <c r="E404" s="28"/>
    </row>
    <row r="405">
      <c r="A405" s="28"/>
      <c r="B405" s="28"/>
      <c r="C405" s="28"/>
      <c r="D405" s="28"/>
      <c r="E405" s="28"/>
    </row>
    <row r="406">
      <c r="A406" s="28"/>
      <c r="B406" s="28"/>
      <c r="C406" s="28"/>
      <c r="D406" s="28"/>
      <c r="E406" s="28"/>
    </row>
    <row r="407">
      <c r="A407" s="28"/>
      <c r="B407" s="28"/>
      <c r="C407" s="28"/>
      <c r="D407" s="28"/>
      <c r="E407" s="28"/>
    </row>
    <row r="408">
      <c r="A408" s="28"/>
      <c r="B408" s="28"/>
      <c r="C408" s="28"/>
      <c r="D408" s="28"/>
      <c r="E408" s="28"/>
    </row>
    <row r="409">
      <c r="A409" s="28"/>
      <c r="B409" s="28"/>
      <c r="C409" s="28"/>
      <c r="D409" s="28"/>
      <c r="E409" s="28"/>
    </row>
    <row r="410">
      <c r="A410" s="28"/>
      <c r="B410" s="28"/>
      <c r="C410" s="28"/>
      <c r="D410" s="28"/>
      <c r="E410" s="28"/>
    </row>
    <row r="411">
      <c r="A411" s="28"/>
      <c r="B411" s="28"/>
      <c r="C411" s="28"/>
      <c r="D411" s="28"/>
      <c r="E411" s="28"/>
    </row>
    <row r="412">
      <c r="A412" s="28"/>
      <c r="B412" s="28"/>
      <c r="C412" s="28"/>
      <c r="D412" s="28"/>
      <c r="E412" s="28"/>
    </row>
    <row r="413">
      <c r="A413" s="28"/>
      <c r="B413" s="28"/>
      <c r="C413" s="28"/>
      <c r="D413" s="28"/>
      <c r="E413" s="28"/>
    </row>
    <row r="414">
      <c r="A414" s="28"/>
      <c r="B414" s="28"/>
      <c r="C414" s="28"/>
      <c r="D414" s="28"/>
      <c r="E414" s="28"/>
    </row>
    <row r="415">
      <c r="A415" s="28"/>
      <c r="B415" s="28"/>
      <c r="C415" s="28"/>
      <c r="D415" s="28"/>
      <c r="E415" s="28"/>
    </row>
    <row r="416">
      <c r="A416" s="28"/>
      <c r="B416" s="28"/>
      <c r="C416" s="28"/>
      <c r="D416" s="28"/>
      <c r="E416" s="28"/>
    </row>
    <row r="417">
      <c r="A417" s="28"/>
      <c r="B417" s="28"/>
      <c r="C417" s="28"/>
      <c r="D417" s="28"/>
      <c r="E417" s="28"/>
    </row>
    <row r="418">
      <c r="A418" s="28"/>
      <c r="B418" s="28"/>
      <c r="C418" s="28"/>
      <c r="D418" s="28"/>
      <c r="E418" s="28"/>
    </row>
    <row r="419">
      <c r="A419" s="28"/>
      <c r="B419" s="28"/>
      <c r="C419" s="28"/>
      <c r="D419" s="28"/>
      <c r="E419" s="28"/>
    </row>
    <row r="420">
      <c r="A420" s="28"/>
      <c r="B420" s="28"/>
      <c r="C420" s="28"/>
      <c r="D420" s="28"/>
      <c r="E420" s="28"/>
    </row>
    <row r="421">
      <c r="A421" s="28"/>
      <c r="B421" s="28"/>
      <c r="C421" s="28"/>
      <c r="D421" s="28"/>
      <c r="E421" s="28"/>
    </row>
    <row r="422">
      <c r="A422" s="28"/>
      <c r="B422" s="28"/>
      <c r="C422" s="28"/>
      <c r="D422" s="28"/>
      <c r="E422" s="28"/>
    </row>
    <row r="423">
      <c r="A423" s="28"/>
      <c r="B423" s="28"/>
      <c r="C423" s="28"/>
      <c r="D423" s="28"/>
      <c r="E423" s="28"/>
    </row>
    <row r="424">
      <c r="A424" s="28"/>
      <c r="B424" s="28"/>
      <c r="C424" s="28"/>
      <c r="D424" s="28"/>
      <c r="E424" s="28"/>
    </row>
    <row r="425">
      <c r="A425" s="28"/>
      <c r="B425" s="28"/>
      <c r="C425" s="28"/>
      <c r="D425" s="28"/>
      <c r="E425" s="28"/>
    </row>
    <row r="426">
      <c r="A426" s="28"/>
      <c r="B426" s="28"/>
      <c r="C426" s="28"/>
      <c r="D426" s="28"/>
      <c r="E426" s="28"/>
    </row>
    <row r="427">
      <c r="A427" s="28"/>
      <c r="B427" s="28"/>
      <c r="C427" s="28"/>
      <c r="D427" s="28"/>
      <c r="E427" s="28"/>
    </row>
    <row r="428">
      <c r="A428" s="28"/>
      <c r="B428" s="28"/>
      <c r="C428" s="28"/>
      <c r="D428" s="28"/>
      <c r="E428" s="28"/>
    </row>
    <row r="429">
      <c r="A429" s="28"/>
      <c r="B429" s="28"/>
      <c r="C429" s="28"/>
      <c r="D429" s="28"/>
      <c r="E429" s="28"/>
    </row>
    <row r="430">
      <c r="A430" s="28"/>
      <c r="B430" s="28"/>
      <c r="C430" s="28"/>
      <c r="D430" s="28"/>
      <c r="E430" s="28"/>
    </row>
    <row r="431">
      <c r="A431" s="28"/>
      <c r="B431" s="28"/>
      <c r="C431" s="28"/>
      <c r="D431" s="28"/>
      <c r="E431" s="28"/>
    </row>
    <row r="432">
      <c r="A432" s="28"/>
      <c r="B432" s="28"/>
      <c r="C432" s="28"/>
      <c r="D432" s="28"/>
      <c r="E432" s="28"/>
    </row>
    <row r="433">
      <c r="A433" s="28"/>
      <c r="B433" s="28"/>
      <c r="C433" s="28"/>
      <c r="D433" s="28"/>
      <c r="E433" s="28"/>
    </row>
    <row r="434">
      <c r="A434" s="28"/>
      <c r="B434" s="28"/>
      <c r="C434" s="28"/>
      <c r="D434" s="28"/>
      <c r="E434" s="28"/>
    </row>
    <row r="435">
      <c r="A435" s="28"/>
      <c r="B435" s="28"/>
      <c r="C435" s="28"/>
      <c r="D435" s="28"/>
      <c r="E435" s="28"/>
    </row>
    <row r="436">
      <c r="A436" s="28"/>
      <c r="B436" s="28"/>
      <c r="C436" s="28"/>
      <c r="D436" s="28"/>
      <c r="E436" s="28"/>
    </row>
    <row r="437">
      <c r="A437" s="28"/>
      <c r="B437" s="28"/>
      <c r="C437" s="28"/>
      <c r="D437" s="28"/>
      <c r="E437" s="28"/>
    </row>
    <row r="438">
      <c r="A438" s="28"/>
      <c r="B438" s="28"/>
      <c r="C438" s="28"/>
      <c r="D438" s="28"/>
      <c r="E438" s="28"/>
    </row>
    <row r="439">
      <c r="A439" s="28"/>
      <c r="B439" s="28"/>
      <c r="C439" s="28"/>
      <c r="D439" s="28"/>
      <c r="E439" s="28"/>
    </row>
    <row r="440">
      <c r="A440" s="28"/>
      <c r="B440" s="28"/>
      <c r="C440" s="28"/>
      <c r="D440" s="28"/>
      <c r="E440" s="28"/>
    </row>
    <row r="441">
      <c r="A441" s="28"/>
      <c r="B441" s="28"/>
      <c r="C441" s="28"/>
      <c r="D441" s="28"/>
      <c r="E441" s="28"/>
    </row>
    <row r="442">
      <c r="A442" s="28"/>
      <c r="B442" s="28"/>
      <c r="C442" s="28"/>
      <c r="D442" s="28"/>
      <c r="E442" s="28"/>
    </row>
    <row r="443">
      <c r="A443" s="28"/>
      <c r="B443" s="28"/>
      <c r="C443" s="28"/>
      <c r="D443" s="28"/>
      <c r="E443" s="28"/>
    </row>
    <row r="444">
      <c r="A444" s="28"/>
      <c r="B444" s="28"/>
      <c r="C444" s="28"/>
      <c r="D444" s="28"/>
      <c r="E444" s="28"/>
    </row>
    <row r="445">
      <c r="A445" s="28"/>
      <c r="B445" s="28"/>
      <c r="C445" s="28"/>
      <c r="D445" s="28"/>
      <c r="E445" s="28"/>
    </row>
    <row r="446">
      <c r="A446" s="28"/>
      <c r="B446" s="28"/>
      <c r="C446" s="28"/>
      <c r="D446" s="28"/>
      <c r="E446" s="28"/>
    </row>
    <row r="447">
      <c r="A447" s="28"/>
      <c r="B447" s="28"/>
      <c r="C447" s="28"/>
      <c r="D447" s="28"/>
      <c r="E447" s="28"/>
    </row>
    <row r="448">
      <c r="A448" s="28"/>
      <c r="B448" s="28"/>
      <c r="C448" s="28"/>
      <c r="D448" s="28"/>
      <c r="E448" s="28"/>
    </row>
    <row r="449">
      <c r="A449" s="28"/>
      <c r="B449" s="28"/>
      <c r="C449" s="28"/>
      <c r="D449" s="28"/>
      <c r="E449" s="28"/>
    </row>
    <row r="450">
      <c r="A450" s="28"/>
      <c r="B450" s="28"/>
      <c r="C450" s="28"/>
      <c r="D450" s="28"/>
      <c r="E450" s="28"/>
    </row>
    <row r="451">
      <c r="A451" s="28"/>
      <c r="B451" s="28"/>
      <c r="C451" s="28"/>
      <c r="D451" s="28"/>
      <c r="E451" s="28"/>
    </row>
    <row r="452">
      <c r="A452" s="28"/>
      <c r="B452" s="28"/>
      <c r="C452" s="28"/>
      <c r="D452" s="28"/>
      <c r="E452" s="28"/>
    </row>
    <row r="453">
      <c r="A453" s="28"/>
      <c r="B453" s="28"/>
      <c r="C453" s="28"/>
      <c r="D453" s="28"/>
      <c r="E453" s="28"/>
    </row>
    <row r="454">
      <c r="A454" s="28"/>
      <c r="B454" s="28"/>
      <c r="C454" s="28"/>
      <c r="D454" s="28"/>
      <c r="E454" s="28"/>
    </row>
    <row r="455">
      <c r="A455" s="28"/>
      <c r="B455" s="28"/>
      <c r="C455" s="28"/>
      <c r="D455" s="28"/>
      <c r="E455" s="28"/>
    </row>
    <row r="456">
      <c r="A456" s="28"/>
      <c r="B456" s="28"/>
      <c r="C456" s="28"/>
      <c r="D456" s="28"/>
      <c r="E456" s="28"/>
    </row>
    <row r="457">
      <c r="A457" s="28"/>
      <c r="B457" s="28"/>
      <c r="C457" s="28"/>
      <c r="D457" s="28"/>
      <c r="E457" s="28"/>
    </row>
    <row r="458">
      <c r="A458" s="28"/>
      <c r="B458" s="28"/>
      <c r="C458" s="28"/>
      <c r="D458" s="28"/>
      <c r="E458" s="28"/>
    </row>
    <row r="459">
      <c r="A459" s="28"/>
      <c r="B459" s="28"/>
      <c r="C459" s="28"/>
      <c r="D459" s="28"/>
      <c r="E459" s="28"/>
    </row>
    <row r="460">
      <c r="A460" s="28"/>
      <c r="B460" s="28"/>
      <c r="C460" s="28"/>
      <c r="D460" s="28"/>
      <c r="E460" s="28"/>
    </row>
    <row r="461">
      <c r="A461" s="28"/>
      <c r="B461" s="28"/>
      <c r="C461" s="28"/>
      <c r="D461" s="28"/>
      <c r="E461" s="28"/>
    </row>
    <row r="462">
      <c r="A462" s="28"/>
      <c r="B462" s="28"/>
      <c r="C462" s="28"/>
      <c r="D462" s="28"/>
      <c r="E462" s="28"/>
    </row>
    <row r="463">
      <c r="A463" s="28"/>
      <c r="B463" s="28"/>
      <c r="C463" s="28"/>
      <c r="D463" s="28"/>
      <c r="E463" s="28"/>
    </row>
    <row r="464">
      <c r="A464" s="28"/>
      <c r="B464" s="28"/>
      <c r="C464" s="28"/>
      <c r="D464" s="28"/>
      <c r="E464" s="28"/>
    </row>
    <row r="465">
      <c r="A465" s="28"/>
      <c r="B465" s="28"/>
      <c r="C465" s="28"/>
      <c r="D465" s="28"/>
      <c r="E465" s="28"/>
    </row>
    <row r="466">
      <c r="A466" s="28"/>
      <c r="B466" s="28"/>
      <c r="C466" s="28"/>
      <c r="D466" s="28"/>
      <c r="E466" s="28"/>
    </row>
    <row r="467">
      <c r="A467" s="28"/>
      <c r="B467" s="28"/>
      <c r="C467" s="28"/>
      <c r="D467" s="28"/>
      <c r="E467" s="28"/>
    </row>
    <row r="468">
      <c r="A468" s="28"/>
      <c r="B468" s="28"/>
      <c r="C468" s="28"/>
      <c r="D468" s="28"/>
      <c r="E468" s="28"/>
    </row>
    <row r="469">
      <c r="A469" s="28"/>
      <c r="B469" s="28"/>
      <c r="C469" s="28"/>
      <c r="D469" s="28"/>
      <c r="E469" s="28"/>
    </row>
    <row r="470">
      <c r="A470" s="28"/>
      <c r="B470" s="28"/>
      <c r="C470" s="28"/>
      <c r="D470" s="28"/>
      <c r="E470" s="28"/>
    </row>
    <row r="471">
      <c r="A471" s="28"/>
      <c r="B471" s="28"/>
      <c r="C471" s="28"/>
      <c r="D471" s="28"/>
      <c r="E471" s="28"/>
    </row>
    <row r="472">
      <c r="A472" s="28"/>
      <c r="B472" s="28"/>
      <c r="C472" s="28"/>
      <c r="D472" s="28"/>
      <c r="E472" s="28"/>
    </row>
    <row r="473">
      <c r="A473" s="28"/>
      <c r="B473" s="28"/>
      <c r="C473" s="28"/>
      <c r="D473" s="28"/>
      <c r="E473" s="28"/>
    </row>
    <row r="474">
      <c r="A474" s="28"/>
      <c r="B474" s="28"/>
      <c r="C474" s="28"/>
      <c r="D474" s="28"/>
      <c r="E474" s="28"/>
    </row>
    <row r="475">
      <c r="A475" s="28"/>
      <c r="B475" s="28"/>
      <c r="C475" s="28"/>
      <c r="D475" s="28"/>
      <c r="E475" s="28"/>
    </row>
    <row r="476">
      <c r="A476" s="28"/>
      <c r="B476" s="28"/>
      <c r="C476" s="28"/>
      <c r="D476" s="28"/>
      <c r="E476" s="28"/>
    </row>
    <row r="477">
      <c r="A477" s="28"/>
      <c r="B477" s="28"/>
      <c r="C477" s="28"/>
      <c r="D477" s="28"/>
      <c r="E477" s="28"/>
    </row>
    <row r="478">
      <c r="A478" s="28"/>
      <c r="B478" s="28"/>
      <c r="C478" s="28"/>
      <c r="D478" s="28"/>
      <c r="E478" s="28"/>
    </row>
    <row r="479">
      <c r="A479" s="28"/>
      <c r="B479" s="28"/>
      <c r="C479" s="28"/>
      <c r="D479" s="28"/>
      <c r="E479" s="28"/>
    </row>
    <row r="480">
      <c r="A480" s="28"/>
      <c r="B480" s="28"/>
      <c r="C480" s="28"/>
      <c r="D480" s="28"/>
      <c r="E480" s="28"/>
    </row>
    <row r="481">
      <c r="A481" s="28"/>
      <c r="B481" s="28"/>
      <c r="C481" s="28"/>
      <c r="D481" s="28"/>
      <c r="E481" s="28"/>
    </row>
    <row r="482">
      <c r="A482" s="28"/>
      <c r="B482" s="28"/>
      <c r="C482" s="28"/>
      <c r="D482" s="28"/>
      <c r="E482" s="28"/>
    </row>
    <row r="483">
      <c r="A483" s="28"/>
      <c r="B483" s="28"/>
      <c r="C483" s="28"/>
      <c r="D483" s="28"/>
      <c r="E483" s="28"/>
    </row>
    <row r="484">
      <c r="A484" s="28"/>
      <c r="B484" s="28"/>
      <c r="C484" s="28"/>
      <c r="D484" s="28"/>
      <c r="E484" s="28"/>
    </row>
    <row r="485">
      <c r="A485" s="28"/>
      <c r="B485" s="28"/>
      <c r="C485" s="28"/>
      <c r="D485" s="28"/>
      <c r="E485" s="28"/>
    </row>
    <row r="486">
      <c r="A486" s="28"/>
      <c r="B486" s="28"/>
      <c r="C486" s="28"/>
      <c r="D486" s="28"/>
      <c r="E486" s="28"/>
    </row>
    <row r="487">
      <c r="A487" s="28"/>
      <c r="B487" s="28"/>
      <c r="C487" s="28"/>
      <c r="D487" s="28"/>
      <c r="E487" s="28"/>
    </row>
    <row r="488">
      <c r="A488" s="28"/>
      <c r="B488" s="28"/>
      <c r="C488" s="28"/>
      <c r="D488" s="28"/>
      <c r="E488" s="28"/>
    </row>
    <row r="489">
      <c r="A489" s="28"/>
      <c r="B489" s="28"/>
      <c r="C489" s="28"/>
      <c r="D489" s="28"/>
      <c r="E489" s="28"/>
    </row>
    <row r="490">
      <c r="A490" s="28"/>
      <c r="B490" s="28"/>
      <c r="C490" s="28"/>
      <c r="D490" s="28"/>
      <c r="E490" s="28"/>
    </row>
    <row r="491">
      <c r="A491" s="28"/>
      <c r="B491" s="28"/>
      <c r="C491" s="28"/>
      <c r="D491" s="28"/>
      <c r="E491" s="28"/>
    </row>
    <row r="492">
      <c r="A492" s="28"/>
      <c r="B492" s="28"/>
      <c r="C492" s="28"/>
      <c r="D492" s="28"/>
      <c r="E492" s="28"/>
    </row>
    <row r="493">
      <c r="A493" s="28"/>
      <c r="B493" s="28"/>
      <c r="C493" s="28"/>
      <c r="D493" s="28"/>
      <c r="E493" s="28"/>
    </row>
    <row r="494">
      <c r="A494" s="28"/>
      <c r="B494" s="28"/>
      <c r="C494" s="28"/>
      <c r="D494" s="28"/>
      <c r="E494" s="28"/>
    </row>
    <row r="495">
      <c r="A495" s="28"/>
      <c r="B495" s="28"/>
      <c r="C495" s="28"/>
      <c r="D495" s="28"/>
      <c r="E495" s="28"/>
    </row>
    <row r="496">
      <c r="A496" s="28"/>
      <c r="B496" s="28"/>
      <c r="C496" s="28"/>
      <c r="D496" s="28"/>
      <c r="E496" s="28"/>
    </row>
    <row r="497">
      <c r="A497" s="28"/>
      <c r="B497" s="28"/>
      <c r="C497" s="28"/>
      <c r="D497" s="28"/>
      <c r="E497" s="28"/>
    </row>
    <row r="498">
      <c r="A498" s="28"/>
      <c r="B498" s="28"/>
      <c r="C498" s="28"/>
      <c r="D498" s="28"/>
      <c r="E498" s="28"/>
    </row>
    <row r="499">
      <c r="A499" s="28"/>
      <c r="B499" s="28"/>
      <c r="C499" s="28"/>
      <c r="D499" s="28"/>
      <c r="E499" s="28"/>
    </row>
    <row r="500">
      <c r="A500" s="28"/>
      <c r="B500" s="28"/>
      <c r="C500" s="28"/>
      <c r="D500" s="28"/>
      <c r="E500" s="28"/>
    </row>
    <row r="501">
      <c r="A501" s="28"/>
      <c r="B501" s="28"/>
      <c r="C501" s="28"/>
      <c r="D501" s="28"/>
      <c r="E501" s="28"/>
    </row>
    <row r="502">
      <c r="A502" s="28"/>
      <c r="B502" s="28"/>
      <c r="C502" s="28"/>
      <c r="D502" s="28"/>
      <c r="E502" s="28"/>
    </row>
    <row r="503">
      <c r="A503" s="28"/>
      <c r="B503" s="28"/>
      <c r="C503" s="28"/>
      <c r="D503" s="28"/>
      <c r="E503" s="28"/>
    </row>
    <row r="504">
      <c r="A504" s="28"/>
      <c r="B504" s="28"/>
      <c r="C504" s="28"/>
      <c r="D504" s="28"/>
      <c r="E504" s="28"/>
    </row>
    <row r="505">
      <c r="A505" s="28"/>
      <c r="B505" s="28"/>
      <c r="C505" s="28"/>
      <c r="D505" s="28"/>
      <c r="E505" s="28"/>
    </row>
    <row r="506">
      <c r="A506" s="28"/>
      <c r="B506" s="28"/>
      <c r="C506" s="28"/>
      <c r="D506" s="28"/>
      <c r="E506" s="28"/>
    </row>
    <row r="507">
      <c r="A507" s="28"/>
      <c r="B507" s="28"/>
      <c r="C507" s="28"/>
      <c r="D507" s="28"/>
      <c r="E507" s="28"/>
    </row>
    <row r="508">
      <c r="A508" s="28"/>
      <c r="B508" s="28"/>
      <c r="C508" s="28"/>
      <c r="D508" s="28"/>
      <c r="E508" s="28"/>
    </row>
    <row r="509">
      <c r="A509" s="28"/>
      <c r="B509" s="28"/>
      <c r="C509" s="28"/>
      <c r="D509" s="28"/>
      <c r="E509" s="28"/>
    </row>
    <row r="510">
      <c r="A510" s="28"/>
      <c r="B510" s="28"/>
      <c r="C510" s="28"/>
      <c r="D510" s="28"/>
      <c r="E510" s="28"/>
    </row>
    <row r="511">
      <c r="A511" s="28"/>
      <c r="B511" s="28"/>
      <c r="C511" s="28"/>
      <c r="D511" s="28"/>
      <c r="E511" s="28"/>
    </row>
    <row r="512">
      <c r="A512" s="28"/>
      <c r="B512" s="28"/>
      <c r="C512" s="28"/>
      <c r="D512" s="28"/>
      <c r="E512" s="28"/>
    </row>
    <row r="513">
      <c r="A513" s="28"/>
      <c r="B513" s="28"/>
      <c r="C513" s="28"/>
      <c r="D513" s="28"/>
      <c r="E513" s="28"/>
    </row>
    <row r="514">
      <c r="A514" s="28"/>
      <c r="B514" s="28"/>
      <c r="C514" s="28"/>
      <c r="D514" s="28"/>
      <c r="E514" s="28"/>
    </row>
    <row r="515">
      <c r="A515" s="28"/>
      <c r="B515" s="28"/>
      <c r="C515" s="28"/>
      <c r="D515" s="28"/>
      <c r="E515" s="28"/>
    </row>
    <row r="516">
      <c r="A516" s="28"/>
      <c r="B516" s="28"/>
      <c r="C516" s="28"/>
      <c r="D516" s="28"/>
      <c r="E516" s="28"/>
    </row>
    <row r="517">
      <c r="A517" s="28"/>
      <c r="B517" s="28"/>
      <c r="C517" s="28"/>
      <c r="D517" s="28"/>
      <c r="E517" s="28"/>
    </row>
    <row r="518">
      <c r="A518" s="28"/>
      <c r="B518" s="28"/>
      <c r="C518" s="28"/>
      <c r="D518" s="28"/>
      <c r="E518" s="28"/>
    </row>
    <row r="519">
      <c r="A519" s="28"/>
      <c r="B519" s="28"/>
      <c r="C519" s="28"/>
      <c r="D519" s="28"/>
      <c r="E519" s="28"/>
    </row>
    <row r="520">
      <c r="A520" s="28"/>
      <c r="B520" s="28"/>
      <c r="C520" s="28"/>
      <c r="D520" s="28"/>
      <c r="E520" s="28"/>
    </row>
    <row r="521">
      <c r="A521" s="28"/>
      <c r="B521" s="28"/>
      <c r="C521" s="28"/>
      <c r="D521" s="28"/>
      <c r="E521" s="28"/>
    </row>
    <row r="522">
      <c r="A522" s="28"/>
      <c r="B522" s="28"/>
      <c r="C522" s="28"/>
      <c r="D522" s="28"/>
      <c r="E522" s="28"/>
    </row>
    <row r="523">
      <c r="A523" s="28"/>
      <c r="B523" s="28"/>
      <c r="C523" s="28"/>
      <c r="D523" s="28"/>
      <c r="E523" s="28"/>
    </row>
    <row r="524">
      <c r="A524" s="28"/>
      <c r="B524" s="28"/>
      <c r="C524" s="28"/>
      <c r="D524" s="28"/>
      <c r="E524" s="28"/>
    </row>
    <row r="525">
      <c r="A525" s="28"/>
      <c r="B525" s="28"/>
      <c r="C525" s="28"/>
      <c r="D525" s="28"/>
      <c r="E525" s="28"/>
    </row>
    <row r="526">
      <c r="A526" s="28"/>
      <c r="B526" s="28"/>
      <c r="C526" s="28"/>
      <c r="D526" s="28"/>
      <c r="E526" s="28"/>
    </row>
    <row r="527">
      <c r="A527" s="28"/>
      <c r="B527" s="28"/>
      <c r="C527" s="28"/>
      <c r="D527" s="28"/>
      <c r="E527" s="28"/>
    </row>
    <row r="528">
      <c r="A528" s="28"/>
      <c r="B528" s="28"/>
      <c r="C528" s="28"/>
      <c r="D528" s="28"/>
      <c r="E528" s="28"/>
    </row>
    <row r="529">
      <c r="A529" s="28"/>
      <c r="B529" s="28"/>
      <c r="C529" s="28"/>
      <c r="D529" s="28"/>
      <c r="E529" s="28"/>
    </row>
    <row r="530">
      <c r="A530" s="28"/>
      <c r="B530" s="28"/>
      <c r="C530" s="28"/>
      <c r="D530" s="28"/>
      <c r="E530" s="28"/>
    </row>
    <row r="531">
      <c r="A531" s="28"/>
      <c r="B531" s="28"/>
      <c r="C531" s="28"/>
      <c r="D531" s="28"/>
      <c r="E531" s="28"/>
    </row>
    <row r="532">
      <c r="A532" s="28"/>
      <c r="B532" s="28"/>
      <c r="C532" s="28"/>
      <c r="D532" s="28"/>
      <c r="E532" s="28"/>
    </row>
    <row r="533">
      <c r="A533" s="28"/>
      <c r="B533" s="28"/>
      <c r="C533" s="28"/>
      <c r="D533" s="28"/>
      <c r="E533" s="28"/>
    </row>
    <row r="534">
      <c r="A534" s="28"/>
      <c r="B534" s="28"/>
      <c r="C534" s="28"/>
      <c r="D534" s="28"/>
      <c r="E534" s="28"/>
    </row>
    <row r="535">
      <c r="A535" s="28"/>
      <c r="B535" s="28"/>
      <c r="C535" s="28"/>
      <c r="D535" s="28"/>
      <c r="E535" s="28"/>
    </row>
    <row r="536">
      <c r="A536" s="28"/>
      <c r="B536" s="28"/>
      <c r="C536" s="28"/>
      <c r="D536" s="28"/>
      <c r="E536" s="28"/>
    </row>
    <row r="537">
      <c r="A537" s="28"/>
      <c r="B537" s="28"/>
      <c r="C537" s="28"/>
      <c r="D537" s="28"/>
      <c r="E537" s="28"/>
    </row>
    <row r="538">
      <c r="A538" s="28"/>
      <c r="B538" s="28"/>
      <c r="C538" s="28"/>
      <c r="D538" s="28"/>
      <c r="E538" s="28"/>
    </row>
    <row r="539">
      <c r="A539" s="28"/>
      <c r="B539" s="28"/>
      <c r="C539" s="28"/>
      <c r="D539" s="28"/>
      <c r="E539" s="28"/>
    </row>
    <row r="540">
      <c r="A540" s="28"/>
      <c r="B540" s="28"/>
      <c r="C540" s="28"/>
      <c r="D540" s="28"/>
      <c r="E540" s="28"/>
    </row>
    <row r="541">
      <c r="A541" s="28"/>
      <c r="B541" s="28"/>
      <c r="C541" s="28"/>
      <c r="D541" s="28"/>
      <c r="E541" s="28"/>
    </row>
    <row r="542">
      <c r="A542" s="28"/>
      <c r="B542" s="28"/>
      <c r="C542" s="28"/>
      <c r="D542" s="28"/>
      <c r="E542" s="28"/>
    </row>
    <row r="543">
      <c r="A543" s="28"/>
      <c r="B543" s="28"/>
      <c r="C543" s="28"/>
      <c r="D543" s="28"/>
      <c r="E543" s="28"/>
    </row>
    <row r="544">
      <c r="A544" s="28"/>
      <c r="B544" s="28"/>
      <c r="C544" s="28"/>
      <c r="D544" s="28"/>
      <c r="E544" s="28"/>
    </row>
    <row r="545">
      <c r="A545" s="28"/>
      <c r="B545" s="28"/>
      <c r="C545" s="28"/>
      <c r="D545" s="28"/>
      <c r="E545" s="28"/>
    </row>
    <row r="546">
      <c r="A546" s="28"/>
      <c r="B546" s="28"/>
      <c r="C546" s="28"/>
      <c r="D546" s="28"/>
      <c r="E546" s="28"/>
    </row>
    <row r="547">
      <c r="A547" s="28"/>
      <c r="B547" s="28"/>
      <c r="C547" s="28"/>
      <c r="D547" s="28"/>
      <c r="E547" s="28"/>
    </row>
    <row r="548">
      <c r="A548" s="28"/>
      <c r="B548" s="28"/>
      <c r="C548" s="28"/>
      <c r="D548" s="28"/>
      <c r="E548" s="28"/>
    </row>
    <row r="549">
      <c r="A549" s="28"/>
      <c r="B549" s="28"/>
      <c r="C549" s="28"/>
      <c r="D549" s="28"/>
      <c r="E549" s="28"/>
    </row>
    <row r="550">
      <c r="A550" s="28"/>
      <c r="B550" s="28"/>
      <c r="C550" s="28"/>
      <c r="D550" s="28"/>
      <c r="E550" s="28"/>
    </row>
    <row r="551">
      <c r="A551" s="28"/>
      <c r="B551" s="28"/>
      <c r="C551" s="28"/>
      <c r="D551" s="28"/>
      <c r="E551" s="28"/>
    </row>
    <row r="552">
      <c r="A552" s="28"/>
      <c r="B552" s="28"/>
      <c r="C552" s="28"/>
      <c r="D552" s="28"/>
      <c r="E552" s="28"/>
    </row>
    <row r="553">
      <c r="A553" s="28"/>
      <c r="B553" s="28"/>
      <c r="C553" s="28"/>
      <c r="D553" s="28"/>
      <c r="E553" s="28"/>
    </row>
    <row r="554">
      <c r="A554" s="28"/>
      <c r="B554" s="28"/>
      <c r="C554" s="28"/>
      <c r="D554" s="28"/>
      <c r="E554" s="28"/>
    </row>
    <row r="555">
      <c r="A555" s="28"/>
      <c r="B555" s="28"/>
      <c r="C555" s="28"/>
      <c r="D555" s="28"/>
      <c r="E555" s="28"/>
    </row>
    <row r="556">
      <c r="A556" s="28"/>
      <c r="B556" s="28"/>
      <c r="C556" s="28"/>
      <c r="D556" s="28"/>
      <c r="E556" s="28"/>
    </row>
    <row r="557">
      <c r="A557" s="28"/>
      <c r="B557" s="28"/>
      <c r="C557" s="28"/>
      <c r="D557" s="28"/>
      <c r="E557" s="28"/>
    </row>
    <row r="558">
      <c r="A558" s="28"/>
      <c r="B558" s="28"/>
      <c r="C558" s="28"/>
      <c r="D558" s="28"/>
      <c r="E558" s="28"/>
    </row>
    <row r="559">
      <c r="A559" s="28"/>
      <c r="B559" s="28"/>
      <c r="C559" s="28"/>
      <c r="D559" s="28"/>
      <c r="E559" s="28"/>
    </row>
    <row r="560">
      <c r="A560" s="28"/>
      <c r="B560" s="28"/>
      <c r="C560" s="28"/>
      <c r="D560" s="28"/>
      <c r="E560" s="28"/>
    </row>
    <row r="561">
      <c r="A561" s="28"/>
      <c r="B561" s="28"/>
      <c r="C561" s="28"/>
      <c r="D561" s="28"/>
      <c r="E561" s="28"/>
    </row>
    <row r="562">
      <c r="A562" s="28"/>
      <c r="B562" s="28"/>
      <c r="C562" s="28"/>
      <c r="D562" s="28"/>
      <c r="E562" s="28"/>
    </row>
    <row r="563">
      <c r="A563" s="28"/>
      <c r="B563" s="28"/>
      <c r="C563" s="28"/>
      <c r="D563" s="28"/>
      <c r="E563" s="28"/>
    </row>
    <row r="564">
      <c r="A564" s="28"/>
      <c r="B564" s="28"/>
      <c r="C564" s="28"/>
      <c r="D564" s="28"/>
      <c r="E564" s="28"/>
    </row>
    <row r="565">
      <c r="A565" s="28"/>
      <c r="B565" s="28"/>
      <c r="C565" s="28"/>
      <c r="D565" s="28"/>
      <c r="E565" s="28"/>
    </row>
    <row r="566">
      <c r="A566" s="28"/>
      <c r="B566" s="28"/>
      <c r="C566" s="28"/>
      <c r="D566" s="28"/>
      <c r="E566" s="28"/>
    </row>
    <row r="567">
      <c r="A567" s="28"/>
      <c r="B567" s="28"/>
      <c r="C567" s="28"/>
      <c r="D567" s="28"/>
      <c r="E567" s="28"/>
    </row>
    <row r="568">
      <c r="A568" s="28"/>
      <c r="B568" s="28"/>
      <c r="C568" s="28"/>
      <c r="D568" s="28"/>
      <c r="E568" s="28"/>
    </row>
    <row r="569">
      <c r="A569" s="28"/>
      <c r="B569" s="28"/>
      <c r="C569" s="28"/>
      <c r="D569" s="28"/>
      <c r="E569" s="28"/>
    </row>
    <row r="570">
      <c r="A570" s="28"/>
      <c r="B570" s="28"/>
      <c r="C570" s="28"/>
      <c r="D570" s="28"/>
      <c r="E570" s="28"/>
    </row>
    <row r="571">
      <c r="A571" s="28"/>
      <c r="B571" s="28"/>
      <c r="C571" s="28"/>
      <c r="D571" s="28"/>
      <c r="E571" s="28"/>
    </row>
    <row r="572">
      <c r="A572" s="28"/>
      <c r="B572" s="28"/>
      <c r="C572" s="28"/>
      <c r="D572" s="28"/>
      <c r="E572" s="28"/>
    </row>
    <row r="573">
      <c r="A573" s="28"/>
      <c r="B573" s="28"/>
      <c r="C573" s="28"/>
      <c r="D573" s="28"/>
      <c r="E573" s="28"/>
    </row>
    <row r="574">
      <c r="A574" s="28"/>
      <c r="B574" s="28"/>
      <c r="C574" s="28"/>
      <c r="D574" s="28"/>
      <c r="E574" s="28"/>
    </row>
    <row r="575">
      <c r="A575" s="28"/>
      <c r="B575" s="28"/>
      <c r="C575" s="28"/>
      <c r="D575" s="28"/>
      <c r="E575" s="28"/>
    </row>
    <row r="576">
      <c r="A576" s="28"/>
      <c r="B576" s="28"/>
      <c r="C576" s="28"/>
      <c r="D576" s="28"/>
      <c r="E576" s="28"/>
    </row>
    <row r="577">
      <c r="A577" s="28"/>
      <c r="B577" s="28"/>
      <c r="C577" s="28"/>
      <c r="D577" s="28"/>
      <c r="E577" s="28"/>
    </row>
    <row r="578">
      <c r="A578" s="28"/>
      <c r="B578" s="28"/>
      <c r="C578" s="28"/>
      <c r="D578" s="28"/>
      <c r="E578" s="28"/>
    </row>
    <row r="579">
      <c r="A579" s="28"/>
      <c r="B579" s="28"/>
      <c r="C579" s="28"/>
      <c r="D579" s="28"/>
      <c r="E579" s="28"/>
    </row>
    <row r="580">
      <c r="A580" s="28"/>
      <c r="B580" s="28"/>
      <c r="C580" s="28"/>
      <c r="D580" s="28"/>
      <c r="E580" s="28"/>
    </row>
    <row r="581">
      <c r="A581" s="28"/>
      <c r="B581" s="28"/>
      <c r="C581" s="28"/>
      <c r="D581" s="28"/>
      <c r="E581" s="28"/>
    </row>
    <row r="582">
      <c r="A582" s="28"/>
      <c r="B582" s="28"/>
      <c r="C582" s="28"/>
      <c r="D582" s="28"/>
      <c r="E582" s="28"/>
    </row>
    <row r="583">
      <c r="A583" s="28"/>
      <c r="B583" s="28"/>
      <c r="C583" s="28"/>
      <c r="D583" s="28"/>
      <c r="E583" s="28"/>
    </row>
    <row r="584">
      <c r="A584" s="28"/>
      <c r="B584" s="28"/>
      <c r="C584" s="28"/>
      <c r="D584" s="28"/>
      <c r="E584" s="28"/>
    </row>
    <row r="585">
      <c r="A585" s="28"/>
      <c r="B585" s="28"/>
      <c r="C585" s="28"/>
      <c r="D585" s="28"/>
      <c r="E585" s="28"/>
    </row>
    <row r="586">
      <c r="A586" s="28"/>
      <c r="B586" s="28"/>
      <c r="C586" s="28"/>
      <c r="D586" s="28"/>
      <c r="E586" s="28"/>
    </row>
    <row r="587">
      <c r="A587" s="28"/>
      <c r="B587" s="28"/>
      <c r="C587" s="28"/>
      <c r="D587" s="28"/>
      <c r="E587" s="28"/>
    </row>
    <row r="588">
      <c r="A588" s="28"/>
      <c r="B588" s="28"/>
      <c r="C588" s="28"/>
      <c r="D588" s="28"/>
      <c r="E588" s="28"/>
    </row>
    <row r="589">
      <c r="A589" s="28"/>
      <c r="B589" s="28"/>
      <c r="C589" s="28"/>
      <c r="D589" s="28"/>
      <c r="E589" s="28"/>
    </row>
    <row r="590">
      <c r="A590" s="28"/>
      <c r="B590" s="28"/>
      <c r="C590" s="28"/>
      <c r="D590" s="28"/>
      <c r="E590" s="28"/>
    </row>
    <row r="591">
      <c r="A591" s="28"/>
      <c r="B591" s="28"/>
      <c r="C591" s="28"/>
      <c r="D591" s="28"/>
      <c r="E591" s="28"/>
    </row>
    <row r="592">
      <c r="A592" s="28"/>
      <c r="B592" s="28"/>
      <c r="C592" s="28"/>
      <c r="D592" s="28"/>
      <c r="E592" s="28"/>
    </row>
    <row r="593">
      <c r="A593" s="28"/>
      <c r="B593" s="28"/>
      <c r="C593" s="28"/>
      <c r="D593" s="28"/>
      <c r="E593" s="28"/>
    </row>
    <row r="594">
      <c r="A594" s="28"/>
      <c r="B594" s="28"/>
      <c r="C594" s="28"/>
      <c r="D594" s="28"/>
      <c r="E594" s="28"/>
    </row>
    <row r="595">
      <c r="A595" s="28"/>
      <c r="B595" s="28"/>
      <c r="C595" s="28"/>
      <c r="D595" s="28"/>
      <c r="E595" s="28"/>
    </row>
    <row r="596">
      <c r="A596" s="28"/>
      <c r="B596" s="28"/>
      <c r="C596" s="28"/>
      <c r="D596" s="28"/>
      <c r="E596" s="28"/>
    </row>
    <row r="597">
      <c r="A597" s="28"/>
      <c r="B597" s="28"/>
      <c r="C597" s="28"/>
      <c r="D597" s="28"/>
      <c r="E597" s="28"/>
    </row>
    <row r="598">
      <c r="A598" s="28"/>
      <c r="B598" s="28"/>
      <c r="C598" s="28"/>
      <c r="D598" s="28"/>
      <c r="E598" s="28"/>
    </row>
    <row r="599">
      <c r="A599" s="28"/>
      <c r="B599" s="28"/>
      <c r="C599" s="28"/>
      <c r="D599" s="28"/>
      <c r="E599" s="28"/>
    </row>
    <row r="600">
      <c r="A600" s="28"/>
      <c r="B600" s="28"/>
      <c r="C600" s="28"/>
      <c r="D600" s="28"/>
      <c r="E600" s="28"/>
    </row>
    <row r="601">
      <c r="A601" s="28"/>
      <c r="B601" s="28"/>
      <c r="C601" s="28"/>
      <c r="D601" s="28"/>
      <c r="E601" s="28"/>
    </row>
    <row r="602">
      <c r="A602" s="28"/>
      <c r="B602" s="28"/>
      <c r="C602" s="28"/>
      <c r="D602" s="28"/>
      <c r="E602" s="28"/>
    </row>
    <row r="603">
      <c r="A603" s="28"/>
      <c r="B603" s="28"/>
      <c r="C603" s="28"/>
      <c r="D603" s="28"/>
      <c r="E603" s="28"/>
    </row>
    <row r="604">
      <c r="A604" s="28"/>
      <c r="B604" s="28"/>
      <c r="C604" s="28"/>
      <c r="D604" s="28"/>
      <c r="E604" s="28"/>
    </row>
    <row r="605">
      <c r="A605" s="28"/>
      <c r="B605" s="28"/>
      <c r="C605" s="28"/>
      <c r="D605" s="28"/>
      <c r="E605" s="28"/>
    </row>
    <row r="606">
      <c r="A606" s="28"/>
      <c r="B606" s="28"/>
      <c r="C606" s="28"/>
      <c r="D606" s="28"/>
      <c r="E606" s="28"/>
    </row>
    <row r="607">
      <c r="A607" s="28"/>
      <c r="B607" s="28"/>
      <c r="C607" s="28"/>
      <c r="D607" s="28"/>
      <c r="E607" s="28"/>
    </row>
    <row r="608">
      <c r="A608" s="28"/>
      <c r="B608" s="28"/>
      <c r="C608" s="28"/>
      <c r="D608" s="28"/>
      <c r="E608" s="28"/>
    </row>
    <row r="609">
      <c r="A609" s="28"/>
      <c r="B609" s="28"/>
      <c r="C609" s="28"/>
      <c r="D609" s="28"/>
      <c r="E609" s="28"/>
    </row>
    <row r="610">
      <c r="A610" s="28"/>
      <c r="B610" s="28"/>
      <c r="C610" s="28"/>
      <c r="D610" s="28"/>
      <c r="E610" s="28"/>
    </row>
    <row r="611">
      <c r="A611" s="28"/>
      <c r="B611" s="28"/>
      <c r="C611" s="28"/>
      <c r="D611" s="28"/>
      <c r="E611" s="28"/>
    </row>
    <row r="612">
      <c r="A612" s="28"/>
      <c r="B612" s="28"/>
      <c r="C612" s="28"/>
      <c r="D612" s="28"/>
      <c r="E612" s="28"/>
    </row>
    <row r="613">
      <c r="A613" s="28"/>
      <c r="B613" s="28"/>
      <c r="C613" s="28"/>
      <c r="D613" s="28"/>
      <c r="E613" s="28"/>
    </row>
    <row r="614">
      <c r="A614" s="28"/>
      <c r="B614" s="28"/>
      <c r="C614" s="28"/>
      <c r="D614" s="28"/>
      <c r="E614" s="28"/>
    </row>
    <row r="615">
      <c r="A615" s="28"/>
      <c r="B615" s="28"/>
      <c r="C615" s="28"/>
      <c r="D615" s="28"/>
      <c r="E615" s="28"/>
    </row>
    <row r="616">
      <c r="A616" s="28"/>
      <c r="B616" s="28"/>
      <c r="C616" s="28"/>
      <c r="D616" s="28"/>
      <c r="E616" s="28"/>
    </row>
    <row r="617">
      <c r="A617" s="28"/>
      <c r="B617" s="28"/>
      <c r="C617" s="28"/>
      <c r="D617" s="28"/>
      <c r="E617" s="28"/>
    </row>
    <row r="618">
      <c r="A618" s="28"/>
      <c r="B618" s="28"/>
      <c r="C618" s="28"/>
      <c r="D618" s="28"/>
      <c r="E618" s="28"/>
    </row>
    <row r="619">
      <c r="A619" s="28"/>
      <c r="B619" s="28"/>
      <c r="C619" s="28"/>
      <c r="D619" s="28"/>
      <c r="E619" s="28"/>
    </row>
    <row r="620">
      <c r="A620" s="28"/>
      <c r="B620" s="28"/>
      <c r="C620" s="28"/>
      <c r="D620" s="28"/>
      <c r="E620" s="28"/>
    </row>
    <row r="621">
      <c r="A621" s="28"/>
      <c r="B621" s="28"/>
      <c r="C621" s="28"/>
      <c r="D621" s="28"/>
      <c r="E621" s="28"/>
    </row>
    <row r="622">
      <c r="A622" s="28"/>
      <c r="B622" s="28"/>
      <c r="C622" s="28"/>
      <c r="D622" s="28"/>
      <c r="E622" s="28"/>
    </row>
    <row r="623">
      <c r="A623" s="28"/>
      <c r="B623" s="28"/>
      <c r="C623" s="28"/>
      <c r="D623" s="28"/>
      <c r="E623" s="28"/>
    </row>
    <row r="624">
      <c r="A624" s="28"/>
      <c r="B624" s="28"/>
      <c r="C624" s="28"/>
      <c r="D624" s="28"/>
      <c r="E624" s="28"/>
    </row>
    <row r="625">
      <c r="A625" s="28"/>
      <c r="B625" s="28"/>
      <c r="C625" s="28"/>
      <c r="D625" s="28"/>
      <c r="E625" s="28"/>
    </row>
    <row r="626">
      <c r="A626" s="28"/>
      <c r="B626" s="28"/>
      <c r="C626" s="28"/>
      <c r="D626" s="28"/>
      <c r="E626" s="28"/>
    </row>
    <row r="627">
      <c r="A627" s="28"/>
      <c r="B627" s="28"/>
      <c r="C627" s="28"/>
      <c r="D627" s="28"/>
      <c r="E627" s="28"/>
    </row>
    <row r="628">
      <c r="A628" s="28"/>
      <c r="B628" s="28"/>
      <c r="C628" s="28"/>
      <c r="D628" s="28"/>
      <c r="E628" s="28"/>
    </row>
    <row r="629">
      <c r="A629" s="28"/>
      <c r="B629" s="28"/>
      <c r="C629" s="28"/>
      <c r="D629" s="28"/>
      <c r="E629" s="28"/>
    </row>
    <row r="630">
      <c r="A630" s="28"/>
      <c r="B630" s="28"/>
      <c r="C630" s="28"/>
      <c r="D630" s="28"/>
      <c r="E630" s="28"/>
    </row>
    <row r="631">
      <c r="A631" s="28"/>
      <c r="B631" s="28"/>
      <c r="C631" s="28"/>
      <c r="D631" s="28"/>
      <c r="E631" s="28"/>
    </row>
    <row r="632">
      <c r="A632" s="28"/>
      <c r="B632" s="28"/>
      <c r="C632" s="28"/>
      <c r="D632" s="28"/>
      <c r="E632" s="28"/>
    </row>
    <row r="633">
      <c r="A633" s="28"/>
      <c r="B633" s="28"/>
      <c r="C633" s="28"/>
      <c r="D633" s="28"/>
      <c r="E633" s="28"/>
    </row>
    <row r="634">
      <c r="A634" s="28"/>
      <c r="B634" s="28"/>
      <c r="C634" s="28"/>
      <c r="D634" s="28"/>
      <c r="E634" s="28"/>
    </row>
    <row r="635">
      <c r="A635" s="28"/>
      <c r="B635" s="28"/>
      <c r="C635" s="28"/>
      <c r="D635" s="28"/>
      <c r="E635" s="28"/>
    </row>
    <row r="636">
      <c r="A636" s="28"/>
      <c r="B636" s="28"/>
      <c r="C636" s="28"/>
      <c r="D636" s="28"/>
      <c r="E636" s="28"/>
    </row>
    <row r="637">
      <c r="A637" s="28"/>
      <c r="B637" s="28"/>
      <c r="C637" s="28"/>
      <c r="D637" s="28"/>
      <c r="E637" s="28"/>
    </row>
    <row r="638">
      <c r="A638" s="28"/>
      <c r="B638" s="28"/>
      <c r="C638" s="28"/>
      <c r="D638" s="28"/>
      <c r="E638" s="28"/>
    </row>
    <row r="639">
      <c r="A639" s="28"/>
      <c r="B639" s="28"/>
      <c r="C639" s="28"/>
      <c r="D639" s="28"/>
      <c r="E639" s="28"/>
    </row>
    <row r="640">
      <c r="A640" s="28"/>
      <c r="B640" s="28"/>
      <c r="C640" s="28"/>
      <c r="D640" s="28"/>
      <c r="E640" s="28"/>
    </row>
    <row r="641">
      <c r="A641" s="28"/>
      <c r="B641" s="28"/>
      <c r="C641" s="28"/>
      <c r="D641" s="28"/>
      <c r="E641" s="28"/>
    </row>
    <row r="642">
      <c r="A642" s="28"/>
      <c r="B642" s="28"/>
      <c r="C642" s="28"/>
      <c r="D642" s="28"/>
      <c r="E642" s="28"/>
    </row>
    <row r="643">
      <c r="A643" s="28"/>
      <c r="B643" s="28"/>
      <c r="C643" s="28"/>
      <c r="D643" s="28"/>
      <c r="E643" s="28"/>
    </row>
    <row r="644">
      <c r="A644" s="28"/>
      <c r="B644" s="28"/>
      <c r="C644" s="28"/>
      <c r="D644" s="28"/>
      <c r="E644" s="28"/>
    </row>
    <row r="645">
      <c r="A645" s="28"/>
      <c r="B645" s="28"/>
      <c r="C645" s="28"/>
      <c r="D645" s="28"/>
      <c r="E645" s="28"/>
    </row>
    <row r="646">
      <c r="A646" s="28"/>
      <c r="B646" s="28"/>
      <c r="C646" s="28"/>
      <c r="D646" s="28"/>
      <c r="E646" s="28"/>
    </row>
    <row r="647">
      <c r="A647" s="28"/>
      <c r="B647" s="28"/>
      <c r="C647" s="28"/>
      <c r="D647" s="28"/>
      <c r="E647" s="28"/>
    </row>
    <row r="648">
      <c r="A648" s="28"/>
      <c r="B648" s="28"/>
      <c r="C648" s="28"/>
      <c r="D648" s="28"/>
      <c r="E648" s="28"/>
    </row>
    <row r="649">
      <c r="A649" s="28"/>
      <c r="B649" s="28"/>
      <c r="C649" s="28"/>
      <c r="D649" s="28"/>
      <c r="E649" s="28"/>
    </row>
    <row r="650">
      <c r="A650" s="28"/>
      <c r="B650" s="28"/>
      <c r="C650" s="28"/>
      <c r="D650" s="28"/>
      <c r="E650" s="28"/>
    </row>
    <row r="651">
      <c r="A651" s="28"/>
      <c r="B651" s="28"/>
      <c r="C651" s="28"/>
      <c r="D651" s="28"/>
      <c r="E651" s="28"/>
    </row>
    <row r="652">
      <c r="A652" s="28"/>
      <c r="B652" s="28"/>
      <c r="C652" s="28"/>
      <c r="D652" s="28"/>
      <c r="E652" s="28"/>
    </row>
    <row r="653">
      <c r="A653" s="28"/>
      <c r="B653" s="28"/>
      <c r="C653" s="28"/>
      <c r="D653" s="28"/>
      <c r="E653" s="28"/>
    </row>
    <row r="654">
      <c r="A654" s="28"/>
      <c r="B654" s="28"/>
      <c r="C654" s="28"/>
      <c r="D654" s="28"/>
      <c r="E654" s="28"/>
    </row>
    <row r="655">
      <c r="A655" s="28"/>
      <c r="B655" s="28"/>
      <c r="C655" s="28"/>
      <c r="D655" s="28"/>
      <c r="E655" s="28"/>
    </row>
    <row r="656">
      <c r="A656" s="28"/>
      <c r="B656" s="28"/>
      <c r="C656" s="28"/>
      <c r="D656" s="28"/>
      <c r="E656" s="28"/>
    </row>
    <row r="657">
      <c r="A657" s="28"/>
      <c r="B657" s="28"/>
      <c r="C657" s="28"/>
      <c r="D657" s="28"/>
      <c r="E657" s="28"/>
    </row>
    <row r="658">
      <c r="A658" s="28"/>
      <c r="B658" s="28"/>
      <c r="C658" s="28"/>
      <c r="D658" s="28"/>
      <c r="E658" s="28"/>
    </row>
    <row r="659">
      <c r="A659" s="28"/>
      <c r="B659" s="28"/>
      <c r="C659" s="28"/>
      <c r="D659" s="28"/>
      <c r="E659" s="28"/>
    </row>
    <row r="660">
      <c r="A660" s="28"/>
      <c r="B660" s="28"/>
      <c r="C660" s="28"/>
      <c r="D660" s="28"/>
      <c r="E660" s="28"/>
    </row>
    <row r="661">
      <c r="A661" s="28"/>
      <c r="B661" s="28"/>
      <c r="C661" s="28"/>
      <c r="D661" s="28"/>
      <c r="E661" s="28"/>
    </row>
    <row r="662">
      <c r="A662" s="28"/>
      <c r="B662" s="28"/>
      <c r="C662" s="28"/>
      <c r="D662" s="28"/>
      <c r="E662" s="28"/>
    </row>
    <row r="663">
      <c r="A663" s="28"/>
      <c r="B663" s="28"/>
      <c r="C663" s="28"/>
      <c r="D663" s="28"/>
      <c r="E663" s="28"/>
    </row>
    <row r="664">
      <c r="A664" s="28"/>
      <c r="B664" s="28"/>
      <c r="C664" s="28"/>
      <c r="D664" s="28"/>
      <c r="E664" s="28"/>
    </row>
    <row r="665">
      <c r="A665" s="28"/>
      <c r="B665" s="28"/>
      <c r="C665" s="28"/>
      <c r="D665" s="28"/>
      <c r="E665" s="28"/>
    </row>
    <row r="666">
      <c r="A666" s="28"/>
      <c r="B666" s="28"/>
      <c r="C666" s="28"/>
      <c r="D666" s="28"/>
      <c r="E666" s="28"/>
    </row>
    <row r="667">
      <c r="A667" s="28"/>
      <c r="B667" s="28"/>
      <c r="C667" s="28"/>
      <c r="D667" s="28"/>
      <c r="E667" s="28"/>
    </row>
    <row r="668">
      <c r="A668" s="28"/>
      <c r="B668" s="28"/>
      <c r="C668" s="28"/>
      <c r="D668" s="28"/>
      <c r="E668" s="28"/>
    </row>
    <row r="669">
      <c r="A669" s="28"/>
      <c r="B669" s="28"/>
      <c r="C669" s="28"/>
      <c r="D669" s="28"/>
      <c r="E669" s="28"/>
    </row>
    <row r="670">
      <c r="A670" s="28"/>
      <c r="B670" s="28"/>
      <c r="C670" s="28"/>
      <c r="D670" s="28"/>
      <c r="E670" s="28"/>
    </row>
    <row r="671">
      <c r="A671" s="28"/>
      <c r="B671" s="28"/>
      <c r="C671" s="28"/>
      <c r="D671" s="28"/>
      <c r="E671" s="28"/>
    </row>
    <row r="672">
      <c r="A672" s="28"/>
      <c r="B672" s="28"/>
      <c r="C672" s="28"/>
      <c r="D672" s="28"/>
      <c r="E672" s="28"/>
    </row>
    <row r="673">
      <c r="A673" s="28"/>
      <c r="B673" s="28"/>
      <c r="C673" s="28"/>
      <c r="D673" s="28"/>
      <c r="E673" s="28"/>
    </row>
    <row r="674">
      <c r="A674" s="28"/>
      <c r="B674" s="28"/>
      <c r="C674" s="28"/>
      <c r="D674" s="28"/>
      <c r="E674" s="28"/>
    </row>
    <row r="675">
      <c r="A675" s="28"/>
      <c r="B675" s="28"/>
      <c r="C675" s="28"/>
      <c r="D675" s="28"/>
      <c r="E675" s="28"/>
    </row>
    <row r="676">
      <c r="A676" s="28"/>
      <c r="B676" s="28"/>
      <c r="C676" s="28"/>
      <c r="D676" s="28"/>
      <c r="E676" s="28"/>
    </row>
    <row r="677">
      <c r="A677" s="28"/>
      <c r="B677" s="28"/>
      <c r="C677" s="28"/>
      <c r="D677" s="28"/>
      <c r="E677" s="28"/>
    </row>
    <row r="678">
      <c r="A678" s="28"/>
      <c r="B678" s="28"/>
      <c r="C678" s="28"/>
      <c r="D678" s="28"/>
      <c r="E678" s="28"/>
    </row>
    <row r="679">
      <c r="A679" s="28"/>
      <c r="B679" s="28"/>
      <c r="C679" s="28"/>
      <c r="D679" s="28"/>
      <c r="E679" s="28"/>
    </row>
    <row r="680">
      <c r="A680" s="28"/>
      <c r="B680" s="28"/>
      <c r="C680" s="28"/>
      <c r="D680" s="28"/>
      <c r="E680" s="28"/>
    </row>
    <row r="681">
      <c r="A681" s="28"/>
      <c r="B681" s="28"/>
      <c r="C681" s="28"/>
      <c r="D681" s="28"/>
      <c r="E681" s="28"/>
    </row>
    <row r="682">
      <c r="A682" s="28"/>
      <c r="B682" s="28"/>
      <c r="C682" s="28"/>
      <c r="D682" s="28"/>
      <c r="E682" s="28"/>
    </row>
    <row r="683">
      <c r="A683" s="28"/>
      <c r="B683" s="28"/>
      <c r="C683" s="28"/>
      <c r="D683" s="28"/>
      <c r="E683" s="28"/>
    </row>
    <row r="684">
      <c r="A684" s="28"/>
      <c r="B684" s="28"/>
      <c r="C684" s="28"/>
      <c r="D684" s="28"/>
      <c r="E684" s="28"/>
    </row>
    <row r="685">
      <c r="A685" s="28"/>
      <c r="B685" s="28"/>
      <c r="C685" s="28"/>
      <c r="D685" s="28"/>
      <c r="E685" s="28"/>
    </row>
    <row r="686">
      <c r="A686" s="28"/>
      <c r="B686" s="28"/>
      <c r="C686" s="28"/>
      <c r="D686" s="28"/>
      <c r="E686" s="28"/>
    </row>
    <row r="687">
      <c r="A687" s="28"/>
      <c r="B687" s="28"/>
      <c r="C687" s="28"/>
      <c r="D687" s="28"/>
      <c r="E687" s="28"/>
    </row>
    <row r="688">
      <c r="A688" s="28"/>
      <c r="B688" s="28"/>
      <c r="C688" s="28"/>
      <c r="D688" s="28"/>
      <c r="E688" s="28"/>
    </row>
    <row r="689">
      <c r="A689" s="28"/>
      <c r="B689" s="28"/>
      <c r="C689" s="28"/>
      <c r="D689" s="28"/>
      <c r="E689" s="28"/>
    </row>
    <row r="690">
      <c r="A690" s="28"/>
      <c r="B690" s="28"/>
      <c r="C690" s="28"/>
      <c r="D690" s="28"/>
      <c r="E690" s="28"/>
    </row>
    <row r="691">
      <c r="A691" s="28"/>
      <c r="B691" s="28"/>
      <c r="C691" s="28"/>
      <c r="D691" s="28"/>
      <c r="E691" s="28"/>
    </row>
    <row r="692">
      <c r="A692" s="28"/>
      <c r="B692" s="28"/>
      <c r="C692" s="28"/>
      <c r="D692" s="28"/>
      <c r="E692" s="28"/>
    </row>
    <row r="693">
      <c r="A693" s="28"/>
      <c r="B693" s="28"/>
      <c r="C693" s="28"/>
      <c r="D693" s="28"/>
      <c r="E693" s="28"/>
    </row>
    <row r="694">
      <c r="A694" s="28"/>
      <c r="B694" s="28"/>
      <c r="C694" s="28"/>
      <c r="D694" s="28"/>
      <c r="E694" s="28"/>
    </row>
    <row r="695">
      <c r="A695" s="28"/>
      <c r="B695" s="28"/>
      <c r="C695" s="28"/>
      <c r="D695" s="28"/>
      <c r="E695" s="28"/>
    </row>
    <row r="696">
      <c r="A696" s="28"/>
      <c r="B696" s="28"/>
      <c r="C696" s="28"/>
      <c r="D696" s="28"/>
      <c r="E696" s="28"/>
    </row>
    <row r="697">
      <c r="A697" s="28"/>
      <c r="B697" s="28"/>
      <c r="C697" s="28"/>
      <c r="D697" s="28"/>
      <c r="E697" s="28"/>
    </row>
    <row r="698">
      <c r="A698" s="28"/>
      <c r="B698" s="28"/>
      <c r="C698" s="28"/>
      <c r="D698" s="28"/>
      <c r="E698" s="28"/>
    </row>
    <row r="699">
      <c r="A699" s="28"/>
      <c r="B699" s="28"/>
      <c r="C699" s="28"/>
      <c r="D699" s="28"/>
      <c r="E699" s="28"/>
    </row>
    <row r="700">
      <c r="A700" s="28"/>
      <c r="B700" s="28"/>
      <c r="C700" s="28"/>
      <c r="D700" s="28"/>
      <c r="E700" s="28"/>
    </row>
    <row r="701">
      <c r="A701" s="28"/>
      <c r="B701" s="28"/>
      <c r="C701" s="28"/>
      <c r="D701" s="28"/>
      <c r="E701" s="28"/>
    </row>
    <row r="702">
      <c r="A702" s="28"/>
      <c r="B702" s="28"/>
      <c r="C702" s="28"/>
      <c r="D702" s="28"/>
      <c r="E702" s="28"/>
    </row>
    <row r="703">
      <c r="A703" s="28"/>
      <c r="B703" s="28"/>
      <c r="C703" s="28"/>
      <c r="D703" s="28"/>
      <c r="E703" s="28"/>
    </row>
    <row r="704">
      <c r="A704" s="28"/>
      <c r="B704" s="28"/>
      <c r="C704" s="28"/>
      <c r="D704" s="28"/>
      <c r="E704" s="28"/>
    </row>
    <row r="705">
      <c r="A705" s="28"/>
      <c r="B705" s="28"/>
      <c r="C705" s="28"/>
      <c r="D705" s="28"/>
      <c r="E705" s="28"/>
    </row>
    <row r="706">
      <c r="A706" s="28"/>
      <c r="B706" s="28"/>
      <c r="C706" s="28"/>
      <c r="D706" s="28"/>
      <c r="E706" s="28"/>
    </row>
    <row r="707">
      <c r="A707" s="28"/>
      <c r="B707" s="28"/>
      <c r="C707" s="28"/>
      <c r="D707" s="28"/>
      <c r="E707" s="28"/>
    </row>
    <row r="708">
      <c r="A708" s="28"/>
      <c r="B708" s="28"/>
      <c r="C708" s="28"/>
      <c r="D708" s="28"/>
      <c r="E708" s="28"/>
    </row>
    <row r="709">
      <c r="A709" s="28"/>
      <c r="B709" s="28"/>
      <c r="C709" s="28"/>
      <c r="D709" s="28"/>
      <c r="E709" s="28"/>
    </row>
    <row r="710">
      <c r="A710" s="28"/>
      <c r="B710" s="28"/>
      <c r="C710" s="28"/>
      <c r="D710" s="28"/>
      <c r="E710" s="28"/>
    </row>
    <row r="711">
      <c r="A711" s="28"/>
      <c r="B711" s="28"/>
      <c r="C711" s="28"/>
      <c r="D711" s="28"/>
      <c r="E711" s="28"/>
    </row>
    <row r="712">
      <c r="A712" s="28"/>
      <c r="B712" s="28"/>
      <c r="C712" s="28"/>
      <c r="D712" s="28"/>
      <c r="E712" s="28"/>
    </row>
    <row r="713">
      <c r="A713" s="28"/>
      <c r="B713" s="28"/>
      <c r="C713" s="28"/>
      <c r="D713" s="28"/>
      <c r="E713" s="28"/>
    </row>
    <row r="714">
      <c r="A714" s="28"/>
      <c r="B714" s="28"/>
      <c r="C714" s="28"/>
      <c r="D714" s="28"/>
      <c r="E714" s="28"/>
    </row>
    <row r="715">
      <c r="A715" s="28"/>
      <c r="B715" s="28"/>
      <c r="C715" s="28"/>
      <c r="D715" s="28"/>
      <c r="E715" s="28"/>
    </row>
    <row r="716">
      <c r="A716" s="28"/>
      <c r="B716" s="28"/>
      <c r="C716" s="28"/>
      <c r="D716" s="28"/>
      <c r="E716" s="28"/>
    </row>
    <row r="717">
      <c r="A717" s="28"/>
      <c r="B717" s="28"/>
      <c r="C717" s="28"/>
      <c r="D717" s="28"/>
      <c r="E717" s="28"/>
    </row>
    <row r="718">
      <c r="A718" s="28"/>
      <c r="B718" s="28"/>
      <c r="C718" s="28"/>
      <c r="D718" s="28"/>
      <c r="E718" s="28"/>
    </row>
    <row r="719">
      <c r="A719" s="28"/>
      <c r="B719" s="28"/>
      <c r="C719" s="28"/>
      <c r="D719" s="28"/>
      <c r="E719" s="28"/>
    </row>
    <row r="720">
      <c r="A720" s="28"/>
      <c r="B720" s="28"/>
      <c r="C720" s="28"/>
      <c r="D720" s="28"/>
      <c r="E720" s="28"/>
    </row>
    <row r="721">
      <c r="A721" s="28"/>
      <c r="B721" s="28"/>
      <c r="C721" s="28"/>
      <c r="D721" s="28"/>
      <c r="E721" s="28"/>
    </row>
    <row r="722">
      <c r="A722" s="28"/>
      <c r="B722" s="28"/>
      <c r="C722" s="28"/>
      <c r="D722" s="28"/>
      <c r="E722" s="28"/>
    </row>
    <row r="723">
      <c r="A723" s="28"/>
      <c r="B723" s="28"/>
      <c r="C723" s="28"/>
      <c r="D723" s="28"/>
      <c r="E723" s="28"/>
    </row>
    <row r="724">
      <c r="A724" s="28"/>
      <c r="B724" s="28"/>
      <c r="C724" s="28"/>
      <c r="D724" s="28"/>
      <c r="E724" s="28"/>
    </row>
    <row r="725">
      <c r="A725" s="28"/>
      <c r="B725" s="28"/>
      <c r="C725" s="28"/>
      <c r="D725" s="28"/>
      <c r="E725" s="28"/>
    </row>
    <row r="726">
      <c r="A726" s="28"/>
      <c r="B726" s="28"/>
      <c r="C726" s="28"/>
      <c r="D726" s="28"/>
      <c r="E726" s="28"/>
    </row>
    <row r="727">
      <c r="A727" s="28"/>
      <c r="B727" s="28"/>
      <c r="C727" s="28"/>
      <c r="D727" s="28"/>
      <c r="E727" s="28"/>
    </row>
    <row r="728">
      <c r="A728" s="28"/>
      <c r="B728" s="28"/>
      <c r="C728" s="28"/>
      <c r="D728" s="28"/>
      <c r="E728" s="28"/>
    </row>
    <row r="729">
      <c r="A729" s="28"/>
      <c r="B729" s="28"/>
      <c r="C729" s="28"/>
      <c r="D729" s="28"/>
      <c r="E729" s="28"/>
    </row>
    <row r="730">
      <c r="A730" s="28"/>
      <c r="B730" s="28"/>
      <c r="C730" s="28"/>
      <c r="D730" s="28"/>
      <c r="E730" s="28"/>
    </row>
    <row r="731">
      <c r="A731" s="28"/>
      <c r="B731" s="28"/>
      <c r="C731" s="28"/>
      <c r="D731" s="28"/>
      <c r="E731" s="28"/>
    </row>
    <row r="732">
      <c r="A732" s="28"/>
      <c r="B732" s="28"/>
      <c r="C732" s="28"/>
      <c r="D732" s="28"/>
      <c r="E732" s="28"/>
    </row>
    <row r="733">
      <c r="A733" s="28"/>
      <c r="B733" s="28"/>
      <c r="C733" s="28"/>
      <c r="D733" s="28"/>
      <c r="E733" s="28"/>
    </row>
    <row r="734">
      <c r="A734" s="28"/>
      <c r="B734" s="28"/>
      <c r="C734" s="28"/>
      <c r="D734" s="28"/>
      <c r="E734" s="28"/>
    </row>
    <row r="735">
      <c r="A735" s="28"/>
      <c r="B735" s="28"/>
      <c r="C735" s="28"/>
      <c r="D735" s="28"/>
      <c r="E735" s="28"/>
    </row>
    <row r="736">
      <c r="A736" s="28"/>
      <c r="B736" s="28"/>
      <c r="C736" s="28"/>
      <c r="D736" s="28"/>
      <c r="E736" s="28"/>
    </row>
    <row r="737">
      <c r="A737" s="28"/>
      <c r="B737" s="28"/>
      <c r="C737" s="28"/>
      <c r="D737" s="28"/>
      <c r="E737" s="28"/>
    </row>
    <row r="738">
      <c r="A738" s="28"/>
      <c r="B738" s="28"/>
      <c r="C738" s="28"/>
      <c r="D738" s="28"/>
      <c r="E738" s="28"/>
    </row>
    <row r="739">
      <c r="A739" s="28"/>
      <c r="B739" s="28"/>
      <c r="C739" s="28"/>
      <c r="D739" s="28"/>
      <c r="E739" s="28"/>
    </row>
    <row r="740">
      <c r="A740" s="28"/>
      <c r="B740" s="28"/>
      <c r="C740" s="28"/>
      <c r="D740" s="28"/>
      <c r="E740" s="28"/>
    </row>
    <row r="741">
      <c r="A741" s="28"/>
      <c r="B741" s="28"/>
      <c r="C741" s="28"/>
      <c r="D741" s="28"/>
      <c r="E741" s="28"/>
    </row>
    <row r="742">
      <c r="A742" s="28"/>
      <c r="B742" s="28"/>
      <c r="C742" s="28"/>
      <c r="D742" s="28"/>
      <c r="E742" s="28"/>
    </row>
    <row r="743">
      <c r="A743" s="28"/>
      <c r="B743" s="28"/>
      <c r="C743" s="28"/>
      <c r="D743" s="28"/>
      <c r="E743" s="28"/>
    </row>
    <row r="744">
      <c r="A744" s="28"/>
      <c r="B744" s="28"/>
      <c r="C744" s="28"/>
      <c r="D744" s="28"/>
      <c r="E744" s="28"/>
    </row>
    <row r="745">
      <c r="A745" s="28"/>
      <c r="B745" s="28"/>
      <c r="C745" s="28"/>
      <c r="D745" s="28"/>
      <c r="E745" s="28"/>
    </row>
    <row r="746">
      <c r="A746" s="28"/>
      <c r="B746" s="28"/>
      <c r="C746" s="28"/>
      <c r="D746" s="28"/>
      <c r="E746" s="28"/>
    </row>
    <row r="747">
      <c r="A747" s="28"/>
      <c r="B747" s="28"/>
      <c r="C747" s="28"/>
      <c r="D747" s="28"/>
      <c r="E747" s="28"/>
    </row>
    <row r="748">
      <c r="A748" s="28"/>
      <c r="B748" s="28"/>
      <c r="C748" s="28"/>
      <c r="D748" s="28"/>
      <c r="E748" s="28"/>
    </row>
    <row r="749">
      <c r="A749" s="28"/>
      <c r="B749" s="28"/>
      <c r="C749" s="28"/>
      <c r="D749" s="28"/>
      <c r="E749" s="28"/>
    </row>
    <row r="750">
      <c r="A750" s="28"/>
      <c r="B750" s="28"/>
      <c r="C750" s="28"/>
      <c r="D750" s="28"/>
      <c r="E750" s="28"/>
    </row>
    <row r="751">
      <c r="A751" s="28"/>
      <c r="B751" s="28"/>
      <c r="C751" s="28"/>
      <c r="D751" s="28"/>
      <c r="E751" s="28"/>
    </row>
    <row r="752">
      <c r="A752" s="28"/>
      <c r="B752" s="28"/>
      <c r="C752" s="28"/>
      <c r="D752" s="28"/>
      <c r="E752" s="28"/>
    </row>
    <row r="753">
      <c r="A753" s="28"/>
      <c r="B753" s="28"/>
      <c r="C753" s="28"/>
      <c r="D753" s="28"/>
      <c r="E753" s="28"/>
    </row>
    <row r="754">
      <c r="A754" s="28"/>
      <c r="B754" s="28"/>
      <c r="C754" s="28"/>
      <c r="D754" s="28"/>
      <c r="E754" s="28"/>
    </row>
    <row r="755">
      <c r="A755" s="28"/>
      <c r="B755" s="28"/>
      <c r="C755" s="28"/>
      <c r="D755" s="28"/>
      <c r="E755" s="28"/>
    </row>
    <row r="756">
      <c r="A756" s="28"/>
      <c r="B756" s="28"/>
      <c r="C756" s="28"/>
      <c r="D756" s="28"/>
      <c r="E756" s="28"/>
    </row>
    <row r="757">
      <c r="A757" s="28"/>
      <c r="B757" s="28"/>
      <c r="C757" s="28"/>
      <c r="D757" s="28"/>
      <c r="E757" s="28"/>
    </row>
    <row r="758">
      <c r="A758" s="28"/>
      <c r="B758" s="28"/>
      <c r="C758" s="28"/>
      <c r="D758" s="28"/>
      <c r="E758" s="28"/>
    </row>
    <row r="759">
      <c r="A759" s="28"/>
      <c r="B759" s="28"/>
      <c r="C759" s="28"/>
      <c r="D759" s="28"/>
      <c r="E759" s="28"/>
    </row>
    <row r="760">
      <c r="A760" s="28"/>
      <c r="B760" s="28"/>
      <c r="C760" s="28"/>
      <c r="D760" s="28"/>
      <c r="E760" s="28"/>
    </row>
    <row r="761">
      <c r="A761" s="28"/>
      <c r="B761" s="28"/>
      <c r="C761" s="28"/>
      <c r="D761" s="28"/>
      <c r="E761" s="28"/>
    </row>
    <row r="762">
      <c r="A762" s="28"/>
      <c r="B762" s="28"/>
      <c r="C762" s="28"/>
      <c r="D762" s="28"/>
      <c r="E762" s="28"/>
    </row>
    <row r="763">
      <c r="A763" s="28"/>
      <c r="B763" s="28"/>
      <c r="C763" s="28"/>
      <c r="D763" s="28"/>
      <c r="E763" s="28"/>
    </row>
    <row r="764">
      <c r="A764" s="28"/>
      <c r="B764" s="28"/>
      <c r="C764" s="28"/>
      <c r="D764" s="28"/>
      <c r="E764" s="28"/>
    </row>
    <row r="765">
      <c r="A765" s="28"/>
      <c r="B765" s="28"/>
      <c r="C765" s="28"/>
      <c r="D765" s="28"/>
      <c r="E765" s="28"/>
    </row>
    <row r="766">
      <c r="A766" s="28"/>
      <c r="B766" s="28"/>
      <c r="C766" s="28"/>
      <c r="D766" s="28"/>
      <c r="E766" s="28"/>
    </row>
    <row r="767">
      <c r="A767" s="28"/>
      <c r="B767" s="28"/>
      <c r="C767" s="28"/>
      <c r="D767" s="28"/>
      <c r="E767" s="28"/>
    </row>
    <row r="768">
      <c r="A768" s="28"/>
      <c r="B768" s="28"/>
      <c r="C768" s="28"/>
      <c r="D768" s="28"/>
      <c r="E768" s="28"/>
    </row>
    <row r="769">
      <c r="A769" s="28"/>
      <c r="B769" s="28"/>
      <c r="C769" s="28"/>
      <c r="D769" s="28"/>
      <c r="E769" s="28"/>
    </row>
    <row r="770">
      <c r="A770" s="28"/>
      <c r="B770" s="28"/>
      <c r="C770" s="28"/>
      <c r="D770" s="28"/>
      <c r="E770" s="28"/>
    </row>
    <row r="771">
      <c r="A771" s="28"/>
      <c r="B771" s="28"/>
      <c r="C771" s="28"/>
      <c r="D771" s="28"/>
      <c r="E771" s="28"/>
    </row>
    <row r="772">
      <c r="A772" s="28"/>
      <c r="B772" s="28"/>
      <c r="C772" s="28"/>
      <c r="D772" s="28"/>
      <c r="E772" s="28"/>
    </row>
    <row r="773">
      <c r="A773" s="28"/>
      <c r="B773" s="28"/>
      <c r="C773" s="28"/>
      <c r="D773" s="28"/>
      <c r="E773" s="28"/>
    </row>
    <row r="774">
      <c r="A774" s="28"/>
      <c r="B774" s="28"/>
      <c r="C774" s="28"/>
      <c r="D774" s="28"/>
      <c r="E774" s="28"/>
    </row>
    <row r="775">
      <c r="A775" s="28"/>
      <c r="B775" s="28"/>
      <c r="C775" s="28"/>
      <c r="D775" s="28"/>
      <c r="E775" s="28"/>
    </row>
    <row r="776">
      <c r="A776" s="28"/>
      <c r="B776" s="28"/>
      <c r="C776" s="28"/>
      <c r="D776" s="28"/>
      <c r="E776" s="28"/>
    </row>
    <row r="777">
      <c r="A777" s="28"/>
      <c r="B777" s="28"/>
      <c r="C777" s="28"/>
      <c r="D777" s="28"/>
      <c r="E777" s="28"/>
    </row>
    <row r="778">
      <c r="A778" s="28"/>
      <c r="B778" s="28"/>
      <c r="C778" s="28"/>
      <c r="D778" s="28"/>
      <c r="E778" s="28"/>
    </row>
    <row r="779">
      <c r="A779" s="28"/>
      <c r="B779" s="28"/>
      <c r="C779" s="28"/>
      <c r="D779" s="28"/>
      <c r="E779" s="28"/>
    </row>
    <row r="780">
      <c r="A780" s="28"/>
      <c r="B780" s="28"/>
      <c r="C780" s="28"/>
      <c r="D780" s="28"/>
      <c r="E780" s="28"/>
    </row>
    <row r="781">
      <c r="A781" s="28"/>
      <c r="B781" s="28"/>
      <c r="C781" s="28"/>
      <c r="D781" s="28"/>
      <c r="E781" s="28"/>
    </row>
    <row r="782">
      <c r="A782" s="28"/>
      <c r="B782" s="28"/>
      <c r="C782" s="28"/>
      <c r="D782" s="28"/>
      <c r="E782" s="28"/>
    </row>
    <row r="783">
      <c r="A783" s="28"/>
      <c r="B783" s="28"/>
      <c r="C783" s="28"/>
      <c r="D783" s="28"/>
      <c r="E783" s="28"/>
    </row>
    <row r="784">
      <c r="A784" s="28"/>
      <c r="B784" s="28"/>
      <c r="C784" s="28"/>
      <c r="D784" s="28"/>
      <c r="E784" s="28"/>
    </row>
    <row r="785">
      <c r="A785" s="28"/>
      <c r="B785" s="28"/>
      <c r="C785" s="28"/>
      <c r="D785" s="28"/>
      <c r="E785" s="28"/>
    </row>
    <row r="786">
      <c r="A786" s="28"/>
      <c r="B786" s="28"/>
      <c r="C786" s="28"/>
      <c r="D786" s="28"/>
      <c r="E786" s="28"/>
    </row>
    <row r="787">
      <c r="A787" s="28"/>
      <c r="B787" s="28"/>
      <c r="C787" s="28"/>
      <c r="D787" s="28"/>
      <c r="E787" s="28"/>
    </row>
    <row r="788">
      <c r="A788" s="28"/>
      <c r="B788" s="28"/>
      <c r="C788" s="28"/>
      <c r="D788" s="28"/>
      <c r="E788" s="28"/>
    </row>
    <row r="789">
      <c r="A789" s="28"/>
      <c r="B789" s="28"/>
      <c r="C789" s="28"/>
      <c r="D789" s="28"/>
      <c r="E789" s="28"/>
    </row>
    <row r="790">
      <c r="A790" s="28"/>
      <c r="B790" s="28"/>
      <c r="C790" s="28"/>
      <c r="D790" s="28"/>
      <c r="E790" s="28"/>
    </row>
    <row r="791">
      <c r="A791" s="28"/>
      <c r="B791" s="28"/>
      <c r="C791" s="28"/>
      <c r="D791" s="28"/>
      <c r="E791" s="28"/>
    </row>
    <row r="792">
      <c r="A792" s="28"/>
      <c r="B792" s="28"/>
      <c r="C792" s="28"/>
      <c r="D792" s="28"/>
      <c r="E792" s="28"/>
    </row>
    <row r="793">
      <c r="A793" s="28"/>
      <c r="B793" s="28"/>
      <c r="C793" s="28"/>
      <c r="D793" s="28"/>
      <c r="E793" s="28"/>
    </row>
    <row r="794">
      <c r="A794" s="28"/>
      <c r="B794" s="28"/>
      <c r="C794" s="28"/>
      <c r="D794" s="28"/>
      <c r="E794" s="28"/>
    </row>
    <row r="795">
      <c r="A795" s="28"/>
      <c r="B795" s="28"/>
      <c r="C795" s="28"/>
      <c r="D795" s="28"/>
      <c r="E795" s="28"/>
    </row>
    <row r="796">
      <c r="A796" s="28"/>
      <c r="B796" s="28"/>
      <c r="C796" s="28"/>
      <c r="D796" s="28"/>
      <c r="E796" s="28"/>
    </row>
    <row r="797">
      <c r="A797" s="28"/>
      <c r="B797" s="28"/>
      <c r="C797" s="28"/>
      <c r="D797" s="28"/>
      <c r="E797" s="28"/>
    </row>
    <row r="798">
      <c r="A798" s="28"/>
      <c r="B798" s="28"/>
      <c r="C798" s="28"/>
      <c r="D798" s="28"/>
      <c r="E798" s="28"/>
    </row>
    <row r="799">
      <c r="A799" s="28"/>
      <c r="B799" s="28"/>
      <c r="C799" s="28"/>
      <c r="D799" s="28"/>
      <c r="E799" s="28"/>
    </row>
    <row r="800">
      <c r="A800" s="28"/>
      <c r="B800" s="28"/>
      <c r="C800" s="28"/>
      <c r="D800" s="28"/>
      <c r="E800" s="28"/>
    </row>
    <row r="801">
      <c r="A801" s="28"/>
      <c r="B801" s="28"/>
      <c r="C801" s="28"/>
      <c r="D801" s="28"/>
      <c r="E801" s="28"/>
    </row>
    <row r="802">
      <c r="A802" s="28"/>
      <c r="B802" s="28"/>
      <c r="C802" s="28"/>
      <c r="D802" s="28"/>
      <c r="E802" s="28"/>
    </row>
    <row r="803">
      <c r="A803" s="28"/>
      <c r="B803" s="28"/>
      <c r="C803" s="28"/>
      <c r="D803" s="28"/>
      <c r="E803" s="28"/>
    </row>
    <row r="804">
      <c r="A804" s="28"/>
      <c r="B804" s="28"/>
      <c r="C804" s="28"/>
      <c r="D804" s="28"/>
      <c r="E804" s="28"/>
    </row>
    <row r="805">
      <c r="A805" s="28"/>
      <c r="B805" s="28"/>
      <c r="C805" s="28"/>
      <c r="D805" s="28"/>
      <c r="E805" s="28"/>
    </row>
    <row r="806">
      <c r="A806" s="28"/>
      <c r="B806" s="28"/>
      <c r="C806" s="28"/>
      <c r="D806" s="28"/>
      <c r="E806" s="28"/>
    </row>
    <row r="807">
      <c r="A807" s="28"/>
      <c r="B807" s="28"/>
      <c r="C807" s="28"/>
      <c r="D807" s="28"/>
      <c r="E807" s="28"/>
    </row>
    <row r="808">
      <c r="A808" s="28"/>
      <c r="B808" s="28"/>
      <c r="C808" s="28"/>
      <c r="D808" s="28"/>
      <c r="E808" s="28"/>
    </row>
    <row r="809">
      <c r="A809" s="28"/>
      <c r="B809" s="28"/>
      <c r="C809" s="28"/>
      <c r="D809" s="28"/>
      <c r="E809" s="28"/>
    </row>
    <row r="810">
      <c r="A810" s="28"/>
      <c r="B810" s="28"/>
      <c r="C810" s="28"/>
      <c r="D810" s="28"/>
      <c r="E810" s="28"/>
    </row>
    <row r="811">
      <c r="A811" s="28"/>
      <c r="B811" s="28"/>
      <c r="C811" s="28"/>
      <c r="D811" s="28"/>
      <c r="E811" s="28"/>
    </row>
    <row r="812">
      <c r="A812" s="28"/>
      <c r="B812" s="28"/>
      <c r="C812" s="28"/>
      <c r="D812" s="28"/>
      <c r="E812" s="28"/>
    </row>
    <row r="813">
      <c r="A813" s="28"/>
      <c r="B813" s="28"/>
      <c r="C813" s="28"/>
      <c r="D813" s="28"/>
      <c r="E813" s="28"/>
    </row>
    <row r="814">
      <c r="A814" s="28"/>
      <c r="B814" s="28"/>
      <c r="C814" s="28"/>
      <c r="D814" s="28"/>
      <c r="E814" s="28"/>
    </row>
    <row r="815">
      <c r="A815" s="28"/>
      <c r="B815" s="28"/>
      <c r="C815" s="28"/>
      <c r="D815" s="28"/>
      <c r="E815" s="28"/>
    </row>
    <row r="816">
      <c r="A816" s="28"/>
      <c r="B816" s="28"/>
      <c r="C816" s="28"/>
      <c r="D816" s="28"/>
      <c r="E816" s="28"/>
    </row>
    <row r="817">
      <c r="A817" s="28"/>
      <c r="B817" s="28"/>
      <c r="C817" s="28"/>
      <c r="D817" s="28"/>
      <c r="E817" s="28"/>
    </row>
    <row r="818">
      <c r="A818" s="28"/>
      <c r="B818" s="28"/>
      <c r="C818" s="28"/>
      <c r="D818" s="28"/>
      <c r="E818" s="28"/>
    </row>
    <row r="819">
      <c r="A819" s="28"/>
      <c r="B819" s="28"/>
      <c r="C819" s="28"/>
      <c r="D819" s="28"/>
      <c r="E819" s="28"/>
    </row>
    <row r="820">
      <c r="A820" s="28"/>
      <c r="B820" s="28"/>
      <c r="C820" s="28"/>
      <c r="D820" s="28"/>
      <c r="E820" s="28"/>
    </row>
    <row r="821">
      <c r="A821" s="28"/>
      <c r="B821" s="28"/>
      <c r="C821" s="28"/>
      <c r="D821" s="28"/>
      <c r="E821" s="28"/>
    </row>
    <row r="822">
      <c r="A822" s="28"/>
      <c r="B822" s="28"/>
      <c r="C822" s="28"/>
      <c r="D822" s="28"/>
      <c r="E822" s="28"/>
    </row>
    <row r="823">
      <c r="A823" s="28"/>
      <c r="B823" s="28"/>
      <c r="C823" s="28"/>
      <c r="D823" s="28"/>
      <c r="E823" s="28"/>
    </row>
    <row r="824">
      <c r="A824" s="28"/>
      <c r="B824" s="28"/>
      <c r="C824" s="28"/>
      <c r="D824" s="28"/>
      <c r="E824" s="28"/>
    </row>
    <row r="825">
      <c r="A825" s="28"/>
      <c r="B825" s="28"/>
      <c r="C825" s="28"/>
      <c r="D825" s="28"/>
      <c r="E825" s="28"/>
    </row>
    <row r="826">
      <c r="A826" s="28"/>
      <c r="B826" s="28"/>
      <c r="C826" s="28"/>
      <c r="D826" s="28"/>
      <c r="E826" s="28"/>
    </row>
    <row r="827">
      <c r="A827" s="28"/>
      <c r="B827" s="28"/>
      <c r="C827" s="28"/>
      <c r="D827" s="28"/>
      <c r="E827" s="28"/>
    </row>
    <row r="828">
      <c r="A828" s="28"/>
      <c r="B828" s="28"/>
      <c r="C828" s="28"/>
      <c r="D828" s="28"/>
      <c r="E828" s="28"/>
    </row>
    <row r="829">
      <c r="A829" s="28"/>
      <c r="B829" s="28"/>
      <c r="C829" s="28"/>
      <c r="D829" s="28"/>
      <c r="E829" s="28"/>
    </row>
    <row r="830">
      <c r="A830" s="28"/>
      <c r="B830" s="28"/>
      <c r="C830" s="28"/>
      <c r="D830" s="28"/>
      <c r="E830" s="28"/>
    </row>
    <row r="831">
      <c r="A831" s="28"/>
      <c r="B831" s="28"/>
      <c r="C831" s="28"/>
      <c r="D831" s="28"/>
      <c r="E831" s="28"/>
    </row>
    <row r="832">
      <c r="A832" s="28"/>
      <c r="B832" s="28"/>
      <c r="C832" s="28"/>
      <c r="D832" s="28"/>
      <c r="E832" s="28"/>
    </row>
    <row r="833">
      <c r="A833" s="28"/>
      <c r="B833" s="28"/>
      <c r="C833" s="28"/>
      <c r="D833" s="28"/>
      <c r="E833" s="28"/>
    </row>
    <row r="834">
      <c r="A834" s="28"/>
      <c r="B834" s="28"/>
      <c r="C834" s="28"/>
      <c r="D834" s="28"/>
      <c r="E834" s="28"/>
    </row>
    <row r="835">
      <c r="A835" s="28"/>
      <c r="B835" s="28"/>
      <c r="C835" s="28"/>
      <c r="D835" s="28"/>
      <c r="E835" s="28"/>
    </row>
    <row r="836">
      <c r="A836" s="28"/>
      <c r="B836" s="28"/>
      <c r="C836" s="28"/>
      <c r="D836" s="28"/>
      <c r="E836" s="28"/>
    </row>
    <row r="837">
      <c r="A837" s="28"/>
      <c r="B837" s="28"/>
      <c r="C837" s="28"/>
      <c r="D837" s="28"/>
      <c r="E837" s="28"/>
    </row>
    <row r="838">
      <c r="A838" s="28"/>
      <c r="B838" s="28"/>
      <c r="C838" s="28"/>
      <c r="D838" s="28"/>
      <c r="E838" s="28"/>
    </row>
    <row r="839">
      <c r="A839" s="28"/>
      <c r="B839" s="28"/>
      <c r="C839" s="28"/>
      <c r="D839" s="28"/>
      <c r="E839" s="28"/>
    </row>
    <row r="840">
      <c r="A840" s="28"/>
      <c r="B840" s="28"/>
      <c r="C840" s="28"/>
      <c r="D840" s="28"/>
      <c r="E840" s="28"/>
    </row>
    <row r="841">
      <c r="A841" s="28"/>
      <c r="B841" s="28"/>
      <c r="C841" s="28"/>
      <c r="D841" s="28"/>
      <c r="E841" s="28"/>
    </row>
    <row r="842">
      <c r="A842" s="28"/>
      <c r="B842" s="28"/>
      <c r="C842" s="28"/>
      <c r="D842" s="28"/>
      <c r="E842" s="28"/>
    </row>
    <row r="843">
      <c r="A843" s="28"/>
      <c r="B843" s="28"/>
      <c r="C843" s="28"/>
      <c r="D843" s="28"/>
      <c r="E843" s="28"/>
    </row>
    <row r="844">
      <c r="A844" s="28"/>
      <c r="B844" s="28"/>
      <c r="C844" s="28"/>
      <c r="D844" s="28"/>
      <c r="E844" s="28"/>
    </row>
    <row r="845">
      <c r="A845" s="28"/>
      <c r="B845" s="28"/>
      <c r="C845" s="28"/>
      <c r="D845" s="28"/>
      <c r="E845" s="28"/>
    </row>
    <row r="846">
      <c r="A846" s="28"/>
      <c r="B846" s="28"/>
      <c r="C846" s="28"/>
      <c r="D846" s="28"/>
      <c r="E846" s="28"/>
    </row>
    <row r="847">
      <c r="A847" s="28"/>
      <c r="B847" s="28"/>
      <c r="C847" s="28"/>
      <c r="D847" s="28"/>
      <c r="E847" s="28"/>
    </row>
    <row r="848">
      <c r="A848" s="28"/>
      <c r="B848" s="28"/>
      <c r="C848" s="28"/>
      <c r="D848" s="28"/>
      <c r="E848" s="28"/>
    </row>
    <row r="849">
      <c r="A849" s="28"/>
      <c r="B849" s="28"/>
      <c r="C849" s="28"/>
      <c r="D849" s="28"/>
      <c r="E849" s="28"/>
    </row>
    <row r="850">
      <c r="A850" s="28"/>
      <c r="B850" s="28"/>
      <c r="C850" s="28"/>
      <c r="D850" s="28"/>
      <c r="E850" s="28"/>
    </row>
    <row r="851">
      <c r="A851" s="28"/>
      <c r="B851" s="28"/>
      <c r="C851" s="28"/>
      <c r="D851" s="28"/>
      <c r="E851" s="28"/>
    </row>
    <row r="852">
      <c r="A852" s="28"/>
      <c r="B852" s="28"/>
      <c r="C852" s="28"/>
      <c r="D852" s="28"/>
      <c r="E852" s="28"/>
    </row>
    <row r="853">
      <c r="A853" s="28"/>
      <c r="B853" s="28"/>
      <c r="C853" s="28"/>
      <c r="D853" s="28"/>
      <c r="E853" s="28"/>
    </row>
    <row r="854">
      <c r="A854" s="28"/>
      <c r="B854" s="28"/>
      <c r="C854" s="28"/>
      <c r="D854" s="28"/>
      <c r="E854" s="28"/>
    </row>
    <row r="855">
      <c r="A855" s="28"/>
      <c r="B855" s="28"/>
      <c r="C855" s="28"/>
      <c r="D855" s="28"/>
      <c r="E855" s="28"/>
    </row>
    <row r="856">
      <c r="A856" s="28"/>
      <c r="B856" s="28"/>
      <c r="C856" s="28"/>
      <c r="D856" s="28"/>
      <c r="E856" s="28"/>
    </row>
    <row r="857">
      <c r="A857" s="28"/>
      <c r="B857" s="28"/>
      <c r="C857" s="28"/>
      <c r="D857" s="28"/>
      <c r="E857" s="28"/>
    </row>
    <row r="858">
      <c r="A858" s="28"/>
      <c r="B858" s="28"/>
      <c r="C858" s="28"/>
      <c r="D858" s="28"/>
      <c r="E858" s="28"/>
    </row>
    <row r="859">
      <c r="A859" s="28"/>
      <c r="B859" s="28"/>
      <c r="C859" s="28"/>
      <c r="D859" s="28"/>
      <c r="E859" s="28"/>
    </row>
    <row r="860">
      <c r="A860" s="28"/>
      <c r="B860" s="28"/>
      <c r="C860" s="28"/>
      <c r="D860" s="28"/>
      <c r="E860" s="28"/>
    </row>
    <row r="861">
      <c r="A861" s="28"/>
      <c r="B861" s="28"/>
      <c r="C861" s="28"/>
      <c r="D861" s="28"/>
      <c r="E861" s="28"/>
    </row>
    <row r="862">
      <c r="A862" s="28"/>
      <c r="B862" s="28"/>
      <c r="C862" s="28"/>
      <c r="D862" s="28"/>
      <c r="E862" s="28"/>
    </row>
    <row r="863">
      <c r="A863" s="28"/>
      <c r="B863" s="28"/>
      <c r="C863" s="28"/>
      <c r="D863" s="28"/>
      <c r="E863" s="28"/>
    </row>
    <row r="864">
      <c r="A864" s="28"/>
      <c r="B864" s="28"/>
      <c r="C864" s="28"/>
      <c r="D864" s="28"/>
      <c r="E864" s="28"/>
    </row>
    <row r="865">
      <c r="A865" s="28"/>
      <c r="B865" s="28"/>
      <c r="C865" s="28"/>
      <c r="D865" s="28"/>
      <c r="E865" s="28"/>
    </row>
    <row r="866">
      <c r="A866" s="28"/>
      <c r="B866" s="28"/>
      <c r="C866" s="28"/>
      <c r="D866" s="28"/>
      <c r="E866" s="28"/>
    </row>
    <row r="867">
      <c r="A867" s="28"/>
      <c r="B867" s="28"/>
      <c r="C867" s="28"/>
      <c r="D867" s="28"/>
      <c r="E867" s="28"/>
    </row>
    <row r="868">
      <c r="A868" s="28"/>
      <c r="B868" s="28"/>
      <c r="C868" s="28"/>
      <c r="D868" s="28"/>
      <c r="E868" s="28"/>
    </row>
    <row r="869">
      <c r="A869" s="28"/>
      <c r="B869" s="28"/>
      <c r="C869" s="28"/>
      <c r="D869" s="28"/>
      <c r="E869" s="28"/>
    </row>
    <row r="870">
      <c r="A870" s="28"/>
      <c r="B870" s="28"/>
      <c r="C870" s="28"/>
      <c r="D870" s="28"/>
      <c r="E870" s="28"/>
    </row>
    <row r="871">
      <c r="A871" s="28"/>
      <c r="B871" s="28"/>
      <c r="C871" s="28"/>
      <c r="D871" s="28"/>
      <c r="E871" s="28"/>
    </row>
    <row r="872">
      <c r="A872" s="28"/>
      <c r="B872" s="28"/>
      <c r="C872" s="28"/>
      <c r="D872" s="28"/>
      <c r="E872" s="28"/>
    </row>
    <row r="873">
      <c r="A873" s="28"/>
      <c r="B873" s="28"/>
      <c r="C873" s="28"/>
      <c r="D873" s="28"/>
      <c r="E873" s="28"/>
    </row>
    <row r="874">
      <c r="A874" s="28"/>
      <c r="B874" s="28"/>
      <c r="C874" s="28"/>
      <c r="D874" s="28"/>
      <c r="E874" s="28"/>
    </row>
    <row r="875">
      <c r="A875" s="28"/>
      <c r="B875" s="28"/>
      <c r="C875" s="28"/>
      <c r="D875" s="28"/>
      <c r="E875" s="28"/>
    </row>
    <row r="876">
      <c r="A876" s="28"/>
      <c r="B876" s="28"/>
      <c r="C876" s="28"/>
      <c r="D876" s="28"/>
      <c r="E876" s="28"/>
    </row>
    <row r="877">
      <c r="A877" s="28"/>
      <c r="B877" s="28"/>
      <c r="C877" s="28"/>
      <c r="D877" s="28"/>
      <c r="E877" s="28"/>
    </row>
    <row r="878">
      <c r="A878" s="28"/>
      <c r="B878" s="28"/>
      <c r="C878" s="28"/>
      <c r="D878" s="28"/>
      <c r="E878" s="28"/>
    </row>
    <row r="879">
      <c r="A879" s="28"/>
      <c r="B879" s="28"/>
      <c r="C879" s="28"/>
      <c r="D879" s="28"/>
      <c r="E879" s="28"/>
    </row>
    <row r="880">
      <c r="A880" s="28"/>
      <c r="B880" s="28"/>
      <c r="C880" s="28"/>
      <c r="D880" s="28"/>
      <c r="E880" s="28"/>
    </row>
    <row r="881">
      <c r="A881" s="28"/>
      <c r="B881" s="28"/>
      <c r="C881" s="28"/>
      <c r="D881" s="28"/>
      <c r="E881" s="28"/>
    </row>
    <row r="882">
      <c r="A882" s="28"/>
      <c r="B882" s="28"/>
      <c r="C882" s="28"/>
      <c r="D882" s="28"/>
      <c r="E882" s="28"/>
    </row>
    <row r="883">
      <c r="A883" s="28"/>
      <c r="B883" s="28"/>
      <c r="C883" s="28"/>
      <c r="D883" s="28"/>
      <c r="E883" s="28"/>
    </row>
    <row r="884">
      <c r="A884" s="28"/>
      <c r="B884" s="28"/>
      <c r="C884" s="28"/>
      <c r="D884" s="28"/>
      <c r="E884" s="28"/>
    </row>
    <row r="885">
      <c r="A885" s="28"/>
      <c r="B885" s="28"/>
      <c r="C885" s="28"/>
      <c r="D885" s="28"/>
      <c r="E885" s="28"/>
    </row>
    <row r="886">
      <c r="A886" s="28"/>
      <c r="B886" s="28"/>
      <c r="C886" s="28"/>
      <c r="D886" s="28"/>
      <c r="E886" s="28"/>
    </row>
    <row r="887">
      <c r="A887" s="28"/>
      <c r="B887" s="28"/>
      <c r="C887" s="28"/>
      <c r="D887" s="28"/>
      <c r="E887" s="28"/>
    </row>
    <row r="888">
      <c r="A888" s="28"/>
      <c r="B888" s="28"/>
      <c r="C888" s="28"/>
      <c r="D888" s="28"/>
      <c r="E888" s="28"/>
    </row>
    <row r="889">
      <c r="A889" s="28"/>
      <c r="B889" s="28"/>
      <c r="C889" s="28"/>
      <c r="D889" s="28"/>
      <c r="E889" s="28"/>
    </row>
    <row r="890">
      <c r="A890" s="28"/>
      <c r="B890" s="28"/>
      <c r="C890" s="28"/>
      <c r="D890" s="28"/>
      <c r="E890" s="28"/>
    </row>
    <row r="891">
      <c r="A891" s="28"/>
      <c r="B891" s="28"/>
      <c r="C891" s="28"/>
      <c r="D891" s="28"/>
      <c r="E891" s="28"/>
    </row>
    <row r="892">
      <c r="A892" s="28"/>
      <c r="B892" s="28"/>
      <c r="C892" s="28"/>
      <c r="D892" s="28"/>
      <c r="E892" s="28"/>
    </row>
    <row r="893">
      <c r="A893" s="28"/>
      <c r="B893" s="28"/>
      <c r="C893" s="28"/>
      <c r="D893" s="28"/>
      <c r="E893" s="28"/>
    </row>
    <row r="894">
      <c r="A894" s="28"/>
      <c r="B894" s="28"/>
      <c r="C894" s="28"/>
      <c r="D894" s="28"/>
      <c r="E894" s="28"/>
    </row>
    <row r="895">
      <c r="A895" s="28"/>
      <c r="B895" s="28"/>
      <c r="C895" s="28"/>
      <c r="D895" s="28"/>
      <c r="E895" s="28"/>
    </row>
    <row r="896">
      <c r="A896" s="28"/>
      <c r="B896" s="28"/>
      <c r="C896" s="28"/>
      <c r="D896" s="28"/>
      <c r="E896" s="28"/>
    </row>
    <row r="897">
      <c r="A897" s="28"/>
      <c r="B897" s="28"/>
      <c r="C897" s="28"/>
      <c r="D897" s="28"/>
      <c r="E897" s="28"/>
    </row>
    <row r="898">
      <c r="A898" s="28"/>
      <c r="B898" s="28"/>
      <c r="C898" s="28"/>
      <c r="D898" s="28"/>
      <c r="E898" s="28"/>
    </row>
    <row r="899">
      <c r="A899" s="28"/>
      <c r="B899" s="28"/>
      <c r="C899" s="28"/>
      <c r="D899" s="28"/>
      <c r="E899" s="28"/>
    </row>
    <row r="900">
      <c r="A900" s="28"/>
      <c r="B900" s="28"/>
      <c r="C900" s="28"/>
      <c r="D900" s="28"/>
      <c r="E900" s="28"/>
    </row>
    <row r="901">
      <c r="A901" s="28"/>
      <c r="B901" s="28"/>
      <c r="C901" s="28"/>
      <c r="D901" s="28"/>
      <c r="E901" s="28"/>
    </row>
    <row r="902">
      <c r="A902" s="28"/>
      <c r="B902" s="28"/>
      <c r="C902" s="28"/>
      <c r="D902" s="28"/>
      <c r="E902" s="28"/>
    </row>
    <row r="903">
      <c r="A903" s="28"/>
      <c r="B903" s="28"/>
      <c r="C903" s="28"/>
      <c r="D903" s="28"/>
      <c r="E903" s="28"/>
    </row>
    <row r="904">
      <c r="A904" s="28"/>
      <c r="B904" s="28"/>
      <c r="C904" s="28"/>
      <c r="D904" s="28"/>
      <c r="E904" s="28"/>
    </row>
    <row r="905">
      <c r="A905" s="28"/>
      <c r="B905" s="28"/>
      <c r="C905" s="28"/>
      <c r="D905" s="28"/>
      <c r="E905" s="28"/>
    </row>
    <row r="906">
      <c r="A906" s="28"/>
      <c r="B906" s="28"/>
      <c r="C906" s="28"/>
      <c r="D906" s="28"/>
      <c r="E906" s="28"/>
    </row>
    <row r="907">
      <c r="A907" s="28"/>
      <c r="B907" s="28"/>
      <c r="C907" s="28"/>
      <c r="D907" s="28"/>
      <c r="E907" s="28"/>
    </row>
    <row r="908">
      <c r="A908" s="28"/>
      <c r="B908" s="28"/>
      <c r="C908" s="28"/>
      <c r="D908" s="28"/>
      <c r="E908" s="28"/>
    </row>
    <row r="909">
      <c r="A909" s="28"/>
      <c r="B909" s="28"/>
      <c r="C909" s="28"/>
      <c r="D909" s="28"/>
      <c r="E909" s="28"/>
    </row>
    <row r="910">
      <c r="A910" s="28"/>
      <c r="B910" s="28"/>
      <c r="C910" s="28"/>
      <c r="D910" s="28"/>
      <c r="E910" s="28"/>
    </row>
    <row r="911">
      <c r="A911" s="28"/>
      <c r="B911" s="28"/>
      <c r="C911" s="28"/>
      <c r="D911" s="28"/>
      <c r="E911" s="28"/>
    </row>
    <row r="912">
      <c r="A912" s="28"/>
      <c r="B912" s="28"/>
      <c r="C912" s="28"/>
      <c r="D912" s="28"/>
      <c r="E912" s="28"/>
    </row>
    <row r="913">
      <c r="A913" s="28"/>
      <c r="B913" s="28"/>
      <c r="C913" s="28"/>
      <c r="D913" s="28"/>
      <c r="E913" s="28"/>
    </row>
    <row r="914">
      <c r="A914" s="28"/>
      <c r="B914" s="28"/>
      <c r="C914" s="28"/>
      <c r="D914" s="28"/>
      <c r="E914" s="28"/>
    </row>
    <row r="915">
      <c r="A915" s="28"/>
      <c r="B915" s="28"/>
      <c r="C915" s="28"/>
      <c r="D915" s="28"/>
      <c r="E915" s="28"/>
    </row>
    <row r="916">
      <c r="A916" s="28"/>
      <c r="B916" s="28"/>
      <c r="C916" s="28"/>
      <c r="D916" s="28"/>
      <c r="E916" s="28"/>
    </row>
    <row r="917">
      <c r="A917" s="28"/>
      <c r="B917" s="28"/>
      <c r="C917" s="28"/>
      <c r="D917" s="28"/>
      <c r="E917" s="28"/>
    </row>
    <row r="918">
      <c r="A918" s="28"/>
      <c r="B918" s="28"/>
      <c r="C918" s="28"/>
      <c r="D918" s="28"/>
      <c r="E918" s="28"/>
    </row>
    <row r="919">
      <c r="A919" s="28"/>
      <c r="B919" s="28"/>
      <c r="C919" s="28"/>
      <c r="D919" s="28"/>
      <c r="E919" s="28"/>
    </row>
    <row r="920">
      <c r="A920" s="28"/>
      <c r="B920" s="28"/>
      <c r="C920" s="28"/>
      <c r="D920" s="28"/>
      <c r="E920" s="28"/>
    </row>
    <row r="921">
      <c r="A921" s="28"/>
      <c r="B921" s="28"/>
      <c r="C921" s="28"/>
      <c r="D921" s="28"/>
      <c r="E921" s="28"/>
    </row>
    <row r="922">
      <c r="A922" s="28"/>
      <c r="B922" s="28"/>
      <c r="C922" s="28"/>
      <c r="D922" s="28"/>
      <c r="E922" s="28"/>
    </row>
    <row r="923">
      <c r="A923" s="28"/>
      <c r="B923" s="28"/>
      <c r="C923" s="28"/>
      <c r="D923" s="28"/>
      <c r="E923" s="28"/>
    </row>
    <row r="924">
      <c r="A924" s="28"/>
      <c r="B924" s="28"/>
      <c r="C924" s="28"/>
      <c r="D924" s="28"/>
      <c r="E924" s="28"/>
    </row>
    <row r="925">
      <c r="A925" s="28"/>
      <c r="B925" s="28"/>
      <c r="C925" s="28"/>
      <c r="D925" s="28"/>
      <c r="E925" s="28"/>
    </row>
    <row r="926">
      <c r="A926" s="28"/>
      <c r="B926" s="28"/>
      <c r="C926" s="28"/>
      <c r="D926" s="28"/>
      <c r="E926" s="28"/>
    </row>
    <row r="927">
      <c r="A927" s="28"/>
      <c r="B927" s="28"/>
      <c r="C927" s="28"/>
      <c r="D927" s="28"/>
      <c r="E927" s="28"/>
    </row>
    <row r="928">
      <c r="A928" s="28"/>
      <c r="B928" s="28"/>
      <c r="C928" s="28"/>
      <c r="D928" s="28"/>
      <c r="E928" s="28"/>
    </row>
    <row r="929">
      <c r="A929" s="28"/>
      <c r="B929" s="28"/>
      <c r="C929" s="28"/>
      <c r="D929" s="28"/>
      <c r="E929" s="28"/>
    </row>
    <row r="930">
      <c r="A930" s="28"/>
      <c r="B930" s="28"/>
      <c r="C930" s="28"/>
      <c r="D930" s="28"/>
      <c r="E930" s="28"/>
    </row>
    <row r="931">
      <c r="A931" s="28"/>
      <c r="B931" s="28"/>
      <c r="C931" s="28"/>
      <c r="D931" s="28"/>
      <c r="E931" s="28"/>
    </row>
    <row r="932">
      <c r="A932" s="28"/>
      <c r="B932" s="28"/>
      <c r="C932" s="28"/>
      <c r="D932" s="28"/>
      <c r="E932" s="28"/>
    </row>
    <row r="933">
      <c r="A933" s="28"/>
      <c r="B933" s="28"/>
      <c r="C933" s="28"/>
      <c r="D933" s="28"/>
      <c r="E933" s="28"/>
    </row>
    <row r="934">
      <c r="A934" s="28"/>
      <c r="B934" s="28"/>
      <c r="C934" s="28"/>
      <c r="D934" s="28"/>
      <c r="E934" s="28"/>
    </row>
    <row r="935">
      <c r="A935" s="28"/>
      <c r="B935" s="28"/>
      <c r="C935" s="28"/>
      <c r="D935" s="28"/>
      <c r="E935" s="28"/>
    </row>
    <row r="936">
      <c r="A936" s="28"/>
      <c r="B936" s="28"/>
      <c r="C936" s="28"/>
      <c r="D936" s="28"/>
      <c r="E936" s="28"/>
    </row>
    <row r="937">
      <c r="A937" s="28"/>
      <c r="B937" s="28"/>
      <c r="C937" s="28"/>
      <c r="D937" s="28"/>
      <c r="E937" s="28"/>
    </row>
    <row r="938">
      <c r="A938" s="28"/>
      <c r="B938" s="28"/>
      <c r="C938" s="28"/>
      <c r="D938" s="28"/>
      <c r="E938" s="28"/>
    </row>
    <row r="939">
      <c r="A939" s="28"/>
      <c r="B939" s="28"/>
      <c r="C939" s="28"/>
      <c r="D939" s="28"/>
      <c r="E939" s="28"/>
    </row>
    <row r="940">
      <c r="A940" s="28"/>
      <c r="B940" s="28"/>
      <c r="C940" s="28"/>
      <c r="D940" s="28"/>
      <c r="E940" s="28"/>
    </row>
    <row r="941">
      <c r="A941" s="28"/>
      <c r="B941" s="28"/>
      <c r="C941" s="28"/>
      <c r="D941" s="28"/>
      <c r="E941" s="28"/>
    </row>
    <row r="942">
      <c r="A942" s="28"/>
      <c r="B942" s="28"/>
      <c r="C942" s="28"/>
      <c r="D942" s="28"/>
      <c r="E942" s="28"/>
    </row>
    <row r="943">
      <c r="A943" s="28"/>
      <c r="B943" s="28"/>
      <c r="C943" s="28"/>
      <c r="D943" s="28"/>
      <c r="E943" s="28"/>
    </row>
    <row r="944">
      <c r="A944" s="28"/>
      <c r="B944" s="28"/>
      <c r="C944" s="28"/>
      <c r="D944" s="28"/>
      <c r="E944" s="28"/>
    </row>
    <row r="945">
      <c r="A945" s="28"/>
      <c r="B945" s="28"/>
      <c r="C945" s="28"/>
      <c r="D945" s="28"/>
      <c r="E945" s="28"/>
    </row>
    <row r="946">
      <c r="A946" s="28"/>
      <c r="B946" s="28"/>
      <c r="C946" s="28"/>
      <c r="D946" s="28"/>
      <c r="E946" s="28"/>
    </row>
    <row r="947">
      <c r="A947" s="28"/>
      <c r="B947" s="28"/>
      <c r="C947" s="28"/>
      <c r="D947" s="28"/>
      <c r="E947" s="28"/>
    </row>
    <row r="948">
      <c r="A948" s="28"/>
      <c r="B948" s="28"/>
      <c r="C948" s="28"/>
      <c r="D948" s="28"/>
      <c r="E948" s="28"/>
    </row>
    <row r="949">
      <c r="A949" s="28"/>
      <c r="B949" s="28"/>
      <c r="C949" s="28"/>
      <c r="D949" s="28"/>
      <c r="E949" s="28"/>
    </row>
    <row r="950">
      <c r="A950" s="28"/>
      <c r="B950" s="28"/>
      <c r="C950" s="28"/>
      <c r="D950" s="28"/>
      <c r="E950" s="28"/>
    </row>
    <row r="951">
      <c r="A951" s="28"/>
      <c r="B951" s="28"/>
      <c r="C951" s="28"/>
      <c r="D951" s="28"/>
      <c r="E951" s="28"/>
    </row>
    <row r="952">
      <c r="A952" s="28"/>
      <c r="B952" s="28"/>
      <c r="C952" s="28"/>
      <c r="D952" s="28"/>
      <c r="E952" s="28"/>
    </row>
    <row r="953">
      <c r="A953" s="28"/>
      <c r="B953" s="28"/>
      <c r="C953" s="28"/>
      <c r="D953" s="28"/>
      <c r="E953" s="28"/>
    </row>
    <row r="954">
      <c r="A954" s="28"/>
      <c r="B954" s="28"/>
      <c r="C954" s="28"/>
      <c r="D954" s="28"/>
      <c r="E954" s="28"/>
    </row>
    <row r="955">
      <c r="A955" s="28"/>
      <c r="B955" s="28"/>
      <c r="C955" s="28"/>
      <c r="D955" s="28"/>
      <c r="E955" s="28"/>
    </row>
    <row r="956">
      <c r="A956" s="28"/>
      <c r="B956" s="28"/>
      <c r="C956" s="28"/>
      <c r="D956" s="28"/>
      <c r="E956" s="28"/>
    </row>
    <row r="957">
      <c r="A957" s="28"/>
      <c r="B957" s="28"/>
      <c r="C957" s="28"/>
      <c r="D957" s="28"/>
      <c r="E957" s="28"/>
    </row>
    <row r="958">
      <c r="A958" s="28"/>
      <c r="B958" s="28"/>
      <c r="C958" s="28"/>
      <c r="D958" s="28"/>
      <c r="E958" s="28"/>
    </row>
    <row r="959">
      <c r="A959" s="28"/>
      <c r="B959" s="28"/>
      <c r="C959" s="28"/>
      <c r="D959" s="28"/>
      <c r="E959" s="28"/>
    </row>
    <row r="960">
      <c r="A960" s="28"/>
      <c r="B960" s="28"/>
      <c r="C960" s="28"/>
      <c r="D960" s="28"/>
      <c r="E960" s="28"/>
    </row>
    <row r="961">
      <c r="A961" s="28"/>
      <c r="B961" s="28"/>
      <c r="C961" s="28"/>
      <c r="D961" s="28"/>
      <c r="E961" s="28"/>
    </row>
    <row r="962">
      <c r="A962" s="28"/>
      <c r="B962" s="28"/>
      <c r="C962" s="28"/>
      <c r="D962" s="28"/>
      <c r="E962" s="28"/>
    </row>
    <row r="963">
      <c r="A963" s="28"/>
      <c r="B963" s="28"/>
      <c r="C963" s="28"/>
      <c r="D963" s="28"/>
      <c r="E963" s="28"/>
    </row>
    <row r="964">
      <c r="A964" s="28"/>
      <c r="B964" s="28"/>
      <c r="C964" s="28"/>
      <c r="D964" s="28"/>
      <c r="E964" s="28"/>
    </row>
    <row r="965">
      <c r="A965" s="28"/>
      <c r="B965" s="28"/>
      <c r="C965" s="28"/>
      <c r="D965" s="28"/>
      <c r="E965" s="28"/>
    </row>
    <row r="966">
      <c r="A966" s="28"/>
      <c r="B966" s="28"/>
      <c r="C966" s="28"/>
      <c r="D966" s="28"/>
      <c r="E966" s="28"/>
    </row>
    <row r="967">
      <c r="A967" s="28"/>
      <c r="B967" s="28"/>
      <c r="C967" s="28"/>
      <c r="D967" s="28"/>
      <c r="E967" s="28"/>
    </row>
    <row r="968">
      <c r="A968" s="28"/>
      <c r="B968" s="28"/>
      <c r="C968" s="28"/>
      <c r="D968" s="28"/>
      <c r="E968" s="28"/>
    </row>
    <row r="969">
      <c r="A969" s="28"/>
      <c r="B969" s="28"/>
      <c r="C969" s="28"/>
      <c r="D969" s="28"/>
      <c r="E969" s="28"/>
    </row>
    <row r="970">
      <c r="A970" s="28"/>
      <c r="B970" s="28"/>
      <c r="C970" s="28"/>
      <c r="D970" s="28"/>
      <c r="E970" s="28"/>
    </row>
    <row r="971">
      <c r="A971" s="28"/>
      <c r="B971" s="28"/>
      <c r="C971" s="28"/>
      <c r="D971" s="28"/>
      <c r="E971" s="28"/>
    </row>
    <row r="972">
      <c r="A972" s="28"/>
      <c r="B972" s="28"/>
      <c r="C972" s="28"/>
      <c r="D972" s="28"/>
      <c r="E972" s="28"/>
    </row>
    <row r="973">
      <c r="A973" s="28"/>
      <c r="B973" s="28"/>
      <c r="C973" s="28"/>
      <c r="D973" s="28"/>
      <c r="E973" s="28"/>
    </row>
    <row r="974">
      <c r="A974" s="28"/>
      <c r="B974" s="28"/>
      <c r="C974" s="28"/>
      <c r="D974" s="28"/>
      <c r="E974" s="28"/>
    </row>
    <row r="975">
      <c r="A975" s="28"/>
      <c r="B975" s="28"/>
      <c r="C975" s="28"/>
      <c r="D975" s="28"/>
      <c r="E975" s="28"/>
    </row>
    <row r="976">
      <c r="A976" s="28"/>
      <c r="B976" s="28"/>
      <c r="C976" s="28"/>
      <c r="D976" s="28"/>
      <c r="E976" s="28"/>
    </row>
    <row r="977">
      <c r="A977" s="28"/>
      <c r="B977" s="28"/>
      <c r="C977" s="28"/>
      <c r="D977" s="28"/>
      <c r="E977" s="28"/>
    </row>
    <row r="978">
      <c r="A978" s="28"/>
      <c r="B978" s="28"/>
      <c r="C978" s="28"/>
      <c r="D978" s="28"/>
      <c r="E978" s="28"/>
    </row>
    <row r="979">
      <c r="A979" s="28"/>
      <c r="B979" s="28"/>
      <c r="C979" s="28"/>
      <c r="D979" s="28"/>
      <c r="E979" s="28"/>
    </row>
    <row r="980">
      <c r="A980" s="28"/>
      <c r="B980" s="28"/>
      <c r="C980" s="28"/>
      <c r="D980" s="28"/>
      <c r="E980" s="28"/>
    </row>
    <row r="981">
      <c r="A981" s="28"/>
      <c r="B981" s="28"/>
      <c r="C981" s="28"/>
      <c r="D981" s="28"/>
      <c r="E981" s="28"/>
    </row>
    <row r="982">
      <c r="A982" s="28"/>
      <c r="B982" s="28"/>
      <c r="C982" s="28"/>
      <c r="D982" s="28"/>
      <c r="E982" s="28"/>
    </row>
    <row r="983">
      <c r="A983" s="28"/>
      <c r="B983" s="28"/>
      <c r="C983" s="28"/>
      <c r="D983" s="28"/>
      <c r="E983" s="28"/>
    </row>
    <row r="984">
      <c r="A984" s="28"/>
      <c r="B984" s="28"/>
      <c r="C984" s="28"/>
      <c r="D984" s="28"/>
      <c r="E984" s="28"/>
    </row>
    <row r="985">
      <c r="A985" s="28"/>
      <c r="B985" s="28"/>
      <c r="C985" s="28"/>
      <c r="D985" s="28"/>
      <c r="E985" s="28"/>
    </row>
    <row r="986">
      <c r="A986" s="28"/>
      <c r="B986" s="28"/>
      <c r="C986" s="28"/>
      <c r="D986" s="28"/>
      <c r="E986" s="28"/>
    </row>
    <row r="987">
      <c r="A987" s="28"/>
      <c r="B987" s="28"/>
      <c r="C987" s="28"/>
      <c r="D987" s="28"/>
      <c r="E987" s="28"/>
    </row>
    <row r="988">
      <c r="A988" s="28"/>
      <c r="B988" s="28"/>
      <c r="C988" s="28"/>
      <c r="D988" s="28"/>
      <c r="E988" s="28"/>
    </row>
    <row r="989">
      <c r="A989" s="28"/>
      <c r="B989" s="28"/>
      <c r="C989" s="28"/>
      <c r="D989" s="28"/>
      <c r="E989" s="28"/>
    </row>
    <row r="990">
      <c r="A990" s="28"/>
      <c r="B990" s="28"/>
      <c r="C990" s="28"/>
      <c r="D990" s="28"/>
      <c r="E990" s="28"/>
    </row>
    <row r="991">
      <c r="A991" s="28"/>
      <c r="B991" s="28"/>
      <c r="C991" s="28"/>
      <c r="D991" s="28"/>
      <c r="E991" s="28"/>
    </row>
    <row r="992">
      <c r="A992" s="28"/>
      <c r="B992" s="28"/>
      <c r="C992" s="28"/>
      <c r="D992" s="28"/>
      <c r="E992" s="28"/>
    </row>
    <row r="993">
      <c r="A993" s="28"/>
      <c r="B993" s="28"/>
      <c r="C993" s="28"/>
      <c r="D993" s="28"/>
      <c r="E993" s="28"/>
    </row>
    <row r="994">
      <c r="A994" s="28"/>
      <c r="B994" s="28"/>
      <c r="C994" s="28"/>
      <c r="D994" s="28"/>
      <c r="E994" s="28"/>
    </row>
    <row r="995">
      <c r="A995" s="28"/>
      <c r="B995" s="28"/>
      <c r="C995" s="28"/>
      <c r="D995" s="28"/>
      <c r="E995" s="28"/>
    </row>
    <row r="996">
      <c r="A996" s="28"/>
      <c r="B996" s="28"/>
      <c r="C996" s="28"/>
      <c r="D996" s="28"/>
      <c r="E996" s="28"/>
    </row>
    <row r="997">
      <c r="A997" s="28"/>
      <c r="B997" s="28"/>
      <c r="C997" s="28"/>
      <c r="D997" s="28"/>
      <c r="E997" s="28"/>
    </row>
    <row r="998">
      <c r="A998" s="28"/>
      <c r="B998" s="28"/>
      <c r="C998" s="28"/>
      <c r="D998" s="28"/>
      <c r="E998" s="28"/>
    </row>
    <row r="999">
      <c r="A999" s="28"/>
      <c r="B999" s="28"/>
      <c r="C999" s="28"/>
      <c r="D999" s="28"/>
      <c r="E999" s="28"/>
    </row>
    <row r="1000">
      <c r="A1000" s="28"/>
      <c r="B1000" s="28"/>
      <c r="C1000" s="28"/>
      <c r="D1000" s="28"/>
      <c r="E1000" s="28"/>
    </row>
  </sheetData>
  <mergeCells count="1">
    <mergeCell ref="A90:C9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5" max="5" width="25.88"/>
    <col customWidth="1" min="6" max="6" width="16.38"/>
    <col customWidth="1" min="14" max="14" width="33.38"/>
  </cols>
  <sheetData>
    <row r="1" ht="16.5" customHeight="1">
      <c r="A1" s="169" t="s">
        <v>683</v>
      </c>
      <c r="B1" s="28"/>
      <c r="C1" s="164"/>
      <c r="D1" s="170"/>
      <c r="E1" s="171" t="s">
        <v>684</v>
      </c>
      <c r="F1" s="172"/>
      <c r="G1" s="172"/>
      <c r="H1" s="173">
        <f>SUM(H3:H1000)</f>
        <v>1149613.039</v>
      </c>
      <c r="I1" s="171" t="s">
        <v>685</v>
      </c>
      <c r="J1" s="173">
        <f>SUM(J3:J1000)</f>
        <v>0</v>
      </c>
      <c r="K1" s="171" t="s">
        <v>686</v>
      </c>
      <c r="L1" s="173">
        <f>sum(L3:L1000)</f>
        <v>0</v>
      </c>
      <c r="M1" s="174"/>
      <c r="N1" s="171" t="s">
        <v>687</v>
      </c>
      <c r="O1" s="172"/>
      <c r="P1" s="175"/>
      <c r="Q1" s="173">
        <f>SUM(Q3:Q1000)</f>
        <v>932486</v>
      </c>
      <c r="R1" s="171" t="s">
        <v>685</v>
      </c>
      <c r="S1" s="173">
        <f>SUM(S3:S1000)</f>
        <v>0</v>
      </c>
      <c r="T1" s="171" t="s">
        <v>686</v>
      </c>
      <c r="U1" s="173">
        <f>sum(U3:U1000)</f>
        <v>0</v>
      </c>
      <c r="V1" s="176"/>
      <c r="W1" s="176"/>
      <c r="X1" s="176"/>
      <c r="Y1" s="176"/>
      <c r="Z1" s="176"/>
      <c r="AA1" s="176"/>
      <c r="AB1" s="176"/>
    </row>
    <row r="2" ht="16.5" customHeight="1">
      <c r="A2" s="28"/>
      <c r="B2" s="177"/>
      <c r="C2" s="178"/>
      <c r="D2" s="179"/>
      <c r="E2" s="180" t="s">
        <v>5</v>
      </c>
      <c r="F2" s="180" t="s">
        <v>8</v>
      </c>
      <c r="G2" s="181" t="s">
        <v>674</v>
      </c>
      <c r="H2" s="182" t="s">
        <v>675</v>
      </c>
      <c r="I2" s="183" t="s">
        <v>677</v>
      </c>
      <c r="J2" s="184" t="s">
        <v>675</v>
      </c>
      <c r="K2" s="183" t="s">
        <v>677</v>
      </c>
      <c r="L2" s="184" t="s">
        <v>675</v>
      </c>
      <c r="M2" s="174"/>
      <c r="N2" s="180" t="s">
        <v>5</v>
      </c>
      <c r="O2" s="180" t="s">
        <v>8</v>
      </c>
      <c r="P2" s="185" t="s">
        <v>674</v>
      </c>
      <c r="Q2" s="186" t="s">
        <v>675</v>
      </c>
      <c r="R2" s="183" t="s">
        <v>677</v>
      </c>
      <c r="S2" s="184" t="s">
        <v>675</v>
      </c>
      <c r="T2" s="183" t="s">
        <v>677</v>
      </c>
      <c r="U2" s="184" t="s">
        <v>675</v>
      </c>
      <c r="V2" s="28"/>
      <c r="W2" s="28"/>
      <c r="X2" s="28"/>
      <c r="Y2" s="28"/>
      <c r="Z2" s="28"/>
      <c r="AA2" s="28"/>
      <c r="AB2" s="28"/>
    </row>
    <row r="3" ht="16.5" customHeight="1">
      <c r="A3" s="187" t="s">
        <v>688</v>
      </c>
      <c r="B3" s="11"/>
      <c r="C3" s="164"/>
      <c r="D3" s="170"/>
      <c r="E3" s="188" t="s">
        <v>66</v>
      </c>
      <c r="F3" s="188" t="s">
        <v>25</v>
      </c>
      <c r="G3" s="189">
        <f t="shared" ref="G3:G182" si="1">VLOOKUP(E3, INDIRECT("'" &amp; $A$1 &amp; "'!A:O"), 13, FALSE)
</f>
        <v>22.9</v>
      </c>
      <c r="H3" s="190">
        <f>vlookup(E3, Prices!$A:$G,7,)*G3</f>
        <v>180461.9565</v>
      </c>
      <c r="I3" s="191" t="str">
        <f t="array" ref="I3">VLOOKUP(E3, INDIRECT("'" &amp; $A$1 &amp; "'!A:O"), 14, FALSE)
</f>
        <v/>
      </c>
      <c r="J3" s="190">
        <f>vlookup(E3, Prices!$A:$G,7,)*I3</f>
        <v>0</v>
      </c>
      <c r="K3" s="191" t="str">
        <f t="shared" ref="K3:K61" si="2">VLOOKUP(E3, INDIRECT("'" &amp; $A$1 &amp; "'!A:O"), 15, FALSE)
</f>
        <v/>
      </c>
      <c r="L3" s="190">
        <f>vlookup(E3, Prices!$A:$G,7,)*K3</f>
        <v>0</v>
      </c>
      <c r="M3" s="174"/>
      <c r="N3" s="192" t="s">
        <v>433</v>
      </c>
      <c r="O3" s="193" t="s">
        <v>402</v>
      </c>
      <c r="P3" s="194">
        <f t="array" ref="P3">VLOOKUP(N3, INDIRECT("'" &amp; $A$1 &amp; "'!A:O"), 13, FALSE)/ vlookup(N3,BACKEND2!$A$1:$F1000,5,)</f>
        <v>8</v>
      </c>
      <c r="Q3" s="190">
        <f>vlookup(N3, Prices!$A:$F,3,)*P3</f>
        <v>67968</v>
      </c>
      <c r="R3" s="191" t="str">
        <f t="array" ref="R3">VLOOKUP(N3, INDIRECT("'" &amp; $A$1 &amp; "'!A:O"), 14, FALSE)
</f>
        <v/>
      </c>
      <c r="S3" s="190">
        <f>vlookup(N3, Prices!$A:$G,7,)*R3</f>
        <v>0</v>
      </c>
      <c r="T3" s="191" t="str">
        <f t="shared" ref="T3:T34" si="3">VLOOKUP(N3, INDIRECT("'" &amp; $A$1 &amp; "'!A:O"), 15, FALSE)
</f>
        <v/>
      </c>
      <c r="U3" s="190">
        <f>vlookup(N3, Prices!$A:$G,7,)*T3</f>
        <v>0</v>
      </c>
      <c r="V3" s="28"/>
      <c r="W3" s="28"/>
      <c r="X3" s="28"/>
      <c r="Y3" s="28"/>
      <c r="Z3" s="28"/>
      <c r="AA3" s="28"/>
      <c r="AB3" s="28"/>
    </row>
    <row r="4" ht="16.5" customHeight="1">
      <c r="A4" s="195" t="s">
        <v>689</v>
      </c>
      <c r="B4" s="196">
        <f>Q1</f>
        <v>932486</v>
      </c>
      <c r="C4" s="164"/>
      <c r="D4" s="170"/>
      <c r="E4" s="188" t="s">
        <v>82</v>
      </c>
      <c r="F4" s="188" t="s">
        <v>35</v>
      </c>
      <c r="G4" s="189">
        <f t="shared" si="1"/>
        <v>0.62</v>
      </c>
      <c r="H4" s="190">
        <f>vlookup(E4, Prices!$A:$G,7,)*G4</f>
        <v>122368.4211</v>
      </c>
      <c r="I4" s="191"/>
      <c r="J4" s="190">
        <f>vlookup(E4, Prices!$A:$G,7,)*I4</f>
        <v>0</v>
      </c>
      <c r="K4" s="191" t="str">
        <f t="shared" si="2"/>
        <v/>
      </c>
      <c r="L4" s="190">
        <f>vlookup(E4, Prices!$A:$G,7,)*K4</f>
        <v>0</v>
      </c>
      <c r="M4" s="174"/>
      <c r="N4" s="192" t="s">
        <v>404</v>
      </c>
      <c r="O4" s="193" t="s">
        <v>17</v>
      </c>
      <c r="P4" s="194">
        <f t="array" ref="P4">VLOOKUP(N4, INDIRECT("'" &amp; $A$1 &amp; "'!A:O"), 13, FALSE)/ vlookup(N4,BACKEND2!$A$1:$F1000,5,)</f>
        <v>11</v>
      </c>
      <c r="Q4" s="190">
        <f>vlookup(N4, Prices!$A:$F,3,)*P4</f>
        <v>99297</v>
      </c>
      <c r="R4" s="191"/>
      <c r="S4" s="190">
        <f>vlookup(N4, Prices!$A:$G,7,)*R4</f>
        <v>0</v>
      </c>
      <c r="T4" s="191" t="str">
        <f t="shared" si="3"/>
        <v/>
      </c>
      <c r="U4" s="190">
        <f>vlookup(N4, Prices!$A:$G,7,)*T4</f>
        <v>0</v>
      </c>
      <c r="V4" s="197" t="s">
        <v>690</v>
      </c>
      <c r="W4" s="197" t="s">
        <v>691</v>
      </c>
      <c r="X4" s="197" t="s">
        <v>692</v>
      </c>
      <c r="Y4" s="197" t="s">
        <v>693</v>
      </c>
      <c r="Z4" s="197" t="s">
        <v>694</v>
      </c>
      <c r="AA4" s="197" t="s">
        <v>695</v>
      </c>
      <c r="AB4" s="28"/>
    </row>
    <row r="5" ht="16.5" customHeight="1">
      <c r="A5" s="195" t="s">
        <v>696</v>
      </c>
      <c r="B5" s="196">
        <f>H1</f>
        <v>1149613.039</v>
      </c>
      <c r="C5" s="164"/>
      <c r="D5" s="170"/>
      <c r="E5" s="188" t="s">
        <v>242</v>
      </c>
      <c r="F5" s="188" t="s">
        <v>35</v>
      </c>
      <c r="G5" s="189">
        <f t="shared" si="1"/>
        <v>49.85</v>
      </c>
      <c r="H5" s="190">
        <f>vlookup(E5, Prices!$A:$G,7,)*G5</f>
        <v>114655</v>
      </c>
      <c r="I5" s="191" t="str">
        <f t="shared" ref="I5:I26" si="4">VLOOKUP(E5, INDIRECT("'" &amp; $A$1 &amp; "'!A:O"), 14, FALSE)
</f>
        <v/>
      </c>
      <c r="J5" s="190">
        <f>vlookup(E5, Prices!$A:$G,7,)*I5</f>
        <v>0</v>
      </c>
      <c r="K5" s="191" t="str">
        <f t="shared" si="2"/>
        <v/>
      </c>
      <c r="L5" s="190">
        <f>vlookup(E5, Prices!$A:$G,7,)*K5</f>
        <v>0</v>
      </c>
      <c r="M5" s="174"/>
      <c r="N5" s="192" t="s">
        <v>416</v>
      </c>
      <c r="O5" s="193" t="s">
        <v>17</v>
      </c>
      <c r="P5" s="194">
        <f t="array" ref="P5">VLOOKUP(N5, INDIRECT("'" &amp; $A$1 &amp; "'!A:O"), 13, FALSE)/ vlookup(N5,BACKEND2!$A$1:$F1000,5,)</f>
        <v>5.5</v>
      </c>
      <c r="Q5" s="190">
        <f>vlookup(N5, Prices!$A:$F,3,)*P5</f>
        <v>38940</v>
      </c>
      <c r="R5" s="191" t="str">
        <f t="shared" ref="R5:R15" si="5">VLOOKUP(N5, INDIRECT("'" &amp; $A$1 &amp; "'!A:O"), 14, FALSE)
</f>
        <v/>
      </c>
      <c r="S5" s="190">
        <f>vlookup(N5, Prices!$A:$G,7,)*R5</f>
        <v>0</v>
      </c>
      <c r="T5" s="191" t="str">
        <f t="shared" si="3"/>
        <v/>
      </c>
      <c r="U5" s="190">
        <f>vlookup(N5, Prices!$A:$G,7,)*T5</f>
        <v>0</v>
      </c>
      <c r="V5" s="28"/>
      <c r="W5" s="28"/>
      <c r="X5" s="198" t="s">
        <v>697</v>
      </c>
      <c r="Y5" s="198" t="s">
        <v>698</v>
      </c>
      <c r="Z5" s="198" t="s">
        <v>699</v>
      </c>
      <c r="AA5" s="198" t="s">
        <v>700</v>
      </c>
      <c r="AB5" s="199">
        <v>1.0</v>
      </c>
    </row>
    <row r="6" ht="16.5" customHeight="1">
      <c r="A6" s="195" t="s">
        <v>685</v>
      </c>
      <c r="B6" s="158">
        <f>J1</f>
        <v>0</v>
      </c>
      <c r="C6" s="164"/>
      <c r="D6" s="170"/>
      <c r="E6" s="200" t="s">
        <v>178</v>
      </c>
      <c r="F6" s="188" t="s">
        <v>35</v>
      </c>
      <c r="G6" s="189">
        <f t="shared" si="1"/>
        <v>4</v>
      </c>
      <c r="H6" s="190">
        <f>vlookup(E6, Prices!$A:$G,7,)*G6</f>
        <v>88000</v>
      </c>
      <c r="I6" s="191" t="str">
        <f t="shared" si="4"/>
        <v/>
      </c>
      <c r="J6" s="190">
        <f>vlookup(E6, Prices!$A:$G,7,)*I6</f>
        <v>0</v>
      </c>
      <c r="K6" s="191" t="str">
        <f t="shared" si="2"/>
        <v/>
      </c>
      <c r="L6" s="190">
        <f>vlookup(E6, Prices!$A:$G,7,)*K6</f>
        <v>0</v>
      </c>
      <c r="M6" s="174"/>
      <c r="N6" s="192" t="s">
        <v>435</v>
      </c>
      <c r="O6" s="193" t="s">
        <v>402</v>
      </c>
      <c r="P6" s="194">
        <f t="array" ref="P6">VLOOKUP(N6, INDIRECT("'" &amp; $A$1 &amp; "'!A:O"), 13, FALSE)/ vlookup(N6,BACKEND2!$A$1:$F1000,5,)</f>
        <v>4</v>
      </c>
      <c r="Q6" s="190">
        <f>vlookup(N6, Prices!$A:$F,3,)*P6</f>
        <v>42480</v>
      </c>
      <c r="R6" s="191" t="str">
        <f t="shared" si="5"/>
        <v/>
      </c>
      <c r="S6" s="190">
        <f>vlookup(N6, Prices!$A:$G,7,)*R6</f>
        <v>0</v>
      </c>
      <c r="T6" s="191" t="str">
        <f t="shared" si="3"/>
        <v/>
      </c>
      <c r="U6" s="190">
        <f>vlookup(N6, Prices!$A:$G,7,)*T6</f>
        <v>0</v>
      </c>
      <c r="V6" s="28"/>
      <c r="W6" s="28"/>
      <c r="X6" s="198" t="s">
        <v>701</v>
      </c>
      <c r="Y6" s="28"/>
      <c r="Z6" s="28"/>
      <c r="AA6" s="198" t="s">
        <v>702</v>
      </c>
      <c r="AB6" s="199">
        <v>1.0</v>
      </c>
    </row>
    <row r="7" ht="16.5" customHeight="1">
      <c r="A7" s="195" t="s">
        <v>686</v>
      </c>
      <c r="B7" s="158">
        <f>L1</f>
        <v>0</v>
      </c>
      <c r="C7" s="164"/>
      <c r="D7" s="170"/>
      <c r="E7" s="200" t="s">
        <v>243</v>
      </c>
      <c r="F7" s="201" t="s">
        <v>241</v>
      </c>
      <c r="G7" s="189">
        <f t="shared" si="1"/>
        <v>9</v>
      </c>
      <c r="H7" s="190">
        <f>vlookup(E7, Prices!$A:$G,7,)*G7</f>
        <v>77142.85714</v>
      </c>
      <c r="I7" s="191" t="str">
        <f t="shared" si="4"/>
        <v/>
      </c>
      <c r="J7" s="190">
        <f>vlookup(E7, Prices!$A:$G,7,)*I7</f>
        <v>0</v>
      </c>
      <c r="K7" s="191" t="str">
        <f t="shared" si="2"/>
        <v/>
      </c>
      <c r="L7" s="190">
        <f>vlookup(E7, Prices!$A:$G,7,)*K7</f>
        <v>0</v>
      </c>
      <c r="M7" s="174"/>
      <c r="N7" s="192" t="s">
        <v>418</v>
      </c>
      <c r="O7" s="193" t="s">
        <v>402</v>
      </c>
      <c r="P7" s="194">
        <f t="array" ref="P7">VLOOKUP(N7, INDIRECT("'" &amp; $A$1 &amp; "'!A:O"), 13, FALSE)/ vlookup(N7,BACKEND2!$A$1:$F1000,5,)</f>
        <v>13.5</v>
      </c>
      <c r="Q7" s="190">
        <f>vlookup(N7, Prices!$A:$F,3,)*P7</f>
        <v>54162</v>
      </c>
      <c r="R7" s="191" t="str">
        <f t="shared" si="5"/>
        <v/>
      </c>
      <c r="S7" s="190">
        <f>vlookup(N7, Prices!$A:$G,7,)*R7</f>
        <v>0</v>
      </c>
      <c r="T7" s="191" t="str">
        <f t="shared" si="3"/>
        <v/>
      </c>
      <c r="U7" s="190">
        <f>vlookup(N7, Prices!$A:$G,7,)*T7</f>
        <v>0</v>
      </c>
      <c r="V7" s="28"/>
      <c r="W7" s="28"/>
      <c r="X7" s="28"/>
      <c r="Y7" s="28"/>
      <c r="Z7" s="28"/>
      <c r="AA7" s="198" t="s">
        <v>703</v>
      </c>
      <c r="AB7" s="199">
        <v>1.0</v>
      </c>
    </row>
    <row r="8" ht="16.5" customHeight="1">
      <c r="A8" s="202" t="s">
        <v>704</v>
      </c>
      <c r="B8" s="203">
        <f>sum(B4:B7)</f>
        <v>2082099.039</v>
      </c>
      <c r="C8" s="164"/>
      <c r="D8" s="170"/>
      <c r="E8" s="191" t="s">
        <v>271</v>
      </c>
      <c r="F8" s="191" t="s">
        <v>17</v>
      </c>
      <c r="G8" s="189">
        <f t="shared" si="1"/>
        <v>60</v>
      </c>
      <c r="H8" s="190">
        <f>vlookup(E8, Prices!$A:$G,7,)*G8</f>
        <v>51000</v>
      </c>
      <c r="I8" s="191" t="str">
        <f t="shared" si="4"/>
        <v/>
      </c>
      <c r="J8" s="190">
        <f>vlookup(E8, Prices!$A:$G,7,)*I8</f>
        <v>0</v>
      </c>
      <c r="K8" s="191" t="str">
        <f t="shared" si="2"/>
        <v/>
      </c>
      <c r="L8" s="190">
        <f>vlookup(E8, Prices!$A:$G,7,)*K8</f>
        <v>0</v>
      </c>
      <c r="M8" s="174"/>
      <c r="N8" s="192" t="s">
        <v>442</v>
      </c>
      <c r="O8" s="193" t="s">
        <v>402</v>
      </c>
      <c r="P8" s="194">
        <f t="array" ref="P8">VLOOKUP(N8, INDIRECT("'" &amp; $A$1 &amp; "'!A:O"), 13, FALSE)/ vlookup(N8,BACKEND2!$A$1:$F1000,5,)</f>
        <v>4</v>
      </c>
      <c r="Q8" s="190">
        <f>vlookup(N8, Prices!$A:$F,3,)*P8</f>
        <v>19116</v>
      </c>
      <c r="R8" s="191" t="str">
        <f t="shared" si="5"/>
        <v/>
      </c>
      <c r="S8" s="190">
        <f>vlookup(N8, Prices!$A:$G,7,)*R8</f>
        <v>0</v>
      </c>
      <c r="T8" s="191" t="str">
        <f t="shared" si="3"/>
        <v/>
      </c>
      <c r="U8" s="190">
        <f>vlookup(N8, Prices!$A:$G,7,)*T8</f>
        <v>0</v>
      </c>
      <c r="V8" s="198" t="s">
        <v>705</v>
      </c>
      <c r="W8" s="28"/>
      <c r="X8" s="28"/>
      <c r="Y8" s="28"/>
      <c r="Z8" s="28"/>
      <c r="AA8" s="198" t="s">
        <v>706</v>
      </c>
      <c r="AB8" s="199">
        <v>1.0</v>
      </c>
    </row>
    <row r="9" ht="16.5" customHeight="1">
      <c r="A9" s="28"/>
      <c r="B9" s="28"/>
      <c r="C9" s="164"/>
      <c r="D9" s="170"/>
      <c r="E9" s="200" t="s">
        <v>62</v>
      </c>
      <c r="F9" s="188" t="s">
        <v>35</v>
      </c>
      <c r="G9" s="189">
        <f t="shared" si="1"/>
        <v>4.9</v>
      </c>
      <c r="H9" s="190">
        <f>vlookup(E9, Prices!$A:$G,7,)*G9</f>
        <v>49000</v>
      </c>
      <c r="I9" s="191" t="str">
        <f t="shared" si="4"/>
        <v/>
      </c>
      <c r="J9" s="190">
        <f>vlookup(E9, Prices!$A:$G,7,)*I9</f>
        <v>0</v>
      </c>
      <c r="K9" s="191" t="str">
        <f t="shared" si="2"/>
        <v/>
      </c>
      <c r="L9" s="190">
        <f>vlookup(E9, Prices!$A:$G,7,)*K9</f>
        <v>0</v>
      </c>
      <c r="M9" s="174"/>
      <c r="N9" s="204" t="s">
        <v>423</v>
      </c>
      <c r="O9" s="193" t="s">
        <v>402</v>
      </c>
      <c r="P9" s="194">
        <f t="array" ref="P9">VLOOKUP(N9, INDIRECT("'" &amp; $A$1 &amp; "'!A:O"), 13, FALSE)/ vlookup(N9,BACKEND2!$A$1:$F1000,5,)</f>
        <v>4</v>
      </c>
      <c r="Q9" s="190">
        <f>vlookup(N9, Prices!$A:$F,3,)*P9</f>
        <v>33180</v>
      </c>
      <c r="R9" s="191" t="str">
        <f t="shared" si="5"/>
        <v/>
      </c>
      <c r="S9" s="190">
        <f>vlookup(N9, Prices!$A:$G,7,)*R9</f>
        <v>0</v>
      </c>
      <c r="T9" s="191" t="str">
        <f t="shared" si="3"/>
        <v/>
      </c>
      <c r="U9" s="190">
        <f>vlookup(N9, Prices!$A:$G,7,)*T9</f>
        <v>0</v>
      </c>
      <c r="V9" s="28"/>
      <c r="W9" s="28"/>
      <c r="X9" s="28"/>
      <c r="Y9" s="28"/>
      <c r="Z9" s="28"/>
      <c r="AA9" s="198" t="s">
        <v>707</v>
      </c>
      <c r="AB9" s="198" t="s">
        <v>708</v>
      </c>
    </row>
    <row r="10" ht="16.5" customHeight="1">
      <c r="A10" s="205" t="s">
        <v>709</v>
      </c>
      <c r="B10" s="3"/>
      <c r="C10" s="164"/>
      <c r="D10" s="170"/>
      <c r="E10" s="206" t="s">
        <v>110</v>
      </c>
      <c r="F10" s="188" t="s">
        <v>35</v>
      </c>
      <c r="G10" s="189">
        <f t="shared" si="1"/>
        <v>0.462</v>
      </c>
      <c r="H10" s="190">
        <f>vlookup(E10, Prices!$A:$G,7,)*G10</f>
        <v>43890</v>
      </c>
      <c r="I10" s="191" t="str">
        <f t="shared" si="4"/>
        <v/>
      </c>
      <c r="J10" s="190">
        <f>vlookup(E10, Prices!$A:$G,7,)*I10</f>
        <v>0</v>
      </c>
      <c r="K10" s="191" t="str">
        <f t="shared" si="2"/>
        <v/>
      </c>
      <c r="L10" s="190">
        <f>vlookup(E10, Prices!$A:$G,7,)*K10</f>
        <v>0</v>
      </c>
      <c r="M10" s="174"/>
      <c r="N10" s="192" t="s">
        <v>451</v>
      </c>
      <c r="O10" s="193" t="s">
        <v>17</v>
      </c>
      <c r="P10" s="194">
        <f t="array" ref="P10">VLOOKUP(N10, INDIRECT("'" &amp; $A$1 &amp; "'!A:O"), 13, FALSE)/ vlookup(N10,BACKEND2!$A$1:$F1000,5,)</f>
        <v>3</v>
      </c>
      <c r="Q10" s="190">
        <f>vlookup(N10, Prices!$A:$F,3,)*P10</f>
        <v>30798</v>
      </c>
      <c r="R10" s="191" t="str">
        <f t="shared" si="5"/>
        <v/>
      </c>
      <c r="S10" s="190">
        <f>vlookup(N10, Prices!$A:$G,7,)*R10</f>
        <v>0</v>
      </c>
      <c r="T10" s="191" t="str">
        <f t="shared" si="3"/>
        <v/>
      </c>
      <c r="U10" s="190">
        <f>vlookup(N10, Prices!$A:$G,7,)*T10</f>
        <v>0</v>
      </c>
      <c r="V10" s="198" t="s">
        <v>710</v>
      </c>
      <c r="W10" s="28"/>
      <c r="X10" s="28"/>
      <c r="Y10" s="28"/>
      <c r="Z10" s="28"/>
      <c r="AA10" s="198" t="s">
        <v>711</v>
      </c>
      <c r="AB10" s="199">
        <v>1.0</v>
      </c>
    </row>
    <row r="11" ht="16.5" customHeight="1">
      <c r="A11" s="195" t="s">
        <v>712</v>
      </c>
      <c r="B11" s="207"/>
      <c r="C11" s="164"/>
      <c r="D11" s="170"/>
      <c r="E11" s="188" t="s">
        <v>152</v>
      </c>
      <c r="F11" s="188" t="s">
        <v>35</v>
      </c>
      <c r="G11" s="189">
        <f t="shared" si="1"/>
        <v>0.864</v>
      </c>
      <c r="H11" s="190">
        <f>vlookup(E11, Prices!$A:$G,7,)*G11</f>
        <v>38880</v>
      </c>
      <c r="I11" s="191" t="str">
        <f t="shared" si="4"/>
        <v/>
      </c>
      <c r="J11" s="190">
        <f>vlookup(E11, Prices!$A:$G,7,)*I11</f>
        <v>0</v>
      </c>
      <c r="K11" s="191" t="str">
        <f t="shared" si="2"/>
        <v/>
      </c>
      <c r="L11" s="190">
        <f>vlookup(E11, Prices!$A:$G,7,)*K11</f>
        <v>0</v>
      </c>
      <c r="M11" s="174"/>
      <c r="N11" s="192" t="s">
        <v>441</v>
      </c>
      <c r="O11" s="193" t="s">
        <v>402</v>
      </c>
      <c r="P11" s="194">
        <f t="array" ref="P11">VLOOKUP(N11, INDIRECT("'" &amp; $A$1 &amp; "'!A:O"), 13, FALSE)/ vlookup(N11,BACKEND2!$A$1:$F1000,5,)</f>
        <v>1.5</v>
      </c>
      <c r="Q11" s="190">
        <f>vlookup(N11, Prices!$A:$F,3,)*P11</f>
        <v>6555</v>
      </c>
      <c r="R11" s="191" t="str">
        <f t="shared" si="5"/>
        <v/>
      </c>
      <c r="S11" s="190">
        <f>vlookup(N11, Prices!$A:$G,7,)*R11</f>
        <v>0</v>
      </c>
      <c r="T11" s="191" t="str">
        <f t="shared" si="3"/>
        <v/>
      </c>
      <c r="U11" s="190">
        <f>vlookup(N11, Prices!$A:$G,7,)*T11</f>
        <v>0</v>
      </c>
      <c r="V11" s="28"/>
      <c r="W11" s="28"/>
      <c r="X11" s="28"/>
      <c r="Y11" s="28"/>
      <c r="Z11" s="28"/>
      <c r="AA11" s="198" t="s">
        <v>711</v>
      </c>
      <c r="AB11" s="199">
        <v>1.0</v>
      </c>
    </row>
    <row r="12" ht="16.5" customHeight="1">
      <c r="A12" s="195" t="s">
        <v>713</v>
      </c>
      <c r="B12" s="208">
        <f>B8</f>
        <v>2082099.039</v>
      </c>
      <c r="C12" s="164"/>
      <c r="D12" s="170"/>
      <c r="E12" s="188" t="s">
        <v>58</v>
      </c>
      <c r="F12" s="188" t="s">
        <v>35</v>
      </c>
      <c r="G12" s="189">
        <f t="shared" si="1"/>
        <v>10.754</v>
      </c>
      <c r="H12" s="190">
        <f>vlookup(E12, Prices!$A:$G,7,)*G12</f>
        <v>35843.082</v>
      </c>
      <c r="I12" s="191" t="str">
        <f t="shared" si="4"/>
        <v/>
      </c>
      <c r="J12" s="190">
        <f>vlookup(E12, Prices!$A:$G,7,)*I12</f>
        <v>0</v>
      </c>
      <c r="K12" s="191" t="str">
        <f t="shared" si="2"/>
        <v/>
      </c>
      <c r="L12" s="190">
        <f>vlookup(E12, Prices!$A:$G,7,)*K12</f>
        <v>0</v>
      </c>
      <c r="M12" s="174"/>
      <c r="N12" s="204" t="s">
        <v>432</v>
      </c>
      <c r="O12" s="193" t="s">
        <v>402</v>
      </c>
      <c r="P12" s="194">
        <f t="array" ref="P12">VLOOKUP(N12, INDIRECT("'" &amp; $A$1 &amp; "'!A:O"), 13, FALSE)/ vlookup(N12,BACKEND2!$A$1:$F1000,5,)</f>
        <v>1</v>
      </c>
      <c r="Q12" s="190">
        <f>vlookup(N12, Prices!$A:$F,3,)*P12</f>
        <v>9558</v>
      </c>
      <c r="R12" s="191" t="str">
        <f t="shared" si="5"/>
        <v/>
      </c>
      <c r="S12" s="190">
        <f>vlookup(N12, Prices!$A:$G,7,)*R12</f>
        <v>0</v>
      </c>
      <c r="T12" s="191" t="str">
        <f t="shared" si="3"/>
        <v/>
      </c>
      <c r="U12" s="190">
        <f>vlookup(N12, Prices!$A:$G,7,)*T12</f>
        <v>0</v>
      </c>
      <c r="V12" s="28"/>
      <c r="W12" s="28"/>
      <c r="X12" s="28"/>
      <c r="Y12" s="28"/>
      <c r="Z12" s="28"/>
      <c r="AA12" s="198" t="s">
        <v>714</v>
      </c>
      <c r="AB12" s="199">
        <v>1.0</v>
      </c>
    </row>
    <row r="13" ht="16.5" customHeight="1">
      <c r="A13" s="195" t="s">
        <v>715</v>
      </c>
      <c r="B13" s="209"/>
      <c r="C13" s="164"/>
      <c r="D13" s="170"/>
      <c r="E13" s="200" t="s">
        <v>193</v>
      </c>
      <c r="F13" s="188" t="s">
        <v>35</v>
      </c>
      <c r="G13" s="189">
        <f t="shared" si="1"/>
        <v>8.469</v>
      </c>
      <c r="H13" s="190">
        <f>vlookup(E13, Prices!$A:$G,7,)*G13</f>
        <v>23713.2</v>
      </c>
      <c r="I13" s="191" t="str">
        <f t="shared" si="4"/>
        <v/>
      </c>
      <c r="J13" s="190">
        <f>vlookup(E13, Prices!$A:$G,7,)*I13</f>
        <v>0</v>
      </c>
      <c r="K13" s="191" t="str">
        <f t="shared" si="2"/>
        <v/>
      </c>
      <c r="L13" s="190">
        <f>vlookup(E13, Prices!$A:$G,7,)*K13</f>
        <v>0</v>
      </c>
      <c r="M13" s="174"/>
      <c r="N13" s="204" t="s">
        <v>429</v>
      </c>
      <c r="O13" s="193" t="s">
        <v>17</v>
      </c>
      <c r="P13" s="194">
        <f t="array" ref="P13">VLOOKUP(N13, INDIRECT("'" &amp; $A$1 &amp; "'!A:O"), 13, FALSE)/ vlookup(N13,BACKEND2!$A$1:$F1000,5,)</f>
        <v>0</v>
      </c>
      <c r="Q13" s="190">
        <f>vlookup(N13, Prices!$A:$F,3,)*P13</f>
        <v>0</v>
      </c>
      <c r="R13" s="191" t="str">
        <f t="shared" si="5"/>
        <v/>
      </c>
      <c r="S13" s="190">
        <f>vlookup(N13, Prices!$A:$G,7,)*R13</f>
        <v>0</v>
      </c>
      <c r="T13" s="191" t="str">
        <f t="shared" si="3"/>
        <v/>
      </c>
      <c r="U13" s="190">
        <f>vlookup(N13, Prices!$A:$G,7,)*T13</f>
        <v>0</v>
      </c>
      <c r="V13" s="197" t="s">
        <v>716</v>
      </c>
      <c r="W13" s="197" t="s">
        <v>717</v>
      </c>
      <c r="X13" s="197" t="s">
        <v>718</v>
      </c>
      <c r="Y13" s="197" t="s">
        <v>719</v>
      </c>
      <c r="Z13" s="197" t="s">
        <v>690</v>
      </c>
      <c r="AA13" s="198" t="s">
        <v>720</v>
      </c>
      <c r="AB13" s="199">
        <v>1.0</v>
      </c>
    </row>
    <row r="14" ht="16.5" customHeight="1">
      <c r="A14" s="195" t="s">
        <v>721</v>
      </c>
      <c r="B14" s="210">
        <f>B11-B12</f>
        <v>-2082099.039</v>
      </c>
      <c r="C14" s="211"/>
      <c r="D14" s="170"/>
      <c r="E14" s="188" t="s">
        <v>166</v>
      </c>
      <c r="F14" s="188" t="s">
        <v>35</v>
      </c>
      <c r="G14" s="189">
        <f t="shared" si="1"/>
        <v>0.705</v>
      </c>
      <c r="H14" s="190">
        <f>vlookup(E14, Prices!$A:$G,7,)*G14</f>
        <v>22380.95238</v>
      </c>
      <c r="I14" s="191" t="str">
        <f t="shared" si="4"/>
        <v/>
      </c>
      <c r="J14" s="190">
        <f>vlookup(E14, Prices!$A:$G,7,)*I14</f>
        <v>0</v>
      </c>
      <c r="K14" s="191" t="str">
        <f t="shared" si="2"/>
        <v/>
      </c>
      <c r="L14" s="190">
        <f>vlookup(E14, Prices!$A:$G,7,)*K14</f>
        <v>0</v>
      </c>
      <c r="M14" s="174"/>
      <c r="N14" s="192" t="s">
        <v>426</v>
      </c>
      <c r="O14" s="193" t="s">
        <v>402</v>
      </c>
      <c r="P14" s="194">
        <f t="array" ref="P14">VLOOKUP(N14, INDIRECT("'" &amp; $A$1 &amp; "'!A:O"), 13, FALSE)/ vlookup(N14,BACKEND2!$A$1:$F1000,5,)</f>
        <v>1</v>
      </c>
      <c r="Q14" s="190">
        <f>vlookup(N14, Prices!$A:$F,3,)*P14</f>
        <v>6726</v>
      </c>
      <c r="R14" s="191" t="str">
        <f t="shared" si="5"/>
        <v/>
      </c>
      <c r="S14" s="190">
        <f>vlookup(N14, Prices!$A:$G,7,)*R14</f>
        <v>0</v>
      </c>
      <c r="T14" s="191" t="str">
        <f t="shared" si="3"/>
        <v/>
      </c>
      <c r="U14" s="190">
        <f>vlookup(N14, Prices!$A:$G,7,)*T14</f>
        <v>0</v>
      </c>
      <c r="V14" s="198" t="s">
        <v>722</v>
      </c>
      <c r="W14" s="198" t="s">
        <v>723</v>
      </c>
      <c r="X14" s="198" t="s">
        <v>724</v>
      </c>
      <c r="Y14" s="198" t="s">
        <v>725</v>
      </c>
      <c r="Z14" s="28"/>
      <c r="AA14" s="198" t="s">
        <v>726</v>
      </c>
      <c r="AB14" s="199">
        <v>1.0</v>
      </c>
    </row>
    <row r="15" ht="16.5" customHeight="1">
      <c r="A15" s="195" t="s">
        <v>727</v>
      </c>
      <c r="B15" s="212" t="str">
        <f>B12/B11</f>
        <v>#DIV/0!</v>
      </c>
      <c r="C15" s="213"/>
      <c r="D15" s="170"/>
      <c r="E15" s="188" t="s">
        <v>92</v>
      </c>
      <c r="F15" s="188" t="s">
        <v>25</v>
      </c>
      <c r="G15" s="189">
        <f t="shared" si="1"/>
        <v>0.709</v>
      </c>
      <c r="H15" s="190">
        <f>vlookup(E15, Prices!$A:$G,7,)*G15</f>
        <v>21742.66667</v>
      </c>
      <c r="I15" s="191" t="str">
        <f t="shared" si="4"/>
        <v/>
      </c>
      <c r="J15" s="190">
        <f>vlookup(E15, Prices!$A:$G,7,)*I15</f>
        <v>0</v>
      </c>
      <c r="K15" s="191" t="str">
        <f t="shared" si="2"/>
        <v/>
      </c>
      <c r="L15" s="190">
        <f>vlookup(E15, Prices!$A:$G,7,)*K15</f>
        <v>0</v>
      </c>
      <c r="M15" s="174"/>
      <c r="N15" s="192" t="s">
        <v>397</v>
      </c>
      <c r="O15" s="193" t="s">
        <v>402</v>
      </c>
      <c r="P15" s="194">
        <f t="array" ref="P15">VLOOKUP(N15, INDIRECT("'" &amp; $A$1 &amp; "'!A:O"), 13, FALSE)/ vlookup(N15,BACKEND2!$A$1:$F1000,5,)</f>
        <v>3</v>
      </c>
      <c r="Q15" s="190">
        <f>vlookup(N15, Prices!$A:$F,3,)*P15</f>
        <v>19116</v>
      </c>
      <c r="R15" s="191" t="str">
        <f t="shared" si="5"/>
        <v/>
      </c>
      <c r="S15" s="190">
        <f>vlookup(N15, Prices!$A:$G,7,)*R15</f>
        <v>0</v>
      </c>
      <c r="T15" s="191" t="str">
        <f t="shared" si="3"/>
        <v/>
      </c>
      <c r="U15" s="190">
        <f>vlookup(N15, Prices!$A:$G,7,)*T15</f>
        <v>0</v>
      </c>
      <c r="V15" s="28"/>
      <c r="W15" s="198" t="s">
        <v>728</v>
      </c>
      <c r="X15" s="198" t="s">
        <v>729</v>
      </c>
      <c r="Y15" s="198" t="s">
        <v>730</v>
      </c>
      <c r="Z15" s="28"/>
      <c r="AA15" s="198" t="s">
        <v>731</v>
      </c>
      <c r="AB15" s="199">
        <v>1.0</v>
      </c>
    </row>
    <row r="16" ht="16.5" customHeight="1">
      <c r="A16" s="195" t="s">
        <v>732</v>
      </c>
      <c r="B16" s="214" t="str">
        <f>B14/B11</f>
        <v>#DIV/0!</v>
      </c>
      <c r="C16" s="164"/>
      <c r="D16" s="170"/>
      <c r="E16" s="200" t="s">
        <v>89</v>
      </c>
      <c r="F16" s="188" t="s">
        <v>25</v>
      </c>
      <c r="G16" s="189">
        <f t="shared" si="1"/>
        <v>0.532</v>
      </c>
      <c r="H16" s="190">
        <f>vlookup(E16, Prices!$A:$G,7,)*G16</f>
        <v>20862.7451</v>
      </c>
      <c r="I16" s="191" t="str">
        <f t="shared" si="4"/>
        <v/>
      </c>
      <c r="J16" s="190">
        <f>vlookup(E16, Prices!$A:$G,7,)*I16</f>
        <v>0</v>
      </c>
      <c r="K16" s="191" t="str">
        <f t="shared" si="2"/>
        <v/>
      </c>
      <c r="L16" s="190">
        <f>vlookup(E16, Prices!$A:$G,7,)*K16</f>
        <v>0</v>
      </c>
      <c r="M16" s="174"/>
      <c r="N16" s="192" t="s">
        <v>406</v>
      </c>
      <c r="O16" s="193" t="s">
        <v>402</v>
      </c>
      <c r="P16" s="194">
        <f t="array" ref="P16">VLOOKUP(N16, INDIRECT("'" &amp; $A$1 &amp; "'!A:O"), 13, FALSE)/ vlookup(N16,BACKEND2!$A$1:$F1000,5,)</f>
        <v>8</v>
      </c>
      <c r="Q16" s="190">
        <f>vlookup(N16, Prices!$A:$F,3,)*P16</f>
        <v>24544</v>
      </c>
      <c r="R16" s="191"/>
      <c r="S16" s="190">
        <f>vlookup(N16, Prices!$A:$G,7,)*R16</f>
        <v>0</v>
      </c>
      <c r="T16" s="191" t="str">
        <f t="shared" si="3"/>
        <v/>
      </c>
      <c r="U16" s="190">
        <f>vlookup(N16, Prices!$A:$G,7,)*T16</f>
        <v>0</v>
      </c>
      <c r="V16" s="28"/>
      <c r="W16" s="28"/>
      <c r="X16" s="28"/>
      <c r="Y16" s="198" t="s">
        <v>733</v>
      </c>
      <c r="Z16" s="28"/>
      <c r="AA16" s="198" t="s">
        <v>734</v>
      </c>
      <c r="AB16" s="198" t="s">
        <v>735</v>
      </c>
    </row>
    <row r="17" ht="16.5" customHeight="1">
      <c r="A17" s="28"/>
      <c r="B17" s="28"/>
      <c r="C17" s="164"/>
      <c r="D17" s="170"/>
      <c r="E17" s="200" t="s">
        <v>180</v>
      </c>
      <c r="F17" s="188" t="s">
        <v>35</v>
      </c>
      <c r="G17" s="189">
        <f t="shared" si="1"/>
        <v>0.214</v>
      </c>
      <c r="H17" s="190">
        <f>vlookup(E17, Prices!$A:$G,7,)*G17</f>
        <v>16906</v>
      </c>
      <c r="I17" s="191" t="str">
        <f t="shared" si="4"/>
        <v/>
      </c>
      <c r="J17" s="190">
        <f>vlookup(E17, Prices!$A:$G,7,)*I17</f>
        <v>0</v>
      </c>
      <c r="K17" s="191" t="str">
        <f t="shared" si="2"/>
        <v/>
      </c>
      <c r="L17" s="190">
        <f>vlookup(E17, Prices!$A:$G,7,)*K17</f>
        <v>0</v>
      </c>
      <c r="M17" s="174"/>
      <c r="N17" s="192" t="s">
        <v>401</v>
      </c>
      <c r="O17" s="193" t="s">
        <v>17</v>
      </c>
      <c r="P17" s="194">
        <f t="array" ref="P17">VLOOKUP(N17, INDIRECT("'" &amp; $A$1 &amp; "'!A:O"), 13, FALSE)/ vlookup(N17,BACKEND2!$A$1:$F1000,5,)</f>
        <v>0</v>
      </c>
      <c r="Q17" s="190">
        <f>vlookup(N17, Prices!$A:$F,3,)*P17</f>
        <v>0</v>
      </c>
      <c r="R17" s="191" t="str">
        <f t="shared" ref="R17:R34" si="6">VLOOKUP(N17, INDIRECT("'" &amp; $A$1 &amp; "'!A:O"), 14, FALSE)
</f>
        <v/>
      </c>
      <c r="S17" s="190">
        <f>vlookup(N17, Prices!$A:$G,7,)*R17</f>
        <v>0</v>
      </c>
      <c r="T17" s="191" t="str">
        <f t="shared" si="3"/>
        <v/>
      </c>
      <c r="U17" s="190">
        <f>vlookup(N17, Prices!$A:$G,7,)*T17</f>
        <v>0</v>
      </c>
      <c r="V17" s="197" t="s">
        <v>206</v>
      </c>
      <c r="W17" s="28"/>
      <c r="X17" s="28"/>
      <c r="Y17" s="28"/>
      <c r="Z17" s="28"/>
      <c r="AA17" s="198" t="s">
        <v>736</v>
      </c>
      <c r="AB17" s="28"/>
    </row>
    <row r="18" ht="16.5" customHeight="1">
      <c r="A18" s="205" t="s">
        <v>737</v>
      </c>
      <c r="B18" s="3"/>
      <c r="C18" s="164"/>
      <c r="D18" s="170"/>
      <c r="E18" s="200" t="s">
        <v>265</v>
      </c>
      <c r="F18" s="188" t="s">
        <v>17</v>
      </c>
      <c r="G18" s="189">
        <f t="shared" si="1"/>
        <v>35</v>
      </c>
      <c r="H18" s="190">
        <f>vlookup(E18, Prices!$A:$G,7,)*G18</f>
        <v>12460</v>
      </c>
      <c r="I18" s="191" t="str">
        <f t="shared" si="4"/>
        <v/>
      </c>
      <c r="J18" s="190">
        <f>vlookup(E18, Prices!$A:$G,7,)*I18</f>
        <v>0</v>
      </c>
      <c r="K18" s="191" t="str">
        <f t="shared" si="2"/>
        <v/>
      </c>
      <c r="L18" s="190">
        <f>vlookup(E18, Prices!$A:$G,7,)*K18</f>
        <v>0</v>
      </c>
      <c r="M18" s="174"/>
      <c r="N18" s="192" t="s">
        <v>445</v>
      </c>
      <c r="O18" s="193" t="s">
        <v>17</v>
      </c>
      <c r="P18" s="194">
        <f t="array" ref="P18">VLOOKUP(N18, INDIRECT("'" &amp; $A$1 &amp; "'!A:O"), 13, FALSE)/ vlookup(N18,BACKEND2!$A$1:$F1000,5,)</f>
        <v>1</v>
      </c>
      <c r="Q18" s="190">
        <f>vlookup(N18, Prices!$A:$F,3,)*P18</f>
        <v>5756</v>
      </c>
      <c r="R18" s="191" t="str">
        <f t="shared" si="6"/>
        <v/>
      </c>
      <c r="S18" s="190">
        <f>vlookup(N18, Prices!$A:$G,7,)*R18</f>
        <v>0</v>
      </c>
      <c r="T18" s="191" t="str">
        <f t="shared" si="3"/>
        <v/>
      </c>
      <c r="U18" s="190">
        <f>vlookup(N18, Prices!$A:$G,7,)*T18</f>
        <v>0</v>
      </c>
      <c r="V18" s="28"/>
      <c r="W18" s="197" t="s">
        <v>738</v>
      </c>
      <c r="X18" s="197" t="s">
        <v>739</v>
      </c>
      <c r="Y18" s="197" t="s">
        <v>719</v>
      </c>
      <c r="Z18" s="197" t="s">
        <v>740</v>
      </c>
      <c r="AA18" s="197" t="s">
        <v>598</v>
      </c>
      <c r="AB18" s="28"/>
    </row>
    <row r="19" ht="16.5" customHeight="1">
      <c r="A19" s="195" t="s">
        <v>741</v>
      </c>
      <c r="B19" s="215" t="str">
        <f t="shared" ref="B19:B20" si="7">B11</f>
        <v/>
      </c>
      <c r="C19" s="164"/>
      <c r="D19" s="170"/>
      <c r="E19" s="216" t="s">
        <v>55</v>
      </c>
      <c r="F19" s="191" t="s">
        <v>14</v>
      </c>
      <c r="G19" s="189">
        <f t="shared" si="1"/>
        <v>0.953</v>
      </c>
      <c r="H19" s="190">
        <f>vlookup(E19, Prices!$A:$G,7,)*G19</f>
        <v>11436</v>
      </c>
      <c r="I19" s="191" t="str">
        <f t="shared" si="4"/>
        <v/>
      </c>
      <c r="J19" s="190">
        <f>vlookup(E19, Prices!$A:$G,7,)*I19</f>
        <v>0</v>
      </c>
      <c r="K19" s="191" t="str">
        <f t="shared" si="2"/>
        <v/>
      </c>
      <c r="L19" s="190">
        <f>vlookup(E19, Prices!$A:$G,7,)*K19</f>
        <v>0</v>
      </c>
      <c r="M19" s="174"/>
      <c r="N19" s="217" t="s">
        <v>456</v>
      </c>
      <c r="O19" s="193" t="s">
        <v>402</v>
      </c>
      <c r="P19" s="194">
        <f t="array" ref="P19">VLOOKUP(N19, INDIRECT("'" &amp; $A$1 &amp; "'!A:O"), 13, FALSE)/ vlookup(N19,BACKEND2!$A$1:$F1000,5,)</f>
        <v>6</v>
      </c>
      <c r="Q19" s="190">
        <f>vlookup(N19, Prices!$A:$F,3,)*P19</f>
        <v>51612</v>
      </c>
      <c r="R19" s="191" t="str">
        <f t="shared" si="6"/>
        <v/>
      </c>
      <c r="S19" s="190">
        <f>vlookup(N19, Prices!$A:$G,7,)*R19</f>
        <v>0</v>
      </c>
      <c r="T19" s="191" t="str">
        <f t="shared" si="3"/>
        <v/>
      </c>
      <c r="U19" s="190">
        <f>vlookup(N19, Prices!$A:$G,7,)*T19</f>
        <v>0</v>
      </c>
      <c r="V19" s="28"/>
      <c r="W19" s="198" t="s">
        <v>742</v>
      </c>
      <c r="X19" s="28"/>
      <c r="Y19" s="198" t="s">
        <v>743</v>
      </c>
      <c r="Z19" s="198" t="s">
        <v>744</v>
      </c>
      <c r="AA19" s="28"/>
      <c r="AB19" s="28"/>
    </row>
    <row r="20" ht="16.5" customHeight="1">
      <c r="A20" s="195" t="s">
        <v>713</v>
      </c>
      <c r="B20" s="208">
        <f t="shared" si="7"/>
        <v>2082099.039</v>
      </c>
      <c r="C20" s="164"/>
      <c r="D20" s="170"/>
      <c r="E20" s="188" t="s">
        <v>188</v>
      </c>
      <c r="F20" s="188" t="s">
        <v>35</v>
      </c>
      <c r="G20" s="189">
        <f t="shared" si="1"/>
        <v>3.265</v>
      </c>
      <c r="H20" s="190">
        <f>vlookup(E20, Prices!$A:$G,7,)*G20</f>
        <v>11101</v>
      </c>
      <c r="I20" s="191" t="str">
        <f t="shared" si="4"/>
        <v/>
      </c>
      <c r="J20" s="190">
        <f>vlookup(E20, Prices!$A:$G,7,)*I20</f>
        <v>0</v>
      </c>
      <c r="K20" s="191" t="str">
        <f t="shared" si="2"/>
        <v/>
      </c>
      <c r="L20" s="190">
        <f>vlookup(E20, Prices!$A:$G,7,)*K20</f>
        <v>0</v>
      </c>
      <c r="M20" s="174"/>
      <c r="N20" s="204" t="s">
        <v>440</v>
      </c>
      <c r="O20" s="193" t="s">
        <v>402</v>
      </c>
      <c r="P20" s="194">
        <f t="array" ref="P20">VLOOKUP(N20, INDIRECT("'" &amp; $A$1 &amp; "'!A:O"), 13, FALSE)/ vlookup(N20,BACKEND2!$A$1:$F1000,5,)</f>
        <v>1</v>
      </c>
      <c r="Q20" s="190">
        <f>vlookup(N20, Prices!$A:$F,3,)*P20</f>
        <v>4142</v>
      </c>
      <c r="R20" s="191" t="str">
        <f t="shared" si="6"/>
        <v/>
      </c>
      <c r="S20" s="190">
        <f>vlookup(N20, Prices!$A:$G,7,)*R20</f>
        <v>0</v>
      </c>
      <c r="T20" s="191" t="str">
        <f t="shared" si="3"/>
        <v/>
      </c>
      <c r="U20" s="190">
        <f>vlookup(N20, Prices!$A:$G,7,)*T20</f>
        <v>0</v>
      </c>
      <c r="V20" s="28"/>
      <c r="W20" s="198" t="s">
        <v>745</v>
      </c>
      <c r="X20" s="28"/>
      <c r="Y20" s="198" t="s">
        <v>725</v>
      </c>
      <c r="Z20" s="198" t="s">
        <v>746</v>
      </c>
      <c r="AA20" s="28"/>
      <c r="AB20" s="28"/>
    </row>
    <row r="21" ht="16.5" customHeight="1">
      <c r="A21" s="195" t="s">
        <v>721</v>
      </c>
      <c r="B21" s="210">
        <f>B19-B20</f>
        <v>-2082099.039</v>
      </c>
      <c r="C21" s="164"/>
      <c r="D21" s="170"/>
      <c r="E21" s="188" t="s">
        <v>176</v>
      </c>
      <c r="F21" s="188" t="s">
        <v>25</v>
      </c>
      <c r="G21" s="189">
        <f t="shared" si="1"/>
        <v>4.5</v>
      </c>
      <c r="H21" s="190">
        <f>vlookup(E21, Prices!$A:$G,7,)*G21</f>
        <v>10800</v>
      </c>
      <c r="I21" s="191" t="str">
        <f t="shared" si="4"/>
        <v/>
      </c>
      <c r="J21" s="190">
        <f>vlookup(E21, Prices!$A:$G,7,)*I21</f>
        <v>0</v>
      </c>
      <c r="K21" s="191" t="str">
        <f t="shared" si="2"/>
        <v/>
      </c>
      <c r="L21" s="190">
        <f>vlookup(E21, Prices!$A:$G,7,)*K21</f>
        <v>0</v>
      </c>
      <c r="M21" s="174"/>
      <c r="N21" s="204" t="s">
        <v>411</v>
      </c>
      <c r="O21" s="193" t="s">
        <v>17</v>
      </c>
      <c r="P21" s="194">
        <f t="array" ref="P21">VLOOKUP(N21, INDIRECT("'" &amp; $A$1 &amp; "'!A:O"), 13, FALSE)/ vlookup(N21,BACKEND2!$A$1:$F1000,5,)</f>
        <v>7</v>
      </c>
      <c r="Q21" s="190">
        <f>vlookup(N21, Prices!$A:$F,3,)*P21</f>
        <v>52038</v>
      </c>
      <c r="R21" s="191" t="str">
        <f t="shared" si="6"/>
        <v/>
      </c>
      <c r="S21" s="190">
        <f>vlookup(N21, Prices!$A:$G,7,)*R21</f>
        <v>0</v>
      </c>
      <c r="T21" s="191" t="str">
        <f t="shared" si="3"/>
        <v/>
      </c>
      <c r="U21" s="190">
        <f>vlookup(N21, Prices!$A:$G,7,)*T21</f>
        <v>0</v>
      </c>
      <c r="V21" s="28"/>
      <c r="W21" s="28"/>
      <c r="X21" s="28"/>
      <c r="Y21" s="28"/>
      <c r="Z21" s="198" t="s">
        <v>747</v>
      </c>
      <c r="AA21" s="28"/>
      <c r="AB21" s="28"/>
    </row>
    <row r="22" ht="16.5" customHeight="1">
      <c r="A22" s="195" t="s">
        <v>727</v>
      </c>
      <c r="B22" s="212" t="str">
        <f>B20/B19</f>
        <v>#DIV/0!</v>
      </c>
      <c r="C22" s="218"/>
      <c r="D22" s="170"/>
      <c r="E22" s="188" t="s">
        <v>192</v>
      </c>
      <c r="F22" s="188" t="s">
        <v>35</v>
      </c>
      <c r="G22" s="189">
        <f t="shared" si="1"/>
        <v>0.95</v>
      </c>
      <c r="H22" s="190">
        <f>vlookup(E22, Prices!$A:$G,7,)*G22</f>
        <v>9500</v>
      </c>
      <c r="I22" s="191" t="str">
        <f t="shared" si="4"/>
        <v/>
      </c>
      <c r="J22" s="190">
        <f>vlookup(E22, Prices!$A:$G,7,)*I22</f>
        <v>0</v>
      </c>
      <c r="K22" s="191" t="str">
        <f t="shared" si="2"/>
        <v/>
      </c>
      <c r="L22" s="190">
        <f>vlookup(E22, Prices!$A:$G,7,)*K22</f>
        <v>0</v>
      </c>
      <c r="M22" s="174"/>
      <c r="N22" s="192" t="s">
        <v>444</v>
      </c>
      <c r="O22" s="193" t="s">
        <v>402</v>
      </c>
      <c r="P22" s="194">
        <f t="array" ref="P22">VLOOKUP(N22, INDIRECT("'" &amp; $A$1 &amp; "'!A:O"), 13, FALSE)/ vlookup(N22,BACKEND2!$A$1:$F1000,5,)</f>
        <v>0</v>
      </c>
      <c r="Q22" s="190">
        <f>vlookup(N22, Prices!$A:$F,3,)*P22</f>
        <v>0</v>
      </c>
      <c r="R22" s="191" t="str">
        <f t="shared" si="6"/>
        <v/>
      </c>
      <c r="S22" s="190">
        <f>vlookup(N22, Prices!$A:$G,7,)*R22</f>
        <v>0</v>
      </c>
      <c r="T22" s="191" t="str">
        <f t="shared" si="3"/>
        <v/>
      </c>
      <c r="U22" s="190">
        <f>vlookup(N22, Prices!$A:$G,7,)*T22</f>
        <v>0</v>
      </c>
      <c r="V22" s="28"/>
      <c r="W22" s="197" t="s">
        <v>716</v>
      </c>
      <c r="X22" s="198" t="s">
        <v>748</v>
      </c>
      <c r="Y22" s="28"/>
      <c r="Z22" s="28"/>
      <c r="AA22" s="28"/>
      <c r="AB22" s="28"/>
    </row>
    <row r="23" ht="16.5" customHeight="1">
      <c r="A23" s="195" t="s">
        <v>732</v>
      </c>
      <c r="B23" s="214" t="str">
        <f>B21/B19</f>
        <v>#DIV/0!</v>
      </c>
      <c r="C23" s="164"/>
      <c r="D23" s="170"/>
      <c r="E23" s="200" t="s">
        <v>197</v>
      </c>
      <c r="F23" s="188" t="s">
        <v>35</v>
      </c>
      <c r="G23" s="189">
        <f t="shared" si="1"/>
        <v>0.694</v>
      </c>
      <c r="H23" s="190">
        <f>vlookup(E23, Prices!$A:$G,7,)*G23</f>
        <v>9369</v>
      </c>
      <c r="I23" s="191" t="str">
        <f t="shared" si="4"/>
        <v/>
      </c>
      <c r="J23" s="190">
        <f>vlookup(E23, Prices!$A:$G,7,)*I23</f>
        <v>0</v>
      </c>
      <c r="K23" s="191" t="str">
        <f t="shared" si="2"/>
        <v/>
      </c>
      <c r="L23" s="190">
        <f>vlookup(E23, Prices!$A:$G,7,)*K23</f>
        <v>0</v>
      </c>
      <c r="M23" s="174"/>
      <c r="N23" s="204" t="s">
        <v>422</v>
      </c>
      <c r="O23" s="193" t="s">
        <v>17</v>
      </c>
      <c r="P23" s="194">
        <f t="array" ref="P23">VLOOKUP(N23, INDIRECT("'" &amp; $A$1 &amp; "'!A:O"), 13, FALSE)/ vlookup(N23,BACKEND2!$A$1:$F1000,5,)</f>
        <v>5</v>
      </c>
      <c r="Q23" s="190">
        <f>vlookup(N23, Prices!$A:$F,3,)*P23</f>
        <v>12980</v>
      </c>
      <c r="R23" s="191" t="str">
        <f t="shared" si="6"/>
        <v/>
      </c>
      <c r="S23" s="190">
        <f>vlookup(N23, Prices!$A:$G,7,)*R23</f>
        <v>0</v>
      </c>
      <c r="T23" s="191" t="str">
        <f t="shared" si="3"/>
        <v/>
      </c>
      <c r="U23" s="190">
        <f>vlookup(N23, Prices!$A:$G,7,)*T23</f>
        <v>0</v>
      </c>
      <c r="V23" s="28"/>
      <c r="W23" s="28"/>
      <c r="X23" s="28"/>
      <c r="Y23" s="28"/>
      <c r="Z23" s="28"/>
      <c r="AA23" s="28"/>
      <c r="AB23" s="28"/>
    </row>
    <row r="24" ht="16.5" customHeight="1">
      <c r="A24" s="28"/>
      <c r="B24" s="28"/>
      <c r="C24" s="164"/>
      <c r="D24" s="170"/>
      <c r="E24" s="188" t="s">
        <v>200</v>
      </c>
      <c r="F24" s="188" t="s">
        <v>35</v>
      </c>
      <c r="G24" s="189">
        <f t="shared" si="1"/>
        <v>1.035</v>
      </c>
      <c r="H24" s="190">
        <f>vlookup(E24, Prices!$A:$G,7,)*G24</f>
        <v>9315</v>
      </c>
      <c r="I24" s="191" t="str">
        <f t="shared" si="4"/>
        <v/>
      </c>
      <c r="J24" s="190">
        <f>vlookup(E24, Prices!$A:$G,7,)*I24</f>
        <v>0</v>
      </c>
      <c r="K24" s="191" t="str">
        <f t="shared" si="2"/>
        <v/>
      </c>
      <c r="L24" s="190">
        <f>vlookup(E24, Prices!$A:$G,7,)*K24</f>
        <v>0</v>
      </c>
      <c r="M24" s="174"/>
      <c r="N24" s="192" t="s">
        <v>420</v>
      </c>
      <c r="O24" s="193" t="s">
        <v>17</v>
      </c>
      <c r="P24" s="194">
        <f t="array" ref="P24">VLOOKUP(N24, INDIRECT("'" &amp; $A$1 &amp; "'!A:O"), 13, FALSE)/ vlookup(N24,BACKEND2!$A$1:$F1000,5,)</f>
        <v>5</v>
      </c>
      <c r="Q24" s="190">
        <f>vlookup(N24, Prices!$A:$F,3,)*P24</f>
        <v>23600</v>
      </c>
      <c r="R24" s="191" t="str">
        <f t="shared" si="6"/>
        <v/>
      </c>
      <c r="S24" s="190">
        <f>vlookup(N24, Prices!$A:$G,7,)*R24</f>
        <v>0</v>
      </c>
      <c r="T24" s="191" t="str">
        <f t="shared" si="3"/>
        <v/>
      </c>
      <c r="U24" s="190">
        <f>vlookup(N24, Prices!$A:$G,7,)*T24</f>
        <v>0</v>
      </c>
      <c r="V24" s="28"/>
      <c r="W24" s="28"/>
      <c r="X24" s="28"/>
      <c r="Y24" s="28"/>
      <c r="Z24" s="28"/>
      <c r="AA24" s="28"/>
      <c r="AB24" s="28"/>
    </row>
    <row r="25" ht="16.5" customHeight="1">
      <c r="A25" s="219" t="s">
        <v>630</v>
      </c>
      <c r="B25" s="219" t="s">
        <v>749</v>
      </c>
      <c r="C25" s="220" t="s">
        <v>632</v>
      </c>
      <c r="D25" s="170"/>
      <c r="E25" s="188" t="s">
        <v>39</v>
      </c>
      <c r="F25" s="188" t="s">
        <v>17</v>
      </c>
      <c r="G25" s="189">
        <f t="shared" si="1"/>
        <v>45</v>
      </c>
      <c r="H25" s="190">
        <f>vlookup(E25, Prices!$A:$G,7,)*G25</f>
        <v>9000</v>
      </c>
      <c r="I25" s="191" t="str">
        <f t="shared" si="4"/>
        <v/>
      </c>
      <c r="J25" s="190">
        <f>vlookup(E25, Prices!$A:$G,7,)*I25</f>
        <v>0</v>
      </c>
      <c r="K25" s="191" t="str">
        <f t="shared" si="2"/>
        <v/>
      </c>
      <c r="L25" s="190">
        <f>vlookup(E25, Prices!$A:$G,7,)*K25</f>
        <v>0</v>
      </c>
      <c r="M25" s="174"/>
      <c r="N25" s="192" t="s">
        <v>413</v>
      </c>
      <c r="O25" s="193" t="s">
        <v>402</v>
      </c>
      <c r="P25" s="194">
        <f t="array" ref="P25">VLOOKUP(N25, INDIRECT("'" &amp; $A$1 &amp; "'!A:O"), 13, FALSE)/ vlookup(N25,BACKEND2!$A$1:$F1000,5,)</f>
        <v>11</v>
      </c>
      <c r="Q25" s="190">
        <f>vlookup(N25, Prices!$A:$F,3,)*P25</f>
        <v>33748</v>
      </c>
      <c r="R25" s="191" t="str">
        <f t="shared" si="6"/>
        <v/>
      </c>
      <c r="S25" s="190">
        <f>vlookup(N25, Prices!$A:$G,7,)*R25</f>
        <v>0</v>
      </c>
      <c r="T25" s="191" t="str">
        <f t="shared" si="3"/>
        <v/>
      </c>
      <c r="U25" s="190">
        <f>vlookup(N25, Prices!$A:$G,7,)*T25</f>
        <v>0</v>
      </c>
      <c r="V25" s="28"/>
      <c r="W25" s="28"/>
      <c r="X25" s="28"/>
      <c r="Y25" s="28"/>
      <c r="Z25" s="28"/>
      <c r="AA25" s="28"/>
      <c r="AB25" s="28"/>
    </row>
    <row r="26" ht="16.5" customHeight="1">
      <c r="A26" s="4"/>
      <c r="B26" s="221"/>
      <c r="C26" s="222"/>
      <c r="D26" s="170"/>
      <c r="E26" s="188" t="s">
        <v>199</v>
      </c>
      <c r="F26" s="188" t="s">
        <v>35</v>
      </c>
      <c r="G26" s="189">
        <f t="shared" si="1"/>
        <v>0.891</v>
      </c>
      <c r="H26" s="190">
        <f>vlookup(E26, Prices!$A:$G,7,)*G26</f>
        <v>8019</v>
      </c>
      <c r="I26" s="191" t="str">
        <f t="shared" si="4"/>
        <v/>
      </c>
      <c r="J26" s="190">
        <f>vlookup(E26, Prices!$A:$G,7,)*I26</f>
        <v>0</v>
      </c>
      <c r="K26" s="191" t="str">
        <f t="shared" si="2"/>
        <v/>
      </c>
      <c r="L26" s="190">
        <f>vlookup(E26, Prices!$A:$G,7,)*K26</f>
        <v>0</v>
      </c>
      <c r="M26" s="174"/>
      <c r="N26" s="223" t="s">
        <v>455</v>
      </c>
      <c r="O26" s="191" t="s">
        <v>17</v>
      </c>
      <c r="P26" s="194">
        <f t="array" ref="P26">VLOOKUP(N26, INDIRECT("'" &amp; $A$1 &amp; "'!A:O"), 13, FALSE)/ vlookup(N26,BACKEND2!$A$1:$F1000,5,)</f>
        <v>1</v>
      </c>
      <c r="Q26" s="190">
        <f>vlookup(N26, Prices!$A:$F,3,)*P26</f>
        <v>2000</v>
      </c>
      <c r="R26" s="191" t="str">
        <f t="shared" si="6"/>
        <v/>
      </c>
      <c r="S26" s="190">
        <f>vlookup(N26, Prices!$A:$G,7,)*R26</f>
        <v>0</v>
      </c>
      <c r="T26" s="191" t="str">
        <f t="shared" si="3"/>
        <v/>
      </c>
      <c r="U26" s="190">
        <f>vlookup(N26, Prices!$A:$G,7,)*T26</f>
        <v>0</v>
      </c>
      <c r="V26" s="28"/>
      <c r="W26" s="197" t="s">
        <v>750</v>
      </c>
      <c r="X26" s="28"/>
      <c r="Y26" s="28"/>
      <c r="Z26" s="28"/>
      <c r="AA26" s="28"/>
      <c r="AB26" s="28"/>
    </row>
    <row r="27" ht="16.5" customHeight="1">
      <c r="A27" s="4"/>
      <c r="B27" s="221"/>
      <c r="C27" s="222"/>
      <c r="D27" s="170"/>
      <c r="E27" s="188" t="s">
        <v>86</v>
      </c>
      <c r="F27" s="188" t="s">
        <v>25</v>
      </c>
      <c r="G27" s="189">
        <f t="shared" si="1"/>
        <v>0.5</v>
      </c>
      <c r="H27" s="190">
        <f>vlookup(E27, Prices!$A:$G,7,)*G27</f>
        <v>8000</v>
      </c>
      <c r="I27" s="191"/>
      <c r="J27" s="190">
        <f>vlookup(E27, Prices!$A:$G,7,)*I27</f>
        <v>0</v>
      </c>
      <c r="K27" s="191" t="str">
        <f t="shared" si="2"/>
        <v/>
      </c>
      <c r="L27" s="190">
        <f>vlookup(E27, Prices!$A:$G,7,)*K27</f>
        <v>0</v>
      </c>
      <c r="M27" s="174"/>
      <c r="N27" s="204" t="s">
        <v>447</v>
      </c>
      <c r="O27" s="193" t="s">
        <v>402</v>
      </c>
      <c r="P27" s="194">
        <f t="array" ref="P27">VLOOKUP(N27, INDIRECT("'" &amp; $A$1 &amp; "'!A:O"), 13, FALSE)/ vlookup(N27,BACKEND2!$A$1:$F1000,5,)</f>
        <v>7</v>
      </c>
      <c r="Q27" s="190">
        <f>vlookup(N27, Prices!$A:$F,3,)*P27</f>
        <v>112000</v>
      </c>
      <c r="R27" s="191" t="str">
        <f t="shared" si="6"/>
        <v/>
      </c>
      <c r="S27" s="190">
        <f>vlookup(N27, Prices!$A:$G,7,)*R27</f>
        <v>0</v>
      </c>
      <c r="T27" s="191" t="str">
        <f t="shared" si="3"/>
        <v/>
      </c>
      <c r="U27" s="190">
        <f>vlookup(N27, Prices!$A:$G,7,)*T27</f>
        <v>0</v>
      </c>
      <c r="V27" s="28"/>
      <c r="W27" s="199">
        <v>0.415</v>
      </c>
      <c r="X27" s="28"/>
      <c r="Y27" s="28"/>
      <c r="Z27" s="28"/>
      <c r="AA27" s="28"/>
      <c r="AB27" s="28"/>
    </row>
    <row r="28" ht="16.5" customHeight="1">
      <c r="A28" s="4"/>
      <c r="B28" s="221"/>
      <c r="C28" s="222"/>
      <c r="D28" s="170"/>
      <c r="E28" s="188" t="s">
        <v>228</v>
      </c>
      <c r="F28" s="188" t="s">
        <v>35</v>
      </c>
      <c r="G28" s="189">
        <f t="shared" si="1"/>
        <v>0.384</v>
      </c>
      <c r="H28" s="190">
        <f>vlookup(E28, Prices!$A:$G,7,)*G28</f>
        <v>7822.222222</v>
      </c>
      <c r="I28" s="191" t="str">
        <f t="shared" ref="I28:I41" si="8">VLOOKUP(E28, INDIRECT("'" &amp; $A$1 &amp; "'!A:O"), 14, FALSE)
</f>
        <v/>
      </c>
      <c r="J28" s="190">
        <f>vlookup(E28, Prices!$A:$G,7,)*I28</f>
        <v>0</v>
      </c>
      <c r="K28" s="191" t="str">
        <f t="shared" si="2"/>
        <v/>
      </c>
      <c r="L28" s="190">
        <f>vlookup(E28, Prices!$A:$G,7,)*K28</f>
        <v>0</v>
      </c>
      <c r="M28" s="174"/>
      <c r="N28" s="204" t="s">
        <v>425</v>
      </c>
      <c r="O28" s="193" t="s">
        <v>17</v>
      </c>
      <c r="P28" s="194">
        <f t="array" ref="P28">VLOOKUP(N28, INDIRECT("'" &amp; $A$1 &amp; "'!A:O"), 13, FALSE)/ vlookup(N28,BACKEND2!$A$1:$F1000,5,)</f>
        <v>2</v>
      </c>
      <c r="Q28" s="190">
        <f>vlookup(N28, Prices!$A:$F,3,)*P28</f>
        <v>20084</v>
      </c>
      <c r="R28" s="191" t="str">
        <f t="shared" si="6"/>
        <v/>
      </c>
      <c r="S28" s="190">
        <f>vlookup(N28, Prices!$A:$G,7,)*R28</f>
        <v>0</v>
      </c>
      <c r="T28" s="191" t="str">
        <f t="shared" si="3"/>
        <v/>
      </c>
      <c r="U28" s="190">
        <f>vlookup(N28, Prices!$A:$G,7,)*T28</f>
        <v>0</v>
      </c>
      <c r="V28" s="28"/>
      <c r="W28" s="28"/>
      <c r="X28" s="28"/>
      <c r="Y28" s="28"/>
      <c r="Z28" s="28"/>
      <c r="AA28" s="28"/>
      <c r="AB28" s="28"/>
    </row>
    <row r="29" ht="16.5" customHeight="1">
      <c r="A29" s="4"/>
      <c r="B29" s="221"/>
      <c r="C29" s="222"/>
      <c r="D29" s="170"/>
      <c r="E29" s="188" t="s">
        <v>206</v>
      </c>
      <c r="F29" s="188" t="s">
        <v>17</v>
      </c>
      <c r="G29" s="189">
        <f t="shared" si="1"/>
        <v>19</v>
      </c>
      <c r="H29" s="190">
        <f>vlookup(E29, Prices!$A:$G,7,)*G29</f>
        <v>7600</v>
      </c>
      <c r="I29" s="191" t="str">
        <f t="shared" si="8"/>
        <v/>
      </c>
      <c r="J29" s="190">
        <f>vlookup(E29, Prices!$A:$G,7,)*I29</f>
        <v>0</v>
      </c>
      <c r="K29" s="191" t="str">
        <f t="shared" si="2"/>
        <v/>
      </c>
      <c r="L29" s="190">
        <f>vlookup(E29, Prices!$A:$G,7,)*K29</f>
        <v>0</v>
      </c>
      <c r="M29" s="174"/>
      <c r="N29" s="204" t="s">
        <v>438</v>
      </c>
      <c r="O29" s="193" t="s">
        <v>402</v>
      </c>
      <c r="P29" s="194">
        <f t="array" ref="P29">VLOOKUP(N29, INDIRECT("'" &amp; $A$1 &amp; "'!A:O"), 13, FALSE)/ vlookup(N29,BACKEND2!$A$1:$F1000,5,)</f>
        <v>1</v>
      </c>
      <c r="Q29" s="190">
        <f>vlookup(N29, Prices!$A:$F,3,)*P29</f>
        <v>6372</v>
      </c>
      <c r="R29" s="191" t="str">
        <f t="shared" si="6"/>
        <v/>
      </c>
      <c r="S29" s="190">
        <f>vlookup(N29, Prices!$A:$G,7,)*R29</f>
        <v>0</v>
      </c>
      <c r="T29" s="191" t="str">
        <f t="shared" si="3"/>
        <v/>
      </c>
      <c r="U29" s="190">
        <f>vlookup(N29, Prices!$A:$G,7,)*T29</f>
        <v>0</v>
      </c>
      <c r="V29" s="28"/>
      <c r="W29" s="198" t="s">
        <v>751</v>
      </c>
      <c r="X29" s="28"/>
      <c r="Y29" s="28"/>
      <c r="Z29" s="28"/>
      <c r="AA29" s="28"/>
      <c r="AB29" s="28"/>
    </row>
    <row r="30" ht="16.5" customHeight="1">
      <c r="A30" s="4"/>
      <c r="B30" s="221"/>
      <c r="C30" s="222"/>
      <c r="D30" s="170"/>
      <c r="E30" s="188" t="s">
        <v>229</v>
      </c>
      <c r="F30" s="188" t="s">
        <v>17</v>
      </c>
      <c r="G30" s="189">
        <f t="shared" si="1"/>
        <v>2</v>
      </c>
      <c r="H30" s="190">
        <f>vlookup(E30, Prices!$A:$G,7,)*G30</f>
        <v>7000</v>
      </c>
      <c r="I30" s="191" t="str">
        <f t="shared" si="8"/>
        <v/>
      </c>
      <c r="J30" s="190">
        <f>vlookup(E30, Prices!$A:$G,7,)*I30</f>
        <v>0</v>
      </c>
      <c r="K30" s="191" t="str">
        <f t="shared" si="2"/>
        <v/>
      </c>
      <c r="L30" s="190">
        <f>vlookup(E30, Prices!$A:$G,7,)*K30</f>
        <v>0</v>
      </c>
      <c r="M30" s="174"/>
      <c r="N30" s="224" t="s">
        <v>452</v>
      </c>
      <c r="O30" s="191" t="s">
        <v>17</v>
      </c>
      <c r="P30" s="194">
        <f t="array" ref="P30">VLOOKUP(N30, INDIRECT("'" &amp; $A$1 &amp; "'!A:O"), 13, FALSE)/ vlookup(N30,BACKEND2!$A$1:$F1000,5,)</f>
        <v>1</v>
      </c>
      <c r="Q30" s="190">
        <f>vlookup(N30, Prices!$A:$F,3,)*P30</f>
        <v>6160</v>
      </c>
      <c r="R30" s="191" t="str">
        <f t="shared" si="6"/>
        <v/>
      </c>
      <c r="S30" s="190">
        <f>vlookup(N30, Prices!$A:$G,7,)*R30</f>
        <v>0</v>
      </c>
      <c r="T30" s="191" t="str">
        <f t="shared" si="3"/>
        <v/>
      </c>
      <c r="U30" s="190">
        <f>vlookup(N30, Prices!$A:$G,7,)*T30</f>
        <v>0</v>
      </c>
      <c r="V30" s="28"/>
      <c r="W30" s="28"/>
      <c r="X30" s="28"/>
      <c r="Y30" s="28"/>
      <c r="Z30" s="28"/>
      <c r="AA30" s="28"/>
      <c r="AB30" s="28"/>
    </row>
    <row r="31" ht="16.5" customHeight="1">
      <c r="A31" s="4"/>
      <c r="B31" s="221"/>
      <c r="C31" s="222"/>
      <c r="D31" s="170"/>
      <c r="E31" s="188" t="s">
        <v>167</v>
      </c>
      <c r="F31" s="188" t="s">
        <v>35</v>
      </c>
      <c r="G31" s="189">
        <f t="shared" si="1"/>
        <v>0.394</v>
      </c>
      <c r="H31" s="190">
        <f>vlookup(E31, Prices!$A:$G,7,)*G31</f>
        <v>6645.783133</v>
      </c>
      <c r="I31" s="191" t="str">
        <f t="shared" si="8"/>
        <v/>
      </c>
      <c r="J31" s="190">
        <f>vlookup(E31, Prices!$A:$G,7,)*I31</f>
        <v>0</v>
      </c>
      <c r="K31" s="191" t="str">
        <f t="shared" si="2"/>
        <v/>
      </c>
      <c r="L31" s="190">
        <f>vlookup(E31, Prices!$A:$G,7,)*K31</f>
        <v>0</v>
      </c>
      <c r="M31" s="174"/>
      <c r="N31" s="225" t="s">
        <v>454</v>
      </c>
      <c r="O31" s="191" t="s">
        <v>17</v>
      </c>
      <c r="P31" s="194">
        <f t="array" ref="P31">VLOOKUP(N31, INDIRECT("'" &amp; $A$1 &amp; "'!A:O"), 13, FALSE)/ vlookup(N31,BACKEND2!$A$1:$F1000,5,)</f>
        <v>0</v>
      </c>
      <c r="Q31" s="190">
        <f>vlookup(N31, Prices!$A:$F,3,)*P31</f>
        <v>0</v>
      </c>
      <c r="R31" s="191" t="str">
        <f t="shared" si="6"/>
        <v/>
      </c>
      <c r="S31" s="190">
        <f>vlookup(N31, Prices!$A:$G,7,)*R31</f>
        <v>0</v>
      </c>
      <c r="T31" s="191" t="str">
        <f t="shared" si="3"/>
        <v/>
      </c>
      <c r="U31" s="190">
        <f>vlookup(N31, Prices!$A:$G,7,)*T31</f>
        <v>0</v>
      </c>
      <c r="V31" s="28"/>
      <c r="W31" s="28"/>
      <c r="X31" s="28"/>
      <c r="Y31" s="28"/>
      <c r="Z31" s="28"/>
      <c r="AA31" s="28"/>
      <c r="AB31" s="28"/>
    </row>
    <row r="32" ht="16.5" customHeight="1">
      <c r="A32" s="4"/>
      <c r="B32" s="221"/>
      <c r="C32" s="222"/>
      <c r="D32" s="170"/>
      <c r="E32" s="188" t="s">
        <v>16</v>
      </c>
      <c r="F32" s="226" t="s">
        <v>17</v>
      </c>
      <c r="G32" s="189">
        <f t="shared" si="1"/>
        <v>14</v>
      </c>
      <c r="H32" s="190">
        <f>vlookup(E32, Prices!$A:$G,7,)*G32</f>
        <v>6510</v>
      </c>
      <c r="I32" s="191" t="str">
        <f t="shared" si="8"/>
        <v/>
      </c>
      <c r="J32" s="190">
        <f>vlookup(E32, Prices!$A:$G,7,)*I32</f>
        <v>0</v>
      </c>
      <c r="K32" s="191" t="str">
        <f t="shared" si="2"/>
        <v/>
      </c>
      <c r="L32" s="190">
        <f>vlookup(E32, Prices!$A:$G,7,)*K32</f>
        <v>0</v>
      </c>
      <c r="M32" s="174"/>
      <c r="N32" s="223" t="s">
        <v>457</v>
      </c>
      <c r="O32" s="227" t="s">
        <v>402</v>
      </c>
      <c r="P32" s="194">
        <f t="array" ref="P32">VLOOKUP(N32, INDIRECT("'" &amp; $A$1 &amp; "'!A:O"), 13, FALSE)/ vlookup(N32,BACKEND2!$A$1:$F1000,5,)</f>
        <v>6</v>
      </c>
      <c r="Q32" s="190">
        <f>vlookup(N32, Prices!$A:$F,3,)*P32</f>
        <v>13500</v>
      </c>
      <c r="R32" s="191" t="str">
        <f t="shared" si="6"/>
        <v/>
      </c>
      <c r="S32" s="190">
        <f>vlookup(N32, Prices!$A:$G,7,)*R32</f>
        <v>0</v>
      </c>
      <c r="T32" s="191" t="str">
        <f t="shared" si="3"/>
        <v/>
      </c>
      <c r="U32" s="190">
        <f>vlookup(N32, Prices!$A:$G,7,)*T32</f>
        <v>0</v>
      </c>
      <c r="V32" s="28"/>
      <c r="W32" s="28"/>
      <c r="X32" s="28"/>
      <c r="Y32" s="28"/>
      <c r="Z32" s="28"/>
      <c r="AA32" s="28"/>
      <c r="AB32" s="28"/>
    </row>
    <row r="33" ht="16.5" customHeight="1">
      <c r="A33" s="4"/>
      <c r="B33" s="221"/>
      <c r="C33" s="222"/>
      <c r="D33" s="170"/>
      <c r="E33" s="188" t="s">
        <v>198</v>
      </c>
      <c r="F33" s="188" t="s">
        <v>35</v>
      </c>
      <c r="G33" s="189">
        <f t="shared" si="1"/>
        <v>1.631</v>
      </c>
      <c r="H33" s="190">
        <f>vlookup(E33, Prices!$A:$G,7,)*G33</f>
        <v>6197.8</v>
      </c>
      <c r="I33" s="191" t="str">
        <f t="shared" si="8"/>
        <v/>
      </c>
      <c r="J33" s="190">
        <f>vlookup(E33, Prices!$A:$G,7,)*I33</f>
        <v>0</v>
      </c>
      <c r="K33" s="191" t="str">
        <f t="shared" si="2"/>
        <v/>
      </c>
      <c r="L33" s="190">
        <f>vlookup(E33, Prices!$A:$G,7,)*K33</f>
        <v>0</v>
      </c>
      <c r="M33" s="174"/>
      <c r="N33" s="204" t="s">
        <v>428</v>
      </c>
      <c r="O33" s="193" t="s">
        <v>402</v>
      </c>
      <c r="P33" s="194">
        <f t="array" ref="P33">VLOOKUP(N33, INDIRECT("'" &amp; $A$1 &amp; "'!A:O"), 13, FALSE)/ vlookup(N33,BACKEND2!$A$1:$F1000,5,)</f>
        <v>1</v>
      </c>
      <c r="Q33" s="190">
        <f>vlookup(N33, Prices!$A:$F,3,)*P33</f>
        <v>2242</v>
      </c>
      <c r="R33" s="191" t="str">
        <f t="shared" si="6"/>
        <v/>
      </c>
      <c r="S33" s="190">
        <f>vlookup(N33, Prices!$A:$G,7,)*R33</f>
        <v>0</v>
      </c>
      <c r="T33" s="191" t="str">
        <f t="shared" si="3"/>
        <v/>
      </c>
      <c r="U33" s="190">
        <f>vlookup(N33, Prices!$A:$G,7,)*T33</f>
        <v>0</v>
      </c>
      <c r="V33" s="28"/>
      <c r="W33" s="28"/>
      <c r="X33" s="28"/>
      <c r="Y33" s="28"/>
      <c r="Z33" s="28"/>
      <c r="AA33" s="28"/>
      <c r="AB33" s="28"/>
    </row>
    <row r="34" ht="16.5" customHeight="1">
      <c r="A34" s="4"/>
      <c r="B34" s="221"/>
      <c r="C34" s="222"/>
      <c r="D34" s="170"/>
      <c r="E34" s="188" t="s">
        <v>223</v>
      </c>
      <c r="F34" s="188" t="s">
        <v>17</v>
      </c>
      <c r="G34" s="189">
        <f t="shared" si="1"/>
        <v>1.5</v>
      </c>
      <c r="H34" s="190">
        <f>vlookup(E34, Prices!$A:$G,7,)*G34</f>
        <v>5700</v>
      </c>
      <c r="I34" s="191" t="str">
        <f t="shared" si="8"/>
        <v/>
      </c>
      <c r="J34" s="190">
        <f>vlookup(E34, Prices!$A:$G,7,)*I34</f>
        <v>0</v>
      </c>
      <c r="K34" s="191" t="str">
        <f t="shared" si="2"/>
        <v/>
      </c>
      <c r="L34" s="190">
        <f>vlookup(E34, Prices!$A:$G,7,)*K34</f>
        <v>0</v>
      </c>
      <c r="M34" s="174"/>
      <c r="N34" s="192" t="s">
        <v>449</v>
      </c>
      <c r="O34" s="193" t="s">
        <v>402</v>
      </c>
      <c r="P34" s="194">
        <f t="array" ref="P34">VLOOKUP(N34, INDIRECT("'" &amp; $A$1 &amp; "'!A:O"), 13, FALSE)/ vlookup(N34,BACKEND2!$A$1:$F1000,5,)</f>
        <v>3</v>
      </c>
      <c r="Q34" s="190">
        <f>vlookup(N34, Prices!$A:$F,3,)*P34</f>
        <v>133812</v>
      </c>
      <c r="R34" s="191" t="str">
        <f t="shared" si="6"/>
        <v/>
      </c>
      <c r="S34" s="190">
        <f>vlookup(N34, Prices!$A:$G,7,)*R34</f>
        <v>0</v>
      </c>
      <c r="T34" s="191" t="str">
        <f t="shared" si="3"/>
        <v/>
      </c>
      <c r="U34" s="190">
        <f>vlookup(N34, Prices!$A:$G,7,)*T34</f>
        <v>0</v>
      </c>
      <c r="V34" s="28"/>
      <c r="W34" s="28"/>
      <c r="X34" s="28"/>
      <c r="Y34" s="28"/>
      <c r="Z34" s="28"/>
      <c r="AA34" s="28"/>
      <c r="AB34" s="28"/>
    </row>
    <row r="35" ht="16.5" customHeight="1">
      <c r="A35" s="4"/>
      <c r="B35" s="221"/>
      <c r="C35" s="222"/>
      <c r="D35" s="170"/>
      <c r="E35" s="188" t="s">
        <v>68</v>
      </c>
      <c r="F35" s="188" t="s">
        <v>35</v>
      </c>
      <c r="G35" s="189">
        <f t="shared" si="1"/>
        <v>0.58</v>
      </c>
      <c r="H35" s="190">
        <f>vlookup(E35, Prices!$A:$G,7,)*G35</f>
        <v>5510</v>
      </c>
      <c r="I35" s="191" t="str">
        <f t="shared" si="8"/>
        <v/>
      </c>
      <c r="J35" s="190">
        <f>vlookup(E35, Prices!$A:$G,7,)*I35</f>
        <v>0</v>
      </c>
      <c r="K35" s="191" t="str">
        <f t="shared" si="2"/>
        <v/>
      </c>
      <c r="L35" s="190">
        <f>vlookup(E35, Prices!$A:$G,7,)*K35</f>
        <v>0</v>
      </c>
      <c r="M35" s="174"/>
      <c r="N35" s="192" t="s">
        <v>409</v>
      </c>
      <c r="O35" s="193" t="s">
        <v>17</v>
      </c>
      <c r="P35" s="194">
        <f t="array" ref="P35">VLOOKUP(N35, INDIRECT("'" &amp; $A$1 &amp; "'!A:O"), 13, FALSE)/ vlookup(N35,BACKEND2!$A$1:$F1000,5,)</f>
        <v>0</v>
      </c>
      <c r="Q35" s="190">
        <f>vlookup(N35, Prices!$A:$F,3,)*P35</f>
        <v>0</v>
      </c>
      <c r="R35" s="191"/>
      <c r="S35" s="190">
        <f>vlookup(N35, Prices!$A:$G,7,)*R35</f>
        <v>0</v>
      </c>
      <c r="T35" s="191"/>
      <c r="U35" s="190">
        <f>vlookup(N35, Prices!$A:$G,7,)*T35</f>
        <v>0</v>
      </c>
      <c r="V35" s="28"/>
      <c r="W35" s="28"/>
      <c r="X35" s="28"/>
      <c r="Y35" s="28"/>
      <c r="Z35" s="28"/>
      <c r="AA35" s="28"/>
      <c r="AB35" s="28"/>
    </row>
    <row r="36" ht="16.5" customHeight="1">
      <c r="A36" s="131"/>
      <c r="B36" s="228" t="s">
        <v>671</v>
      </c>
      <c r="C36" s="151">
        <f>SUM(C26:C35)</f>
        <v>0</v>
      </c>
      <c r="D36" s="170"/>
      <c r="E36" s="188" t="s">
        <v>264</v>
      </c>
      <c r="F36" s="188" t="s">
        <v>35</v>
      </c>
      <c r="G36" s="189">
        <f t="shared" si="1"/>
        <v>0.441</v>
      </c>
      <c r="H36" s="190">
        <f>vlookup(E36, Prices!$A:$G,7,)*G36</f>
        <v>5292</v>
      </c>
      <c r="I36" s="191" t="str">
        <f t="shared" si="8"/>
        <v/>
      </c>
      <c r="J36" s="190">
        <f>vlookup(E36, Prices!$A:$G,7,)*I36</f>
        <v>0</v>
      </c>
      <c r="K36" s="191" t="str">
        <f t="shared" si="2"/>
        <v/>
      </c>
      <c r="L36" s="190">
        <f>vlookup(E36, Prices!$A:$G,7,)*K36</f>
        <v>0</v>
      </c>
      <c r="M36" s="174"/>
      <c r="N36" s="192" t="s">
        <v>414</v>
      </c>
      <c r="O36" s="193" t="s">
        <v>402</v>
      </c>
      <c r="P36" s="194">
        <f t="array" ref="P36">VLOOKUP(N36, INDIRECT("'" &amp; $A$1 &amp; "'!A:O"), 13, FALSE)/ vlookup(N36,BACKEND2!$A$1:$F1000,5,)</f>
        <v>0</v>
      </c>
      <c r="Q36" s="190">
        <f>vlookup(N36, Prices!$A:$F,3,)*P36</f>
        <v>0</v>
      </c>
      <c r="R36" s="191"/>
      <c r="S36" s="190">
        <f>vlookup(N36, Prices!$A:$G,7,)*R36</f>
        <v>0</v>
      </c>
      <c r="T36" s="191"/>
      <c r="U36" s="190">
        <f>vlookup(N36, Prices!$A:$G,7,)*T36</f>
        <v>0</v>
      </c>
      <c r="V36" s="28"/>
      <c r="W36" s="28"/>
      <c r="X36" s="28"/>
      <c r="Y36" s="28"/>
      <c r="Z36" s="28"/>
      <c r="AA36" s="28"/>
      <c r="AB36" s="28"/>
    </row>
    <row r="37" ht="16.5" customHeight="1">
      <c r="A37" s="197" t="s">
        <v>655</v>
      </c>
      <c r="B37" s="229" t="str">
        <f>C36/B19</f>
        <v>#DIV/0!</v>
      </c>
      <c r="C37" s="164"/>
      <c r="D37" s="170"/>
      <c r="E37" s="200" t="s">
        <v>260</v>
      </c>
      <c r="F37" s="188" t="s">
        <v>35</v>
      </c>
      <c r="G37" s="189">
        <f t="shared" si="1"/>
        <v>0.277</v>
      </c>
      <c r="H37" s="190">
        <f>vlookup(E37, Prices!$A:$G,7,)*G37</f>
        <v>5061.928934</v>
      </c>
      <c r="I37" s="191" t="str">
        <f t="shared" si="8"/>
        <v/>
      </c>
      <c r="J37" s="190">
        <f>vlookup(E37, Prices!$A:$G,7,)*I37</f>
        <v>0</v>
      </c>
      <c r="K37" s="191" t="str">
        <f t="shared" si="2"/>
        <v/>
      </c>
      <c r="L37" s="190">
        <f>vlookup(E37, Prices!$A:$G,7,)*K37</f>
        <v>0</v>
      </c>
      <c r="M37" s="174"/>
      <c r="N37" s="192" t="s">
        <v>431</v>
      </c>
      <c r="O37" s="193" t="s">
        <v>17</v>
      </c>
      <c r="P37" s="194">
        <f t="array" ref="P37">VLOOKUP(N37, INDIRECT("'" &amp; $A$1 &amp; "'!A:O"), 13, FALSE)/ vlookup(N37,BACKEND2!$A$1:$F1000,5,)</f>
        <v>0</v>
      </c>
      <c r="Q37" s="190">
        <f>vlookup(N37, Prices!$A:$F,3,)*P37</f>
        <v>0</v>
      </c>
      <c r="R37" s="191"/>
      <c r="S37" s="190">
        <f>vlookup(N37, Prices!$A:$G,7,)*R37</f>
        <v>0</v>
      </c>
      <c r="T37" s="191"/>
      <c r="U37" s="190">
        <f>vlookup(N37, Prices!$A:$G,7,)*T37</f>
        <v>0</v>
      </c>
      <c r="V37" s="28"/>
      <c r="W37" s="28"/>
      <c r="X37" s="28"/>
      <c r="Y37" s="28"/>
      <c r="Z37" s="28"/>
      <c r="AA37" s="28"/>
      <c r="AB37" s="28"/>
    </row>
    <row r="38" ht="16.5" customHeight="1">
      <c r="A38" s="115"/>
      <c r="B38" s="115"/>
      <c r="C38" s="230"/>
      <c r="D38" s="170"/>
      <c r="E38" s="188" t="s">
        <v>33</v>
      </c>
      <c r="F38" s="188" t="s">
        <v>35</v>
      </c>
      <c r="G38" s="189">
        <f t="shared" si="1"/>
        <v>0.4</v>
      </c>
      <c r="H38" s="190">
        <f>vlookup(E38, Prices!$A:$G,7,)*G38</f>
        <v>5000</v>
      </c>
      <c r="I38" s="191" t="str">
        <f t="shared" si="8"/>
        <v/>
      </c>
      <c r="J38" s="190">
        <f>vlookup(E38, Prices!$A:$G,7,)*I38</f>
        <v>0</v>
      </c>
      <c r="K38" s="191" t="str">
        <f t="shared" si="2"/>
        <v/>
      </c>
      <c r="L38" s="190">
        <f>vlookup(E38, Prices!$A:$G,7,)*K38</f>
        <v>0</v>
      </c>
      <c r="M38" s="174"/>
      <c r="N38" s="192" t="s">
        <v>439</v>
      </c>
      <c r="O38" s="193" t="s">
        <v>402</v>
      </c>
      <c r="P38" s="194">
        <f t="array" ref="P38">VLOOKUP(N38, INDIRECT("'" &amp; $A$1 &amp; "'!A:O"), 13, FALSE)/ vlookup(N38,BACKEND2!$A$1:$F1000,5,)</f>
        <v>0</v>
      </c>
      <c r="Q38" s="190">
        <f>vlookup(N38, Prices!$A:$F,3,)*P38</f>
        <v>0</v>
      </c>
      <c r="R38" s="191"/>
      <c r="S38" s="190">
        <f>vlookup(N38, Prices!$A:$G,7,)*R38</f>
        <v>0</v>
      </c>
      <c r="T38" s="191"/>
      <c r="U38" s="190">
        <f>vlookup(N38, Prices!$A:$G,7,)*T38</f>
        <v>0</v>
      </c>
      <c r="V38" s="28"/>
      <c r="W38" s="28"/>
      <c r="X38" s="28"/>
      <c r="Y38" s="28"/>
      <c r="Z38" s="28"/>
      <c r="AA38" s="28"/>
      <c r="AB38" s="28"/>
    </row>
    <row r="39" ht="16.5" customHeight="1">
      <c r="A39" s="4"/>
      <c r="B39" s="4"/>
      <c r="C39" s="222"/>
      <c r="D39" s="170"/>
      <c r="E39" s="188" t="s">
        <v>263</v>
      </c>
      <c r="F39" s="188" t="s">
        <v>17</v>
      </c>
      <c r="G39" s="189">
        <f t="shared" si="1"/>
        <v>60</v>
      </c>
      <c r="H39" s="190">
        <f>vlookup(E39, Prices!$A:$G,7,)*G39</f>
        <v>4200</v>
      </c>
      <c r="I39" s="191" t="str">
        <f t="shared" si="8"/>
        <v/>
      </c>
      <c r="J39" s="190">
        <f>vlookup(E39, Prices!$A:$G,7,)*I39</f>
        <v>0</v>
      </c>
      <c r="K39" s="191" t="str">
        <f t="shared" si="2"/>
        <v/>
      </c>
      <c r="L39" s="190">
        <f>vlookup(E39, Prices!$A:$G,7,)*K39</f>
        <v>0</v>
      </c>
      <c r="M39" s="231"/>
      <c r="N39" s="192" t="s">
        <v>446</v>
      </c>
      <c r="O39" s="232" t="s">
        <v>402</v>
      </c>
      <c r="P39" s="194">
        <f t="array" ref="P39">VLOOKUP(N39, INDIRECT("'" &amp; $A$1 &amp; "'!A:O"), 13, FALSE)/ vlookup(N39,BACKEND2!$A$1:$F1000,5,)</f>
        <v>0</v>
      </c>
      <c r="Q39" s="190">
        <f>vlookup(N39, Prices!$A:$F,3,)*P39</f>
        <v>0</v>
      </c>
      <c r="R39" s="191"/>
      <c r="S39" s="190">
        <f>vlookup(N39, Prices!$A:$G,7,)*R39</f>
        <v>0</v>
      </c>
      <c r="T39" s="191"/>
      <c r="U39" s="190">
        <f>vlookup(N39, Prices!$A:$G,7,)*T39</f>
        <v>0</v>
      </c>
      <c r="V39" s="28"/>
      <c r="W39" s="28"/>
      <c r="X39" s="28"/>
      <c r="Y39" s="28"/>
      <c r="Z39" s="28"/>
      <c r="AA39" s="28"/>
      <c r="AB39" s="28"/>
    </row>
    <row r="40" ht="16.5" customHeight="1">
      <c r="A40" s="4"/>
      <c r="B40" s="233"/>
      <c r="C40" s="222"/>
      <c r="D40" s="170"/>
      <c r="E40" s="188" t="s">
        <v>12</v>
      </c>
      <c r="F40" s="226" t="s">
        <v>14</v>
      </c>
      <c r="G40" s="189">
        <f t="shared" si="1"/>
        <v>1</v>
      </c>
      <c r="H40" s="190">
        <f>vlookup(E40, Prices!$A:$G,7,)*G40</f>
        <v>3876</v>
      </c>
      <c r="I40" s="191" t="str">
        <f t="shared" si="8"/>
        <v/>
      </c>
      <c r="J40" s="190">
        <f>vlookup(E40, Prices!$A:$G,7,)*I40</f>
        <v>0</v>
      </c>
      <c r="K40" s="191" t="str">
        <f t="shared" si="2"/>
        <v/>
      </c>
      <c r="L40" s="190">
        <f>vlookup(E40, Prices!$A:$G,7,)*K40</f>
        <v>0</v>
      </c>
      <c r="M40" s="231"/>
      <c r="N40" s="234"/>
      <c r="O40" s="235"/>
      <c r="P40" s="163"/>
      <c r="Q40" s="236"/>
      <c r="R40" s="28"/>
      <c r="S40" s="237"/>
      <c r="T40" s="28"/>
      <c r="U40" s="237"/>
      <c r="V40" s="28"/>
      <c r="W40" s="28"/>
      <c r="X40" s="28"/>
      <c r="Y40" s="28"/>
      <c r="Z40" s="28"/>
      <c r="AA40" s="28"/>
      <c r="AB40" s="28"/>
    </row>
    <row r="41" ht="16.5" customHeight="1">
      <c r="A41" s="4"/>
      <c r="B41" s="233"/>
      <c r="C41" s="222"/>
      <c r="D41" s="170"/>
      <c r="E41" s="238" t="s">
        <v>181</v>
      </c>
      <c r="F41" s="191" t="s">
        <v>35</v>
      </c>
      <c r="G41" s="189">
        <f t="shared" si="1"/>
        <v>0.168</v>
      </c>
      <c r="H41" s="190">
        <f>vlookup(E41, Prices!$A:$G,7,)*G41</f>
        <v>3864</v>
      </c>
      <c r="I41" s="191" t="str">
        <f t="shared" si="8"/>
        <v/>
      </c>
      <c r="J41" s="190">
        <f>vlookup(E41, Prices!$A:$G,7,)*I41</f>
        <v>0</v>
      </c>
      <c r="K41" s="191" t="str">
        <f t="shared" si="2"/>
        <v/>
      </c>
      <c r="L41" s="190">
        <f>vlookup(E41, Prices!$A:$G,7,)*K41</f>
        <v>0</v>
      </c>
      <c r="M41" s="231"/>
      <c r="N41" s="234"/>
      <c r="O41" s="235"/>
      <c r="P41" s="163"/>
      <c r="Q41" s="236"/>
      <c r="R41" s="28"/>
      <c r="S41" s="237"/>
      <c r="T41" s="28"/>
      <c r="U41" s="237"/>
      <c r="V41" s="28"/>
      <c r="W41" s="28"/>
      <c r="X41" s="28"/>
      <c r="Y41" s="28"/>
      <c r="Z41" s="28"/>
      <c r="AA41" s="28"/>
      <c r="AB41" s="28"/>
    </row>
    <row r="42" ht="16.5" customHeight="1">
      <c r="A42" s="4"/>
      <c r="B42" s="233"/>
      <c r="C42" s="222"/>
      <c r="D42" s="170"/>
      <c r="E42" s="200" t="s">
        <v>71</v>
      </c>
      <c r="F42" s="188" t="s">
        <v>25</v>
      </c>
      <c r="G42" s="189">
        <f t="shared" si="1"/>
        <v>0.219</v>
      </c>
      <c r="H42" s="190">
        <f>vlookup(E42, Prices!$A:$G,7,)*G42</f>
        <v>3832.5</v>
      </c>
      <c r="I42" s="191"/>
      <c r="J42" s="190">
        <f>vlookup(E42, Prices!$A:$G,7,)*I42</f>
        <v>0</v>
      </c>
      <c r="K42" s="191" t="str">
        <f t="shared" si="2"/>
        <v/>
      </c>
      <c r="L42" s="190">
        <f>vlookup(E42, Prices!$A:$G,7,)*K42</f>
        <v>0</v>
      </c>
      <c r="M42" s="231"/>
      <c r="N42" s="234"/>
      <c r="O42" s="235"/>
      <c r="P42" s="163"/>
      <c r="Q42" s="236"/>
      <c r="R42" s="28"/>
      <c r="S42" s="237"/>
      <c r="T42" s="28"/>
      <c r="U42" s="237"/>
      <c r="V42" s="28"/>
      <c r="W42" s="28"/>
      <c r="X42" s="28"/>
      <c r="Y42" s="28"/>
      <c r="Z42" s="28"/>
      <c r="AA42" s="28"/>
      <c r="AB42" s="28"/>
    </row>
    <row r="43" ht="16.5" customHeight="1">
      <c r="A43" s="4"/>
      <c r="B43" s="233"/>
      <c r="C43" s="222"/>
      <c r="D43" s="170"/>
      <c r="E43" s="191" t="s">
        <v>270</v>
      </c>
      <c r="F43" s="191" t="s">
        <v>17</v>
      </c>
      <c r="G43" s="189">
        <f t="shared" si="1"/>
        <v>46</v>
      </c>
      <c r="H43" s="190">
        <f>vlookup(E43, Prices!$A:$G,7,)*G43</f>
        <v>3680</v>
      </c>
      <c r="I43" s="191" t="str">
        <f t="shared" ref="I43:I61" si="9">VLOOKUP(E43, INDIRECT("'" &amp; $A$1 &amp; "'!A:O"), 14, FALSE)
</f>
        <v/>
      </c>
      <c r="J43" s="190">
        <f>vlookup(E43, Prices!$A:$G,7,)*I43</f>
        <v>0</v>
      </c>
      <c r="K43" s="191" t="str">
        <f t="shared" si="2"/>
        <v/>
      </c>
      <c r="L43" s="190">
        <f>vlookup(E43, Prices!$A:$G,7,)*K43</f>
        <v>0</v>
      </c>
      <c r="M43" s="231"/>
      <c r="N43" s="234"/>
      <c r="O43" s="235"/>
      <c r="P43" s="163"/>
      <c r="Q43" s="236"/>
      <c r="R43" s="28"/>
      <c r="S43" s="237"/>
      <c r="T43" s="28"/>
      <c r="U43" s="237"/>
      <c r="V43" s="28"/>
      <c r="W43" s="28"/>
      <c r="X43" s="28"/>
      <c r="Y43" s="28"/>
      <c r="Z43" s="28"/>
      <c r="AA43" s="28"/>
      <c r="AB43" s="28"/>
    </row>
    <row r="44" ht="16.5" customHeight="1">
      <c r="A44" s="4"/>
      <c r="B44" s="233"/>
      <c r="C44" s="222"/>
      <c r="D44" s="170"/>
      <c r="E44" s="188" t="s">
        <v>221</v>
      </c>
      <c r="F44" s="188" t="s">
        <v>17</v>
      </c>
      <c r="G44" s="189">
        <f t="shared" si="1"/>
        <v>3.5</v>
      </c>
      <c r="H44" s="190">
        <f>vlookup(E44, Prices!$A:$G,7,)*G44</f>
        <v>3500</v>
      </c>
      <c r="I44" s="191" t="str">
        <f t="shared" si="9"/>
        <v/>
      </c>
      <c r="J44" s="190">
        <f>vlookup(E44, Prices!$A:$G,7,)*I44</f>
        <v>0</v>
      </c>
      <c r="K44" s="191" t="str">
        <f t="shared" si="2"/>
        <v/>
      </c>
      <c r="L44" s="190">
        <f>vlookup(E44, Prices!$A:$G,7,)*K44</f>
        <v>0</v>
      </c>
      <c r="M44" s="231"/>
      <c r="N44" s="234"/>
      <c r="O44" s="235"/>
      <c r="P44" s="163"/>
      <c r="Q44" s="236"/>
      <c r="R44" s="28"/>
      <c r="S44" s="237"/>
      <c r="T44" s="28"/>
      <c r="U44" s="237"/>
      <c r="V44" s="28"/>
      <c r="W44" s="28"/>
      <c r="X44" s="28"/>
      <c r="Y44" s="28"/>
      <c r="Z44" s="28"/>
      <c r="AA44" s="28"/>
      <c r="AB44" s="28"/>
    </row>
    <row r="45" ht="16.5" customHeight="1">
      <c r="A45" s="4"/>
      <c r="B45" s="233"/>
      <c r="C45" s="222"/>
      <c r="D45" s="170"/>
      <c r="E45" s="188" t="s">
        <v>194</v>
      </c>
      <c r="F45" s="188" t="s">
        <v>17</v>
      </c>
      <c r="G45" s="189">
        <f t="shared" si="1"/>
        <v>1</v>
      </c>
      <c r="H45" s="190">
        <f>vlookup(E45, Prices!$A:$G,7,)*G45</f>
        <v>3500</v>
      </c>
      <c r="I45" s="191" t="str">
        <f t="shared" si="9"/>
        <v/>
      </c>
      <c r="J45" s="190">
        <f>vlookup(E45, Prices!$A:$G,7,)*I45</f>
        <v>0</v>
      </c>
      <c r="K45" s="191" t="str">
        <f t="shared" si="2"/>
        <v/>
      </c>
      <c r="L45" s="190">
        <f>vlookup(E45, Prices!$A:$G,7,)*K45</f>
        <v>0</v>
      </c>
      <c r="M45" s="231"/>
      <c r="N45" s="234"/>
      <c r="O45" s="235"/>
      <c r="P45" s="163"/>
      <c r="Q45" s="236"/>
      <c r="R45" s="28"/>
      <c r="S45" s="237"/>
      <c r="T45" s="28"/>
      <c r="U45" s="237"/>
      <c r="V45" s="28"/>
      <c r="W45" s="28"/>
      <c r="X45" s="28"/>
      <c r="Y45" s="28"/>
      <c r="Z45" s="28"/>
      <c r="AA45" s="28"/>
      <c r="AB45" s="28"/>
    </row>
    <row r="46" ht="16.5" customHeight="1">
      <c r="A46" s="4"/>
      <c r="B46" s="233"/>
      <c r="C46" s="222"/>
      <c r="D46" s="170"/>
      <c r="E46" s="188" t="s">
        <v>191</v>
      </c>
      <c r="F46" s="188" t="s">
        <v>35</v>
      </c>
      <c r="G46" s="189">
        <f t="shared" si="1"/>
        <v>1.148</v>
      </c>
      <c r="H46" s="190">
        <f>vlookup(E46, Prices!$A:$G,7,)*G46</f>
        <v>3444</v>
      </c>
      <c r="I46" s="191" t="str">
        <f t="shared" si="9"/>
        <v/>
      </c>
      <c r="J46" s="190">
        <f>vlookup(E46, Prices!$A:$G,7,)*I46</f>
        <v>0</v>
      </c>
      <c r="K46" s="191" t="str">
        <f t="shared" si="2"/>
        <v/>
      </c>
      <c r="L46" s="190">
        <f>vlookup(E46, Prices!$A:$G,7,)*K46</f>
        <v>0</v>
      </c>
      <c r="M46" s="231"/>
      <c r="N46" s="234"/>
      <c r="O46" s="235"/>
      <c r="P46" s="163"/>
      <c r="Q46" s="236"/>
      <c r="R46" s="28"/>
      <c r="S46" s="237"/>
      <c r="T46" s="28"/>
      <c r="U46" s="237"/>
      <c r="V46" s="28"/>
      <c r="W46" s="28"/>
      <c r="X46" s="28"/>
      <c r="Y46" s="28"/>
      <c r="Z46" s="28"/>
      <c r="AA46" s="28"/>
      <c r="AB46" s="28"/>
    </row>
    <row r="47" ht="16.5" customHeight="1">
      <c r="A47" s="4"/>
      <c r="B47" s="233"/>
      <c r="C47" s="222"/>
      <c r="D47" s="170"/>
      <c r="E47" s="188" t="s">
        <v>42</v>
      </c>
      <c r="F47" s="188" t="s">
        <v>35</v>
      </c>
      <c r="G47" s="189">
        <f t="shared" si="1"/>
        <v>0.081</v>
      </c>
      <c r="H47" s="190">
        <f>vlookup(E47, Prices!$A:$G,7,)*G47</f>
        <v>3264.483627</v>
      </c>
      <c r="I47" s="191" t="str">
        <f t="shared" si="9"/>
        <v/>
      </c>
      <c r="J47" s="190">
        <f>vlookup(E47, Prices!$A:$G,7,)*I47</f>
        <v>0</v>
      </c>
      <c r="K47" s="191" t="str">
        <f t="shared" si="2"/>
        <v/>
      </c>
      <c r="L47" s="190">
        <f>vlookup(E47, Prices!$A:$G,7,)*K47</f>
        <v>0</v>
      </c>
      <c r="M47" s="231"/>
      <c r="N47" s="234"/>
      <c r="O47" s="235"/>
      <c r="P47" s="163"/>
      <c r="Q47" s="236"/>
      <c r="R47" s="28"/>
      <c r="S47" s="237"/>
      <c r="T47" s="28"/>
      <c r="U47" s="237"/>
      <c r="V47" s="28"/>
      <c r="W47" s="28"/>
      <c r="X47" s="28"/>
      <c r="Y47" s="28"/>
      <c r="Z47" s="28"/>
      <c r="AA47" s="28"/>
      <c r="AB47" s="28"/>
    </row>
    <row r="48" ht="16.5" customHeight="1">
      <c r="A48" s="4"/>
      <c r="B48" s="233"/>
      <c r="C48" s="222"/>
      <c r="D48" s="170"/>
      <c r="E48" s="188" t="s">
        <v>87</v>
      </c>
      <c r="F48" s="188" t="s">
        <v>25</v>
      </c>
      <c r="G48" s="189">
        <f t="shared" si="1"/>
        <v>0.197</v>
      </c>
      <c r="H48" s="190">
        <f>vlookup(E48, Prices!$A:$G,7,)*G48</f>
        <v>3152</v>
      </c>
      <c r="I48" s="191" t="str">
        <f t="shared" si="9"/>
        <v/>
      </c>
      <c r="J48" s="190">
        <f>vlookup(E48, Prices!$A:$G,7,)*I48</f>
        <v>0</v>
      </c>
      <c r="K48" s="191" t="str">
        <f t="shared" si="2"/>
        <v/>
      </c>
      <c r="L48" s="190">
        <f>vlookup(E48, Prices!$A:$G,7,)*K48</f>
        <v>0</v>
      </c>
      <c r="M48" s="231"/>
      <c r="N48" s="234"/>
      <c r="O48" s="235"/>
      <c r="P48" s="163"/>
      <c r="Q48" s="236"/>
      <c r="R48" s="28"/>
      <c r="S48" s="237"/>
      <c r="T48" s="28"/>
      <c r="U48" s="237"/>
      <c r="V48" s="28"/>
      <c r="W48" s="28"/>
      <c r="X48" s="28"/>
      <c r="Y48" s="28"/>
      <c r="Z48" s="28"/>
      <c r="AA48" s="28"/>
      <c r="AB48" s="28"/>
    </row>
    <row r="49" ht="16.5" customHeight="1">
      <c r="A49" s="4"/>
      <c r="B49" s="233"/>
      <c r="C49" s="222"/>
      <c r="D49" s="170"/>
      <c r="E49" s="188" t="s">
        <v>163</v>
      </c>
      <c r="F49" s="188" t="s">
        <v>35</v>
      </c>
      <c r="G49" s="189">
        <f t="shared" si="1"/>
        <v>0.087</v>
      </c>
      <c r="H49" s="190">
        <f>vlookup(E49, Prices!$A:$G,7,)*G49</f>
        <v>3056.756757</v>
      </c>
      <c r="I49" s="191" t="str">
        <f t="shared" si="9"/>
        <v/>
      </c>
      <c r="J49" s="190">
        <f>vlookup(E49, Prices!$A:$G,7,)*I49</f>
        <v>0</v>
      </c>
      <c r="K49" s="191" t="str">
        <f t="shared" si="2"/>
        <v/>
      </c>
      <c r="L49" s="190">
        <f>vlookup(E49, Prices!$A:$G,7,)*K49</f>
        <v>0</v>
      </c>
      <c r="M49" s="231"/>
      <c r="N49" s="234"/>
      <c r="O49" s="235"/>
      <c r="P49" s="163"/>
      <c r="Q49" s="236"/>
      <c r="R49" s="28"/>
      <c r="S49" s="237"/>
      <c r="T49" s="28"/>
      <c r="U49" s="237"/>
      <c r="V49" s="28"/>
      <c r="W49" s="28"/>
      <c r="X49" s="28"/>
      <c r="Y49" s="28"/>
      <c r="Z49" s="28"/>
      <c r="AA49" s="28"/>
      <c r="AB49" s="28"/>
    </row>
    <row r="50" ht="16.5" customHeight="1">
      <c r="A50" s="28"/>
      <c r="B50" s="28"/>
      <c r="C50" s="164"/>
      <c r="D50" s="170"/>
      <c r="E50" s="188" t="s">
        <v>88</v>
      </c>
      <c r="F50" s="188" t="s">
        <v>25</v>
      </c>
      <c r="G50" s="189">
        <f t="shared" si="1"/>
        <v>0.16</v>
      </c>
      <c r="H50" s="190">
        <f>vlookup(E50, Prices!$A:$G,7,)*G50</f>
        <v>2962.962963</v>
      </c>
      <c r="I50" s="191" t="str">
        <f t="shared" si="9"/>
        <v/>
      </c>
      <c r="J50" s="190">
        <f>vlookup(E50, Prices!$A:$G,7,)*I50</f>
        <v>0</v>
      </c>
      <c r="K50" s="191" t="str">
        <f t="shared" si="2"/>
        <v/>
      </c>
      <c r="L50" s="190">
        <f>vlookup(E50, Prices!$A:$G,7,)*K50</f>
        <v>0</v>
      </c>
      <c r="M50" s="231"/>
      <c r="N50" s="234"/>
      <c r="O50" s="235"/>
      <c r="P50" s="163"/>
      <c r="Q50" s="236"/>
      <c r="R50" s="28"/>
      <c r="S50" s="237"/>
      <c r="T50" s="28"/>
      <c r="U50" s="237"/>
      <c r="V50" s="28"/>
      <c r="W50" s="28"/>
      <c r="X50" s="28"/>
      <c r="Y50" s="28"/>
      <c r="Z50" s="28"/>
      <c r="AA50" s="28"/>
      <c r="AB50" s="28"/>
    </row>
    <row r="51" ht="16.5" customHeight="1">
      <c r="A51" s="28"/>
      <c r="B51" s="28"/>
      <c r="C51" s="164"/>
      <c r="D51" s="170"/>
      <c r="E51" s="188" t="s">
        <v>112</v>
      </c>
      <c r="F51" s="188" t="s">
        <v>35</v>
      </c>
      <c r="G51" s="189">
        <f t="shared" si="1"/>
        <v>0.094</v>
      </c>
      <c r="H51" s="190">
        <f>vlookup(E51, Prices!$A:$G,7,)*G51</f>
        <v>2820</v>
      </c>
      <c r="I51" s="191" t="str">
        <f t="shared" si="9"/>
        <v/>
      </c>
      <c r="J51" s="190">
        <f>vlookup(E51, Prices!$A:$G,7,)*I51</f>
        <v>0</v>
      </c>
      <c r="K51" s="191" t="str">
        <f t="shared" si="2"/>
        <v/>
      </c>
      <c r="L51" s="190">
        <f>vlookup(E51, Prices!$A:$G,7,)*K51</f>
        <v>0</v>
      </c>
      <c r="M51" s="231"/>
      <c r="N51" s="234"/>
      <c r="O51" s="235"/>
      <c r="P51" s="163"/>
      <c r="Q51" s="236"/>
      <c r="R51" s="28"/>
      <c r="S51" s="237"/>
      <c r="T51" s="28"/>
      <c r="U51" s="237"/>
      <c r="V51" s="28"/>
      <c r="W51" s="28"/>
      <c r="X51" s="28"/>
      <c r="Y51" s="28"/>
      <c r="Z51" s="28"/>
      <c r="AA51" s="28"/>
      <c r="AB51" s="28"/>
    </row>
    <row r="52" ht="16.5" customHeight="1">
      <c r="A52" s="28"/>
      <c r="B52" s="28"/>
      <c r="C52" s="164"/>
      <c r="D52" s="170"/>
      <c r="E52" s="191" t="s">
        <v>272</v>
      </c>
      <c r="F52" s="191" t="s">
        <v>17</v>
      </c>
      <c r="G52" s="189">
        <f t="shared" si="1"/>
        <v>2</v>
      </c>
      <c r="H52" s="190">
        <f>vlookup(E52, Prices!$A:$G,7,)*G52</f>
        <v>2800</v>
      </c>
      <c r="I52" s="191" t="str">
        <f t="shared" si="9"/>
        <v/>
      </c>
      <c r="J52" s="190">
        <f>vlookup(E52, Prices!$A:$G,7,)*I52</f>
        <v>0</v>
      </c>
      <c r="K52" s="191" t="str">
        <f t="shared" si="2"/>
        <v/>
      </c>
      <c r="L52" s="190">
        <f>vlookup(E52, Prices!$A:$G,7,)*K52</f>
        <v>0</v>
      </c>
      <c r="M52" s="231"/>
      <c r="N52" s="234"/>
      <c r="O52" s="235"/>
      <c r="P52" s="163"/>
      <c r="Q52" s="236"/>
      <c r="R52" s="28"/>
      <c r="S52" s="237"/>
      <c r="T52" s="28"/>
      <c r="U52" s="237"/>
      <c r="V52" s="28"/>
      <c r="W52" s="28"/>
      <c r="X52" s="28"/>
      <c r="Y52" s="28"/>
      <c r="Z52" s="28"/>
      <c r="AA52" s="28"/>
      <c r="AB52" s="28"/>
    </row>
    <row r="53" ht="16.5" customHeight="1">
      <c r="A53" s="28"/>
      <c r="B53" s="28"/>
      <c r="C53" s="164"/>
      <c r="D53" s="170"/>
      <c r="E53" s="188" t="s">
        <v>268</v>
      </c>
      <c r="F53" s="188" t="s">
        <v>17</v>
      </c>
      <c r="G53" s="189">
        <f t="shared" si="1"/>
        <v>18</v>
      </c>
      <c r="H53" s="190">
        <f>vlookup(E53, Prices!$A:$G,7,)*G53</f>
        <v>2736</v>
      </c>
      <c r="I53" s="191" t="str">
        <f t="shared" si="9"/>
        <v/>
      </c>
      <c r="J53" s="190">
        <f>vlookup(E53, Prices!$A:$G,7,)*I53</f>
        <v>0</v>
      </c>
      <c r="K53" s="191" t="str">
        <f t="shared" si="2"/>
        <v/>
      </c>
      <c r="L53" s="190">
        <f>vlookup(E53, Prices!$A:$G,7,)*K53</f>
        <v>0</v>
      </c>
      <c r="M53" s="231"/>
      <c r="N53" s="234"/>
      <c r="O53" s="235"/>
      <c r="P53" s="163"/>
      <c r="Q53" s="236"/>
      <c r="R53" s="28"/>
      <c r="S53" s="237"/>
      <c r="T53" s="28"/>
      <c r="U53" s="237"/>
      <c r="V53" s="28"/>
      <c r="W53" s="28"/>
      <c r="X53" s="28"/>
      <c r="Y53" s="28"/>
      <c r="Z53" s="28"/>
      <c r="AA53" s="28"/>
      <c r="AB53" s="28"/>
    </row>
    <row r="54" ht="16.5" customHeight="1">
      <c r="A54" s="28"/>
      <c r="B54" s="28"/>
      <c r="C54" s="164"/>
      <c r="D54" s="170"/>
      <c r="E54" s="188" t="s">
        <v>189</v>
      </c>
      <c r="F54" s="188" t="s">
        <v>17</v>
      </c>
      <c r="G54" s="189">
        <f t="shared" si="1"/>
        <v>1</v>
      </c>
      <c r="H54" s="190">
        <f>vlookup(E54, Prices!$A:$G,7,)*G54</f>
        <v>2400</v>
      </c>
      <c r="I54" s="191" t="str">
        <f t="shared" si="9"/>
        <v/>
      </c>
      <c r="J54" s="190">
        <f>vlookup(E54, Prices!$A:$G,7,)*I54</f>
        <v>0</v>
      </c>
      <c r="K54" s="191" t="str">
        <f t="shared" si="2"/>
        <v/>
      </c>
      <c r="L54" s="190">
        <f>vlookup(E54, Prices!$A:$G,7,)*K54</f>
        <v>0</v>
      </c>
      <c r="M54" s="231"/>
      <c r="N54" s="234"/>
      <c r="O54" s="235"/>
      <c r="P54" s="163"/>
      <c r="Q54" s="236"/>
      <c r="R54" s="28"/>
      <c r="S54" s="237"/>
      <c r="T54" s="28"/>
      <c r="U54" s="237"/>
      <c r="V54" s="28"/>
      <c r="W54" s="28"/>
      <c r="X54" s="28"/>
      <c r="Y54" s="28"/>
      <c r="Z54" s="28"/>
      <c r="AA54" s="28"/>
      <c r="AB54" s="28"/>
    </row>
    <row r="55" ht="16.5" customHeight="1">
      <c r="A55" s="28"/>
      <c r="B55" s="28"/>
      <c r="C55" s="164"/>
      <c r="D55" s="170"/>
      <c r="E55" s="188" t="s">
        <v>77</v>
      </c>
      <c r="F55" s="188" t="s">
        <v>25</v>
      </c>
      <c r="G55" s="189">
        <f t="shared" si="1"/>
        <v>0.115</v>
      </c>
      <c r="H55" s="190">
        <f>vlookup(E55, Prices!$A:$G,7,)*G55</f>
        <v>2185</v>
      </c>
      <c r="I55" s="191" t="str">
        <f t="shared" si="9"/>
        <v/>
      </c>
      <c r="J55" s="190">
        <f>vlookup(E55, Prices!$A:$G,7,)*I55</f>
        <v>0</v>
      </c>
      <c r="K55" s="191" t="str">
        <f t="shared" si="2"/>
        <v/>
      </c>
      <c r="L55" s="190">
        <f>vlookup(E55, Prices!$A:$G,7,)*K55</f>
        <v>0</v>
      </c>
      <c r="M55" s="231"/>
      <c r="N55" s="234"/>
      <c r="O55" s="235"/>
      <c r="P55" s="163"/>
      <c r="Q55" s="236"/>
      <c r="R55" s="28"/>
      <c r="S55" s="237"/>
      <c r="T55" s="28"/>
      <c r="U55" s="237"/>
      <c r="V55" s="28"/>
      <c r="W55" s="28"/>
      <c r="X55" s="28"/>
      <c r="Y55" s="28"/>
      <c r="Z55" s="28"/>
      <c r="AA55" s="28"/>
      <c r="AB55" s="28"/>
    </row>
    <row r="56" ht="16.5" customHeight="1">
      <c r="A56" s="28"/>
      <c r="B56" s="28"/>
      <c r="C56" s="164"/>
      <c r="D56" s="170"/>
      <c r="E56" s="188" t="s">
        <v>269</v>
      </c>
      <c r="F56" s="188" t="s">
        <v>17</v>
      </c>
      <c r="G56" s="189">
        <f t="shared" si="1"/>
        <v>24</v>
      </c>
      <c r="H56" s="190">
        <f>vlookup(E56, Prices!$A:$G,7,)*G56</f>
        <v>1920</v>
      </c>
      <c r="I56" s="191" t="str">
        <f t="shared" si="9"/>
        <v/>
      </c>
      <c r="J56" s="190">
        <f>vlookup(E56, Prices!$A:$G,7,)*I56</f>
        <v>0</v>
      </c>
      <c r="K56" s="191" t="str">
        <f t="shared" si="2"/>
        <v/>
      </c>
      <c r="L56" s="190">
        <f>vlookup(E56, Prices!$A:$G,7,)*K56</f>
        <v>0</v>
      </c>
      <c r="M56" s="231"/>
      <c r="N56" s="234"/>
      <c r="O56" s="235"/>
      <c r="P56" s="163"/>
      <c r="Q56" s="236"/>
      <c r="R56" s="28"/>
      <c r="S56" s="237"/>
      <c r="T56" s="28"/>
      <c r="U56" s="237"/>
      <c r="V56" s="28"/>
      <c r="W56" s="28"/>
      <c r="X56" s="28"/>
      <c r="Y56" s="28"/>
      <c r="Z56" s="28"/>
      <c r="AA56" s="28"/>
      <c r="AB56" s="28"/>
    </row>
    <row r="57" ht="16.5" customHeight="1">
      <c r="A57" s="28"/>
      <c r="B57" s="28"/>
      <c r="C57" s="164"/>
      <c r="D57" s="170"/>
      <c r="E57" s="188" t="s">
        <v>90</v>
      </c>
      <c r="F57" s="188" t="s">
        <v>25</v>
      </c>
      <c r="G57" s="189">
        <f t="shared" si="1"/>
        <v>0.032</v>
      </c>
      <c r="H57" s="190">
        <f>vlookup(E57, Prices!$A:$G,7,)*G57</f>
        <v>1627.118644</v>
      </c>
      <c r="I57" s="191" t="str">
        <f t="shared" si="9"/>
        <v/>
      </c>
      <c r="J57" s="190">
        <f>vlookup(E57, Prices!$A:$G,7,)*I57</f>
        <v>0</v>
      </c>
      <c r="K57" s="191" t="str">
        <f t="shared" si="2"/>
        <v/>
      </c>
      <c r="L57" s="190">
        <f>vlookup(E57, Prices!$A:$G,7,)*K57</f>
        <v>0</v>
      </c>
      <c r="M57" s="231"/>
      <c r="N57" s="234"/>
      <c r="O57" s="235"/>
      <c r="P57" s="163"/>
      <c r="Q57" s="236"/>
      <c r="R57" s="28"/>
      <c r="S57" s="237"/>
      <c r="T57" s="28"/>
      <c r="U57" s="237"/>
      <c r="V57" s="28"/>
      <c r="W57" s="28"/>
      <c r="X57" s="28"/>
      <c r="Y57" s="28"/>
      <c r="Z57" s="28"/>
      <c r="AA57" s="28"/>
      <c r="AB57" s="28"/>
    </row>
    <row r="58" ht="16.5" customHeight="1">
      <c r="A58" s="28"/>
      <c r="B58" s="28"/>
      <c r="C58" s="164"/>
      <c r="D58" s="170"/>
      <c r="E58" s="188" t="s">
        <v>224</v>
      </c>
      <c r="F58" s="188" t="s">
        <v>202</v>
      </c>
      <c r="G58" s="189">
        <f t="shared" si="1"/>
        <v>0.5</v>
      </c>
      <c r="H58" s="190">
        <f>vlookup(E58, Prices!$A:$G,7,)*G58</f>
        <v>1500</v>
      </c>
      <c r="I58" s="191" t="str">
        <f t="shared" si="9"/>
        <v/>
      </c>
      <c r="J58" s="190">
        <f>vlookup(E58, Prices!$A:$G,7,)*I58</f>
        <v>0</v>
      </c>
      <c r="K58" s="191" t="str">
        <f t="shared" si="2"/>
        <v/>
      </c>
      <c r="L58" s="190">
        <f>vlookup(E58, Prices!$A:$G,7,)*K58</f>
        <v>0</v>
      </c>
      <c r="M58" s="231"/>
      <c r="N58" s="234"/>
      <c r="O58" s="235"/>
      <c r="P58" s="163"/>
      <c r="Q58" s="236"/>
      <c r="R58" s="28"/>
      <c r="S58" s="237"/>
      <c r="T58" s="28"/>
      <c r="U58" s="237"/>
      <c r="V58" s="28"/>
      <c r="W58" s="28"/>
      <c r="X58" s="28"/>
      <c r="Y58" s="28"/>
      <c r="Z58" s="28"/>
      <c r="AA58" s="28"/>
      <c r="AB58" s="28"/>
    </row>
    <row r="59" ht="16.5" customHeight="1">
      <c r="A59" s="28"/>
      <c r="B59" s="28"/>
      <c r="C59" s="164"/>
      <c r="D59" s="170"/>
      <c r="E59" s="188" t="s">
        <v>95</v>
      </c>
      <c r="F59" s="188" t="s">
        <v>25</v>
      </c>
      <c r="G59" s="189">
        <f t="shared" si="1"/>
        <v>0.028</v>
      </c>
      <c r="H59" s="190">
        <f>vlookup(E59, Prices!$A:$G,7,)*G59</f>
        <v>1418.666667</v>
      </c>
      <c r="I59" s="191" t="str">
        <f t="shared" si="9"/>
        <v/>
      </c>
      <c r="J59" s="190">
        <f>vlookup(E59, Prices!$A:$G,7,)*I59</f>
        <v>0</v>
      </c>
      <c r="K59" s="191" t="str">
        <f t="shared" si="2"/>
        <v/>
      </c>
      <c r="L59" s="190">
        <f>vlookup(E59, Prices!$A:$G,7,)*K59</f>
        <v>0</v>
      </c>
      <c r="M59" s="231"/>
      <c r="N59" s="234"/>
      <c r="O59" s="235"/>
      <c r="P59" s="163"/>
      <c r="Q59" s="236"/>
      <c r="R59" s="28"/>
      <c r="S59" s="237"/>
      <c r="T59" s="28"/>
      <c r="U59" s="237"/>
      <c r="V59" s="28"/>
      <c r="W59" s="28"/>
      <c r="X59" s="28"/>
      <c r="Y59" s="28"/>
      <c r="Z59" s="28"/>
      <c r="AA59" s="28"/>
      <c r="AB59" s="28"/>
    </row>
    <row r="60" ht="16.5" customHeight="1">
      <c r="A60" s="28"/>
      <c r="B60" s="28"/>
      <c r="C60" s="164"/>
      <c r="D60" s="170"/>
      <c r="E60" s="206" t="s">
        <v>19</v>
      </c>
      <c r="F60" s="226" t="s">
        <v>17</v>
      </c>
      <c r="G60" s="189">
        <f t="shared" si="1"/>
        <v>5</v>
      </c>
      <c r="H60" s="190">
        <f>vlookup(E60, Prices!$A:$G,7,)*G60</f>
        <v>1165</v>
      </c>
      <c r="I60" s="191" t="str">
        <f t="shared" si="9"/>
        <v/>
      </c>
      <c r="J60" s="190">
        <f>vlookup(E60, Prices!$A:$G,7,)*I60</f>
        <v>0</v>
      </c>
      <c r="K60" s="191" t="str">
        <f t="shared" si="2"/>
        <v/>
      </c>
      <c r="L60" s="190">
        <f>vlookup(E60, Prices!$A:$G,7,)*K60</f>
        <v>0</v>
      </c>
      <c r="M60" s="231"/>
      <c r="N60" s="234"/>
      <c r="O60" s="235"/>
      <c r="P60" s="163"/>
      <c r="Q60" s="236"/>
      <c r="R60" s="28"/>
      <c r="S60" s="237"/>
      <c r="T60" s="28"/>
      <c r="U60" s="237"/>
      <c r="V60" s="28"/>
      <c r="W60" s="28"/>
      <c r="X60" s="28"/>
      <c r="Y60" s="28"/>
      <c r="Z60" s="28"/>
      <c r="AA60" s="28"/>
      <c r="AB60" s="28"/>
    </row>
    <row r="61" ht="16.5" customHeight="1">
      <c r="A61" s="28"/>
      <c r="B61" s="28"/>
      <c r="C61" s="164"/>
      <c r="D61" s="170"/>
      <c r="E61" s="239" t="s">
        <v>30</v>
      </c>
      <c r="F61" s="188" t="s">
        <v>35</v>
      </c>
      <c r="G61" s="189">
        <f t="shared" si="1"/>
        <v>0.044</v>
      </c>
      <c r="H61" s="190">
        <f>vlookup(E61, Prices!$A:$G,7,)*G61</f>
        <v>1144</v>
      </c>
      <c r="I61" s="191" t="str">
        <f t="shared" si="9"/>
        <v/>
      </c>
      <c r="J61" s="190">
        <f>vlookup(E61, Prices!$A:$G,7,)*I61</f>
        <v>0</v>
      </c>
      <c r="K61" s="191" t="str">
        <f t="shared" si="2"/>
        <v/>
      </c>
      <c r="L61" s="190">
        <f>vlookup(E61, Prices!$A:$G,7,)*K61</f>
        <v>0</v>
      </c>
      <c r="M61" s="231"/>
      <c r="N61" s="234"/>
      <c r="O61" s="235"/>
      <c r="P61" s="163"/>
      <c r="Q61" s="236"/>
      <c r="R61" s="28"/>
      <c r="S61" s="237"/>
      <c r="T61" s="28"/>
      <c r="U61" s="237"/>
      <c r="V61" s="28"/>
      <c r="W61" s="28"/>
      <c r="X61" s="28"/>
      <c r="Y61" s="28"/>
      <c r="Z61" s="28"/>
      <c r="AA61" s="28"/>
      <c r="AB61" s="28"/>
    </row>
    <row r="62" ht="16.5" customHeight="1">
      <c r="A62" s="28"/>
      <c r="B62" s="28"/>
      <c r="C62" s="164"/>
      <c r="D62" s="170"/>
      <c r="E62" s="188" t="s">
        <v>266</v>
      </c>
      <c r="F62" s="188" t="s">
        <v>17</v>
      </c>
      <c r="G62" s="189">
        <f t="shared" si="1"/>
        <v>12</v>
      </c>
      <c r="H62" s="190">
        <f>vlookup(E62, Prices!$A:$G,7,)*G62</f>
        <v>1140</v>
      </c>
      <c r="I62" s="191"/>
      <c r="J62" s="190"/>
      <c r="K62" s="191"/>
      <c r="L62" s="190">
        <f>vlookup(E62, Prices!$A:$G,7,)*K62</f>
        <v>0</v>
      </c>
      <c r="M62" s="231"/>
      <c r="N62" s="234"/>
      <c r="O62" s="235"/>
      <c r="P62" s="163"/>
      <c r="Q62" s="236"/>
      <c r="R62" s="28"/>
      <c r="S62" s="237"/>
      <c r="T62" s="28"/>
      <c r="U62" s="237"/>
      <c r="V62" s="28"/>
      <c r="W62" s="28"/>
      <c r="X62" s="28"/>
      <c r="Y62" s="28"/>
      <c r="Z62" s="28"/>
      <c r="AA62" s="28"/>
      <c r="AB62" s="28"/>
    </row>
    <row r="63" ht="16.5" customHeight="1">
      <c r="A63" s="28"/>
      <c r="B63" s="28"/>
      <c r="C63" s="164"/>
      <c r="D63" s="170"/>
      <c r="E63" s="200" t="s">
        <v>187</v>
      </c>
      <c r="F63" s="188" t="s">
        <v>17</v>
      </c>
      <c r="G63" s="189">
        <f t="shared" si="1"/>
        <v>0.25</v>
      </c>
      <c r="H63" s="190">
        <f>vlookup(E63, Prices!$A:$G,7,)*G63</f>
        <v>1125</v>
      </c>
      <c r="I63" s="191" t="str">
        <f t="shared" ref="I63:I108" si="10">VLOOKUP(E63, INDIRECT("'" &amp; $A$1 &amp; "'!A:O"), 14, FALSE)
</f>
        <v/>
      </c>
      <c r="J63" s="190">
        <f>vlookup(E63, Prices!$A:$G,7,)*I63</f>
        <v>0</v>
      </c>
      <c r="K63" s="191" t="str">
        <f t="shared" ref="K63:K182" si="11">VLOOKUP(E63, INDIRECT("'" &amp; $A$1 &amp; "'!A:O"), 15, FALSE)
</f>
        <v/>
      </c>
      <c r="L63" s="190">
        <f>vlookup(E63, Prices!$A:$G,7,)*K63</f>
        <v>0</v>
      </c>
      <c r="M63" s="231"/>
      <c r="N63" s="234"/>
      <c r="O63" s="235"/>
      <c r="P63" s="163"/>
      <c r="Q63" s="236"/>
      <c r="R63" s="28"/>
      <c r="S63" s="237"/>
      <c r="T63" s="28"/>
      <c r="U63" s="237"/>
      <c r="V63" s="28"/>
      <c r="W63" s="28"/>
      <c r="X63" s="28"/>
      <c r="Y63" s="28"/>
      <c r="Z63" s="28"/>
      <c r="AA63" s="28"/>
      <c r="AB63" s="28"/>
    </row>
    <row r="64" ht="16.5" customHeight="1">
      <c r="A64" s="28"/>
      <c r="B64" s="28"/>
      <c r="C64" s="164"/>
      <c r="D64" s="170"/>
      <c r="E64" s="188" t="s">
        <v>168</v>
      </c>
      <c r="F64" s="188" t="s">
        <v>35</v>
      </c>
      <c r="G64" s="189">
        <f t="shared" si="1"/>
        <v>0.056</v>
      </c>
      <c r="H64" s="190">
        <f>vlookup(E64, Prices!$A:$G,7,)*G64</f>
        <v>1120</v>
      </c>
      <c r="I64" s="191" t="str">
        <f t="shared" si="10"/>
        <v/>
      </c>
      <c r="J64" s="190">
        <f>vlookup(E64, Prices!$A:$G,7,)*I64</f>
        <v>0</v>
      </c>
      <c r="K64" s="191" t="str">
        <f t="shared" si="11"/>
        <v/>
      </c>
      <c r="L64" s="190">
        <f>vlookup(E64, Prices!$A:$G,7,)*K64</f>
        <v>0</v>
      </c>
      <c r="M64" s="231"/>
      <c r="N64" s="234"/>
      <c r="O64" s="235"/>
      <c r="P64" s="163"/>
      <c r="Q64" s="236"/>
      <c r="R64" s="28"/>
      <c r="S64" s="237"/>
      <c r="T64" s="28"/>
      <c r="U64" s="237"/>
      <c r="V64" s="28"/>
      <c r="W64" s="28"/>
      <c r="X64" s="28"/>
      <c r="Y64" s="28"/>
      <c r="Z64" s="28"/>
      <c r="AA64" s="28"/>
      <c r="AB64" s="28"/>
    </row>
    <row r="65" ht="16.5" customHeight="1">
      <c r="A65" s="28"/>
      <c r="B65" s="28"/>
      <c r="C65" s="164"/>
      <c r="D65" s="170"/>
      <c r="E65" s="238" t="s">
        <v>149</v>
      </c>
      <c r="F65" s="191" t="s">
        <v>35</v>
      </c>
      <c r="G65" s="189">
        <f t="shared" si="1"/>
        <v>0.123</v>
      </c>
      <c r="H65" s="190">
        <f>vlookup(E65, Prices!$A:$G,7,)*G65</f>
        <v>1107</v>
      </c>
      <c r="I65" s="191" t="str">
        <f t="shared" si="10"/>
        <v/>
      </c>
      <c r="J65" s="190">
        <f>vlookup(E65, Prices!$A:$G,7,)*I65</f>
        <v>0</v>
      </c>
      <c r="K65" s="191" t="str">
        <f t="shared" si="11"/>
        <v/>
      </c>
      <c r="L65" s="190">
        <f>vlookup(E65, Prices!$A:$G,7,)*K65</f>
        <v>0</v>
      </c>
      <c r="M65" s="231"/>
      <c r="N65" s="234"/>
      <c r="O65" s="235"/>
      <c r="P65" s="163"/>
      <c r="Q65" s="236"/>
      <c r="R65" s="28"/>
      <c r="S65" s="237"/>
      <c r="T65" s="28"/>
      <c r="U65" s="237"/>
      <c r="V65" s="28"/>
      <c r="W65" s="28"/>
      <c r="X65" s="28"/>
      <c r="Y65" s="28"/>
      <c r="Z65" s="28"/>
      <c r="AA65" s="28"/>
      <c r="AB65" s="28"/>
    </row>
    <row r="66" ht="16.5" customHeight="1">
      <c r="A66" s="28"/>
      <c r="B66" s="28"/>
      <c r="C66" s="164"/>
      <c r="D66" s="170"/>
      <c r="E66" s="188" t="s">
        <v>217</v>
      </c>
      <c r="F66" s="188" t="s">
        <v>35</v>
      </c>
      <c r="G66" s="189">
        <f t="shared" si="1"/>
        <v>0.1</v>
      </c>
      <c r="H66" s="190">
        <f>vlookup(E66, Prices!$A:$G,7,)*G66</f>
        <v>850</v>
      </c>
      <c r="I66" s="191" t="str">
        <f t="shared" si="10"/>
        <v/>
      </c>
      <c r="J66" s="190">
        <f>vlookup(E66, Prices!$A:$G,7,)*I66</f>
        <v>0</v>
      </c>
      <c r="K66" s="191" t="str">
        <f t="shared" si="11"/>
        <v/>
      </c>
      <c r="L66" s="190">
        <f>vlookup(E66, Prices!$A:$G,7,)*K66</f>
        <v>0</v>
      </c>
      <c r="M66" s="231"/>
      <c r="N66" s="234"/>
      <c r="O66" s="235"/>
      <c r="P66" s="163"/>
      <c r="Q66" s="236"/>
      <c r="R66" s="28"/>
      <c r="S66" s="237"/>
      <c r="T66" s="28"/>
      <c r="U66" s="237"/>
      <c r="V66" s="28"/>
      <c r="W66" s="28"/>
      <c r="X66" s="28"/>
      <c r="Y66" s="28"/>
      <c r="Z66" s="28"/>
      <c r="AA66" s="28"/>
      <c r="AB66" s="28"/>
    </row>
    <row r="67" ht="16.5" customHeight="1">
      <c r="A67" s="28"/>
      <c r="B67" s="28"/>
      <c r="C67" s="164"/>
      <c r="D67" s="170"/>
      <c r="E67" s="188" t="s">
        <v>214</v>
      </c>
      <c r="F67" s="188" t="s">
        <v>35</v>
      </c>
      <c r="G67" s="189">
        <f t="shared" si="1"/>
        <v>0.077</v>
      </c>
      <c r="H67" s="190">
        <f>vlookup(E67, Prices!$A:$G,7,)*G67</f>
        <v>847</v>
      </c>
      <c r="I67" s="191" t="str">
        <f t="shared" si="10"/>
        <v/>
      </c>
      <c r="J67" s="190">
        <f>vlookup(E67, Prices!$A:$G,7,)*I67</f>
        <v>0</v>
      </c>
      <c r="K67" s="191" t="str">
        <f t="shared" si="11"/>
        <v/>
      </c>
      <c r="L67" s="190">
        <f>vlookup(E67, Prices!$A:$G,7,)*K67</f>
        <v>0</v>
      </c>
      <c r="M67" s="231"/>
      <c r="N67" s="234"/>
      <c r="O67" s="235"/>
      <c r="P67" s="163"/>
      <c r="Q67" s="236"/>
      <c r="R67" s="28"/>
      <c r="S67" s="237"/>
      <c r="T67" s="28"/>
      <c r="U67" s="237"/>
      <c r="V67" s="28"/>
      <c r="W67" s="28"/>
      <c r="X67" s="28"/>
      <c r="Y67" s="28"/>
      <c r="Z67" s="28"/>
      <c r="AA67" s="28"/>
      <c r="AB67" s="28"/>
    </row>
    <row r="68" ht="16.5" customHeight="1">
      <c r="A68" s="28"/>
      <c r="B68" s="28"/>
      <c r="C68" s="164"/>
      <c r="D68" s="170"/>
      <c r="E68" s="188" t="s">
        <v>227</v>
      </c>
      <c r="F68" s="188" t="s">
        <v>35</v>
      </c>
      <c r="G68" s="189">
        <f t="shared" si="1"/>
        <v>0.338</v>
      </c>
      <c r="H68" s="190">
        <f>vlookup(E68, Prices!$A:$G,7,)*G68</f>
        <v>845</v>
      </c>
      <c r="I68" s="191" t="str">
        <f t="shared" si="10"/>
        <v/>
      </c>
      <c r="J68" s="190">
        <f>vlookup(E68, Prices!$A:$G,7,)*I68</f>
        <v>0</v>
      </c>
      <c r="K68" s="191" t="str">
        <f t="shared" si="11"/>
        <v/>
      </c>
      <c r="L68" s="190">
        <f>vlookup(E68, Prices!$A:$G,7,)*K68</f>
        <v>0</v>
      </c>
      <c r="M68" s="231"/>
      <c r="N68" s="234"/>
      <c r="O68" s="235"/>
      <c r="P68" s="163"/>
      <c r="Q68" s="236"/>
      <c r="R68" s="28"/>
      <c r="S68" s="237"/>
      <c r="T68" s="28"/>
      <c r="U68" s="237"/>
      <c r="V68" s="28"/>
      <c r="W68" s="28"/>
      <c r="X68" s="28"/>
      <c r="Y68" s="28"/>
      <c r="Z68" s="28"/>
      <c r="AA68" s="28"/>
      <c r="AB68" s="28"/>
    </row>
    <row r="69" ht="16.5" customHeight="1">
      <c r="A69" s="28"/>
      <c r="B69" s="28"/>
      <c r="C69" s="164"/>
      <c r="D69" s="170"/>
      <c r="E69" s="188" t="s">
        <v>21</v>
      </c>
      <c r="F69" s="226" t="s">
        <v>17</v>
      </c>
      <c r="G69" s="189">
        <f t="shared" si="1"/>
        <v>1</v>
      </c>
      <c r="H69" s="190">
        <f>vlookup(E69, Prices!$A:$G,7,)*G69</f>
        <v>781</v>
      </c>
      <c r="I69" s="191" t="str">
        <f t="shared" si="10"/>
        <v/>
      </c>
      <c r="J69" s="190">
        <f>vlookup(E69, Prices!$A:$G,7,)*I69</f>
        <v>0</v>
      </c>
      <c r="K69" s="191" t="str">
        <f t="shared" si="11"/>
        <v/>
      </c>
      <c r="L69" s="190">
        <f>vlookup(E69, Prices!$A:$G,7,)*K69</f>
        <v>0</v>
      </c>
      <c r="M69" s="231"/>
      <c r="N69" s="234"/>
      <c r="O69" s="235"/>
      <c r="P69" s="163"/>
      <c r="Q69" s="236"/>
      <c r="R69" s="28"/>
      <c r="S69" s="237"/>
      <c r="T69" s="28"/>
      <c r="U69" s="237"/>
      <c r="V69" s="28"/>
      <c r="W69" s="28"/>
      <c r="X69" s="28"/>
      <c r="Y69" s="28"/>
      <c r="Z69" s="28"/>
      <c r="AA69" s="28"/>
      <c r="AB69" s="28"/>
    </row>
    <row r="70" ht="16.5" customHeight="1">
      <c r="A70" s="28"/>
      <c r="B70" s="28"/>
      <c r="C70" s="164"/>
      <c r="D70" s="170"/>
      <c r="E70" s="188" t="s">
        <v>20</v>
      </c>
      <c r="F70" s="226" t="s">
        <v>17</v>
      </c>
      <c r="G70" s="189">
        <f t="shared" si="1"/>
        <v>8</v>
      </c>
      <c r="H70" s="190">
        <f>vlookup(E70, Prices!$A:$G,7,)*G70</f>
        <v>776</v>
      </c>
      <c r="I70" s="191" t="str">
        <f t="shared" si="10"/>
        <v/>
      </c>
      <c r="J70" s="190">
        <f>vlookup(E70, Prices!$A:$G,7,)*I70</f>
        <v>0</v>
      </c>
      <c r="K70" s="191" t="str">
        <f t="shared" si="11"/>
        <v/>
      </c>
      <c r="L70" s="190">
        <f>vlookup(E70, Prices!$A:$G,7,)*K70</f>
        <v>0</v>
      </c>
      <c r="M70" s="231"/>
      <c r="N70" s="234"/>
      <c r="O70" s="235"/>
      <c r="P70" s="163"/>
      <c r="Q70" s="236"/>
      <c r="R70" s="28"/>
      <c r="S70" s="237"/>
      <c r="T70" s="28"/>
      <c r="U70" s="237"/>
      <c r="V70" s="28"/>
      <c r="W70" s="28"/>
      <c r="X70" s="28"/>
      <c r="Y70" s="28"/>
      <c r="Z70" s="28"/>
      <c r="AA70" s="28"/>
      <c r="AB70" s="28"/>
    </row>
    <row r="71" ht="16.5" customHeight="1">
      <c r="A71" s="28"/>
      <c r="B71" s="28"/>
      <c r="C71" s="164"/>
      <c r="D71" s="170"/>
      <c r="E71" s="200" t="s">
        <v>232</v>
      </c>
      <c r="F71" s="200" t="s">
        <v>202</v>
      </c>
      <c r="G71" s="189">
        <f t="shared" si="1"/>
        <v>0.25</v>
      </c>
      <c r="H71" s="190">
        <f>vlookup(E71, Prices!$A:$G,7,)*G71</f>
        <v>750</v>
      </c>
      <c r="I71" s="191" t="str">
        <f t="shared" si="10"/>
        <v/>
      </c>
      <c r="J71" s="190">
        <f>vlookup(E71, Prices!$A:$G,7,)*I71</f>
        <v>0</v>
      </c>
      <c r="K71" s="191" t="str">
        <f t="shared" si="11"/>
        <v/>
      </c>
      <c r="L71" s="190">
        <f>vlookup(E71, Prices!$A:$G,7,)*K71</f>
        <v>0</v>
      </c>
      <c r="M71" s="231"/>
      <c r="N71" s="234"/>
      <c r="O71" s="235"/>
      <c r="P71" s="163"/>
      <c r="Q71" s="236"/>
      <c r="R71" s="28"/>
      <c r="S71" s="237"/>
      <c r="T71" s="28"/>
      <c r="U71" s="237"/>
      <c r="V71" s="28"/>
      <c r="W71" s="28"/>
      <c r="X71" s="28"/>
      <c r="Y71" s="28"/>
      <c r="Z71" s="28"/>
      <c r="AA71" s="28"/>
      <c r="AB71" s="28"/>
    </row>
    <row r="72" ht="16.5" customHeight="1">
      <c r="A72" s="28"/>
      <c r="B72" s="28"/>
      <c r="C72" s="164"/>
      <c r="D72" s="170"/>
      <c r="E72" s="188" t="s">
        <v>132</v>
      </c>
      <c r="F72" s="188" t="s">
        <v>35</v>
      </c>
      <c r="G72" s="189">
        <f t="shared" si="1"/>
        <v>0.018</v>
      </c>
      <c r="H72" s="190">
        <f>vlookup(E72, Prices!$A:$G,7,)*G72</f>
        <v>720</v>
      </c>
      <c r="I72" s="191" t="str">
        <f t="shared" si="10"/>
        <v/>
      </c>
      <c r="J72" s="190">
        <f>vlookup(E72, Prices!$A:$G,7,)*I72</f>
        <v>0</v>
      </c>
      <c r="K72" s="191" t="str">
        <f t="shared" si="11"/>
        <v/>
      </c>
      <c r="L72" s="190">
        <f>vlookup(E72, Prices!$A:$G,7,)*K72</f>
        <v>0</v>
      </c>
      <c r="M72" s="231"/>
      <c r="N72" s="234"/>
      <c r="O72" s="235"/>
      <c r="P72" s="163"/>
      <c r="Q72" s="236"/>
      <c r="R72" s="28"/>
      <c r="S72" s="237"/>
      <c r="T72" s="28"/>
      <c r="U72" s="237"/>
      <c r="V72" s="28"/>
      <c r="W72" s="28"/>
      <c r="X72" s="28"/>
      <c r="Y72" s="28"/>
      <c r="Z72" s="28"/>
      <c r="AA72" s="28"/>
      <c r="AB72" s="28"/>
    </row>
    <row r="73" ht="16.5" customHeight="1">
      <c r="A73" s="28"/>
      <c r="B73" s="28"/>
      <c r="C73" s="164"/>
      <c r="D73" s="170"/>
      <c r="E73" s="188" t="s">
        <v>117</v>
      </c>
      <c r="F73" s="188" t="s">
        <v>35</v>
      </c>
      <c r="G73" s="189">
        <f t="shared" si="1"/>
        <v>0.016</v>
      </c>
      <c r="H73" s="190">
        <f>vlookup(E73, Prices!$A:$G,7,)*G73</f>
        <v>640</v>
      </c>
      <c r="I73" s="191" t="str">
        <f t="shared" si="10"/>
        <v/>
      </c>
      <c r="J73" s="190">
        <f>vlookup(E73, Prices!$A:$G,7,)*I73</f>
        <v>0</v>
      </c>
      <c r="K73" s="191" t="str">
        <f t="shared" si="11"/>
        <v/>
      </c>
      <c r="L73" s="190">
        <f>vlookup(E73, Prices!$A:$G,7,)*K73</f>
        <v>0</v>
      </c>
      <c r="M73" s="231"/>
      <c r="N73" s="234"/>
      <c r="O73" s="235"/>
      <c r="P73" s="163"/>
      <c r="Q73" s="236"/>
      <c r="R73" s="28"/>
      <c r="S73" s="237"/>
      <c r="T73" s="28"/>
      <c r="U73" s="237"/>
      <c r="V73" s="28"/>
      <c r="W73" s="28"/>
      <c r="X73" s="28"/>
      <c r="Y73" s="28"/>
      <c r="Z73" s="28"/>
      <c r="AA73" s="28"/>
      <c r="AB73" s="28"/>
    </row>
    <row r="74" ht="16.5" customHeight="1">
      <c r="A74" s="28"/>
      <c r="B74" s="28"/>
      <c r="C74" s="164"/>
      <c r="D74" s="170"/>
      <c r="E74" s="238" t="s">
        <v>240</v>
      </c>
      <c r="F74" s="191" t="s">
        <v>17</v>
      </c>
      <c r="G74" s="189">
        <f t="shared" si="1"/>
        <v>1</v>
      </c>
      <c r="H74" s="190">
        <f>vlookup(E74, Prices!$A:$G,7,)*G74</f>
        <v>600</v>
      </c>
      <c r="I74" s="191" t="str">
        <f t="shared" si="10"/>
        <v/>
      </c>
      <c r="J74" s="190">
        <f>vlookup(E74, Prices!$A:$G,7,)*I74</f>
        <v>0</v>
      </c>
      <c r="K74" s="191" t="str">
        <f t="shared" si="11"/>
        <v/>
      </c>
      <c r="L74" s="190">
        <f>vlookup(E74, Prices!$A:$G,7,)*K74</f>
        <v>0</v>
      </c>
      <c r="M74" s="231"/>
      <c r="N74" s="234"/>
      <c r="O74" s="235"/>
      <c r="P74" s="163"/>
      <c r="Q74" s="236"/>
      <c r="R74" s="28"/>
      <c r="S74" s="237"/>
      <c r="T74" s="28"/>
      <c r="U74" s="237"/>
      <c r="V74" s="28"/>
      <c r="W74" s="28"/>
      <c r="X74" s="28"/>
      <c r="Y74" s="28"/>
      <c r="Z74" s="28"/>
      <c r="AA74" s="28"/>
      <c r="AB74" s="28"/>
    </row>
    <row r="75" ht="16.5" customHeight="1">
      <c r="A75" s="28"/>
      <c r="B75" s="28"/>
      <c r="C75" s="164"/>
      <c r="D75" s="170"/>
      <c r="E75" s="188" t="s">
        <v>123</v>
      </c>
      <c r="F75" s="188" t="s">
        <v>35</v>
      </c>
      <c r="G75" s="189">
        <f t="shared" si="1"/>
        <v>0.014</v>
      </c>
      <c r="H75" s="190">
        <f>vlookup(E75, Prices!$A:$G,7,)*G75</f>
        <v>560</v>
      </c>
      <c r="I75" s="191" t="str">
        <f t="shared" si="10"/>
        <v/>
      </c>
      <c r="J75" s="190">
        <f>vlookup(E75, Prices!$A:$G,7,)*I75</f>
        <v>0</v>
      </c>
      <c r="K75" s="191" t="str">
        <f t="shared" si="11"/>
        <v/>
      </c>
      <c r="L75" s="190">
        <f>vlookup(E75, Prices!$A:$G,7,)*K75</f>
        <v>0</v>
      </c>
      <c r="M75" s="231"/>
      <c r="N75" s="234"/>
      <c r="O75" s="235"/>
      <c r="P75" s="163"/>
      <c r="Q75" s="236"/>
      <c r="R75" s="28"/>
      <c r="S75" s="237"/>
      <c r="T75" s="28"/>
      <c r="U75" s="237"/>
      <c r="V75" s="28"/>
      <c r="W75" s="28"/>
      <c r="X75" s="28"/>
      <c r="Y75" s="28"/>
      <c r="Z75" s="28"/>
      <c r="AA75" s="28"/>
      <c r="AB75" s="28"/>
    </row>
    <row r="76" ht="16.5" customHeight="1">
      <c r="A76" s="28"/>
      <c r="B76" s="28"/>
      <c r="C76" s="164"/>
      <c r="D76" s="170"/>
      <c r="E76" s="188" t="s">
        <v>130</v>
      </c>
      <c r="F76" s="188" t="s">
        <v>35</v>
      </c>
      <c r="G76" s="189">
        <f t="shared" si="1"/>
        <v>0.008</v>
      </c>
      <c r="H76" s="190">
        <f>vlookup(E76, Prices!$A:$G,7,)*G76</f>
        <v>448</v>
      </c>
      <c r="I76" s="191" t="str">
        <f t="shared" si="10"/>
        <v/>
      </c>
      <c r="J76" s="190">
        <f>vlookup(E76, Prices!$A:$G,7,)*I76</f>
        <v>0</v>
      </c>
      <c r="K76" s="191" t="str">
        <f t="shared" si="11"/>
        <v/>
      </c>
      <c r="L76" s="190">
        <f>vlookup(E76, Prices!$A:$G,7,)*K76</f>
        <v>0</v>
      </c>
      <c r="M76" s="231"/>
      <c r="N76" s="234"/>
      <c r="O76" s="235"/>
      <c r="P76" s="163"/>
      <c r="Q76" s="236"/>
      <c r="R76" s="28"/>
      <c r="S76" s="237"/>
      <c r="T76" s="28"/>
      <c r="U76" s="237"/>
      <c r="V76" s="28"/>
      <c r="W76" s="28"/>
      <c r="X76" s="28"/>
      <c r="Y76" s="28"/>
      <c r="Z76" s="28"/>
      <c r="AA76" s="28"/>
      <c r="AB76" s="28"/>
    </row>
    <row r="77" ht="16.5" customHeight="1">
      <c r="A77" s="28"/>
      <c r="B77" s="28"/>
      <c r="C77" s="164"/>
      <c r="D77" s="170"/>
      <c r="E77" s="200" t="s">
        <v>119</v>
      </c>
      <c r="F77" s="188" t="s">
        <v>35</v>
      </c>
      <c r="G77" s="189">
        <f t="shared" si="1"/>
        <v>0.007</v>
      </c>
      <c r="H77" s="190">
        <f>vlookup(E77, Prices!$A:$G,7,)*G77</f>
        <v>420</v>
      </c>
      <c r="I77" s="191" t="str">
        <f t="shared" si="10"/>
        <v/>
      </c>
      <c r="J77" s="190">
        <f>vlookup(E77, Prices!$A:$G,7,)*I77</f>
        <v>0</v>
      </c>
      <c r="K77" s="191" t="str">
        <f t="shared" si="11"/>
        <v/>
      </c>
      <c r="L77" s="190">
        <f>vlookup(E77, Prices!$A:$G,7,)*K77</f>
        <v>0</v>
      </c>
      <c r="M77" s="231"/>
      <c r="N77" s="234"/>
      <c r="O77" s="235"/>
      <c r="P77" s="163"/>
      <c r="Q77" s="236"/>
      <c r="R77" s="28"/>
      <c r="S77" s="237"/>
      <c r="T77" s="28"/>
      <c r="U77" s="237"/>
      <c r="V77" s="28"/>
      <c r="W77" s="28"/>
      <c r="X77" s="28"/>
      <c r="Y77" s="28"/>
      <c r="Z77" s="28"/>
      <c r="AA77" s="28"/>
      <c r="AB77" s="28"/>
    </row>
    <row r="78" ht="16.5" customHeight="1">
      <c r="A78" s="28"/>
      <c r="B78" s="28"/>
      <c r="C78" s="164"/>
      <c r="D78" s="170"/>
      <c r="E78" s="188" t="s">
        <v>23</v>
      </c>
      <c r="F78" s="188" t="s">
        <v>25</v>
      </c>
      <c r="G78" s="189">
        <f t="shared" si="1"/>
        <v>0.181</v>
      </c>
      <c r="H78" s="190">
        <f>vlookup(E78, Prices!$A:$G,7,)*G78</f>
        <v>387.8571429</v>
      </c>
      <c r="I78" s="191" t="str">
        <f t="shared" si="10"/>
        <v/>
      </c>
      <c r="J78" s="190">
        <f>vlookup(E78, Prices!$A:$G,7,)*I78</f>
        <v>0</v>
      </c>
      <c r="K78" s="191" t="str">
        <f t="shared" si="11"/>
        <v/>
      </c>
      <c r="L78" s="190">
        <f>vlookup(E78, Prices!$A:$G,7,)*K78</f>
        <v>0</v>
      </c>
      <c r="M78" s="231"/>
      <c r="N78" s="234"/>
      <c r="O78" s="235"/>
      <c r="P78" s="163"/>
      <c r="Q78" s="236"/>
      <c r="R78" s="28"/>
      <c r="S78" s="237"/>
      <c r="T78" s="28"/>
      <c r="U78" s="237"/>
      <c r="V78" s="28"/>
      <c r="W78" s="28"/>
      <c r="X78" s="28"/>
      <c r="Y78" s="28"/>
      <c r="Z78" s="28"/>
      <c r="AA78" s="28"/>
      <c r="AB78" s="28"/>
    </row>
    <row r="79" ht="16.5" customHeight="1">
      <c r="A79" s="28"/>
      <c r="B79" s="28"/>
      <c r="C79" s="164"/>
      <c r="D79" s="170"/>
      <c r="E79" s="188" t="s">
        <v>133</v>
      </c>
      <c r="F79" s="188" t="s">
        <v>35</v>
      </c>
      <c r="G79" s="189">
        <f t="shared" si="1"/>
        <v>0.006</v>
      </c>
      <c r="H79" s="190">
        <f>vlookup(E79, Prices!$A:$G,7,)*G79</f>
        <v>384</v>
      </c>
      <c r="I79" s="191" t="str">
        <f t="shared" si="10"/>
        <v/>
      </c>
      <c r="J79" s="190">
        <f>vlookup(E79, Prices!$A:$G,7,)*I79</f>
        <v>0</v>
      </c>
      <c r="K79" s="191" t="str">
        <f t="shared" si="11"/>
        <v/>
      </c>
      <c r="L79" s="190">
        <f>vlookup(E79, Prices!$A:$G,7,)*K79</f>
        <v>0</v>
      </c>
      <c r="M79" s="231"/>
      <c r="N79" s="234"/>
      <c r="O79" s="235"/>
      <c r="P79" s="163"/>
      <c r="Q79" s="236"/>
      <c r="R79" s="28"/>
      <c r="S79" s="237"/>
      <c r="T79" s="28"/>
      <c r="U79" s="237"/>
      <c r="V79" s="28"/>
      <c r="W79" s="28"/>
      <c r="X79" s="28"/>
      <c r="Y79" s="28"/>
      <c r="Z79" s="28"/>
      <c r="AA79" s="28"/>
      <c r="AB79" s="28"/>
    </row>
    <row r="80" ht="16.5" customHeight="1">
      <c r="A80" s="28"/>
      <c r="B80" s="28"/>
      <c r="C80" s="164"/>
      <c r="D80" s="170"/>
      <c r="E80" s="188" t="s">
        <v>99</v>
      </c>
      <c r="F80" s="188" t="s">
        <v>35</v>
      </c>
      <c r="G80" s="189">
        <f t="shared" si="1"/>
        <v>0.007</v>
      </c>
      <c r="H80" s="190">
        <f>vlookup(E80, Prices!$A:$G,7,)*G80</f>
        <v>322</v>
      </c>
      <c r="I80" s="191" t="str">
        <f t="shared" si="10"/>
        <v/>
      </c>
      <c r="J80" s="190">
        <f>vlookup(E80, Prices!$A:$G,7,)*I80</f>
        <v>0</v>
      </c>
      <c r="K80" s="191" t="str">
        <f t="shared" si="11"/>
        <v/>
      </c>
      <c r="L80" s="190">
        <f>vlookup(E80, Prices!$A:$G,7,)*K80</f>
        <v>0</v>
      </c>
      <c r="M80" s="231"/>
      <c r="N80" s="234"/>
      <c r="O80" s="235"/>
      <c r="P80" s="163"/>
      <c r="Q80" s="236"/>
      <c r="R80" s="28"/>
      <c r="S80" s="237"/>
      <c r="T80" s="28"/>
      <c r="U80" s="237"/>
      <c r="V80" s="28"/>
      <c r="W80" s="28"/>
      <c r="X80" s="28"/>
      <c r="Y80" s="28"/>
      <c r="Z80" s="28"/>
      <c r="AA80" s="28"/>
      <c r="AB80" s="28"/>
    </row>
    <row r="81" ht="16.5" customHeight="1">
      <c r="A81" s="28"/>
      <c r="B81" s="28"/>
      <c r="C81" s="164"/>
      <c r="D81" s="170"/>
      <c r="E81" s="188" t="s">
        <v>109</v>
      </c>
      <c r="F81" s="188" t="s">
        <v>35</v>
      </c>
      <c r="G81" s="189">
        <f t="shared" si="1"/>
        <v>0.006</v>
      </c>
      <c r="H81" s="190">
        <f>vlookup(E81, Prices!$A:$G,7,)*G81</f>
        <v>300</v>
      </c>
      <c r="I81" s="191" t="str">
        <f t="shared" si="10"/>
        <v/>
      </c>
      <c r="J81" s="190">
        <f>vlookup(E81, Prices!$A:$G,7,)*I81</f>
        <v>0</v>
      </c>
      <c r="K81" s="191" t="str">
        <f t="shared" si="11"/>
        <v/>
      </c>
      <c r="L81" s="190">
        <f>vlookup(E81, Prices!$A:$G,7,)*K81</f>
        <v>0</v>
      </c>
      <c r="M81" s="231"/>
      <c r="N81" s="234"/>
      <c r="O81" s="235"/>
      <c r="P81" s="163"/>
      <c r="Q81" s="236"/>
      <c r="R81" s="28"/>
      <c r="S81" s="237"/>
      <c r="T81" s="28"/>
      <c r="U81" s="237"/>
      <c r="V81" s="28"/>
      <c r="W81" s="28"/>
      <c r="X81" s="28"/>
      <c r="Y81" s="28"/>
      <c r="Z81" s="28"/>
      <c r="AA81" s="28"/>
      <c r="AB81" s="28"/>
    </row>
    <row r="82" ht="16.5" customHeight="1">
      <c r="A82" s="28"/>
      <c r="B82" s="28"/>
      <c r="C82" s="164"/>
      <c r="D82" s="170"/>
      <c r="E82" s="200" t="s">
        <v>126</v>
      </c>
      <c r="F82" s="188" t="s">
        <v>35</v>
      </c>
      <c r="G82" s="189">
        <f t="shared" si="1"/>
        <v>0.004</v>
      </c>
      <c r="H82" s="190">
        <f>vlookup(E82, Prices!$A:$G,7,)*G82</f>
        <v>280</v>
      </c>
      <c r="I82" s="191" t="str">
        <f t="shared" si="10"/>
        <v/>
      </c>
      <c r="J82" s="190">
        <f>vlookup(E82, Prices!$A:$G,7,)*I82</f>
        <v>0</v>
      </c>
      <c r="K82" s="191" t="str">
        <f t="shared" si="11"/>
        <v/>
      </c>
      <c r="L82" s="190">
        <f>vlookup(E82, Prices!$A:$G,7,)*K82</f>
        <v>0</v>
      </c>
      <c r="M82" s="231"/>
      <c r="N82" s="234"/>
      <c r="O82" s="235"/>
      <c r="P82" s="163"/>
      <c r="Q82" s="236"/>
      <c r="R82" s="28"/>
      <c r="S82" s="237"/>
      <c r="T82" s="28"/>
      <c r="U82" s="237"/>
      <c r="V82" s="28"/>
      <c r="W82" s="28"/>
      <c r="X82" s="28"/>
      <c r="Y82" s="28"/>
      <c r="Z82" s="28"/>
      <c r="AA82" s="28"/>
      <c r="AB82" s="28"/>
    </row>
    <row r="83" ht="16.5" customHeight="1">
      <c r="A83" s="28"/>
      <c r="B83" s="28"/>
      <c r="C83" s="164"/>
      <c r="D83" s="170"/>
      <c r="E83" s="188" t="s">
        <v>74</v>
      </c>
      <c r="F83" s="188" t="s">
        <v>25</v>
      </c>
      <c r="G83" s="189">
        <f t="shared" si="1"/>
        <v>0.024</v>
      </c>
      <c r="H83" s="190">
        <f>vlookup(E83, Prices!$A:$G,7,)*G83</f>
        <v>250.4347826</v>
      </c>
      <c r="I83" s="191" t="str">
        <f t="shared" si="10"/>
        <v/>
      </c>
      <c r="J83" s="190">
        <f>vlookup(E83, Prices!$A:$G,7,)*I83</f>
        <v>0</v>
      </c>
      <c r="K83" s="191" t="str">
        <f t="shared" si="11"/>
        <v/>
      </c>
      <c r="L83" s="190">
        <f>vlookup(E83, Prices!$A:$G,7,)*K83</f>
        <v>0</v>
      </c>
      <c r="M83" s="231"/>
      <c r="N83" s="234"/>
      <c r="O83" s="235"/>
      <c r="P83" s="163"/>
      <c r="Q83" s="236"/>
      <c r="R83" s="28"/>
      <c r="S83" s="237"/>
      <c r="T83" s="28"/>
      <c r="U83" s="237"/>
      <c r="V83" s="28"/>
      <c r="W83" s="28"/>
      <c r="X83" s="28"/>
      <c r="Y83" s="28"/>
      <c r="Z83" s="28"/>
      <c r="AA83" s="28"/>
      <c r="AB83" s="28"/>
    </row>
    <row r="84" ht="16.5" customHeight="1">
      <c r="A84" s="28"/>
      <c r="B84" s="28"/>
      <c r="C84" s="164"/>
      <c r="D84" s="170"/>
      <c r="E84" s="188" t="s">
        <v>148</v>
      </c>
      <c r="F84" s="188" t="s">
        <v>35</v>
      </c>
      <c r="G84" s="189">
        <f t="shared" si="1"/>
        <v>1.361</v>
      </c>
      <c r="H84" s="190">
        <f>vlookup(E84, Prices!$A:$G,7,)*G84</f>
        <v>217.76</v>
      </c>
      <c r="I84" s="191" t="str">
        <f t="shared" si="10"/>
        <v/>
      </c>
      <c r="J84" s="190">
        <f>vlookup(E84, Prices!$A:$G,7,)*I84</f>
        <v>0</v>
      </c>
      <c r="K84" s="191" t="str">
        <f t="shared" si="11"/>
        <v/>
      </c>
      <c r="L84" s="190">
        <f>vlookup(E84, Prices!$A:$G,7,)*K84</f>
        <v>0</v>
      </c>
      <c r="M84" s="231"/>
      <c r="N84" s="234"/>
      <c r="O84" s="235"/>
      <c r="P84" s="163"/>
      <c r="Q84" s="236"/>
      <c r="R84" s="28"/>
      <c r="S84" s="237"/>
      <c r="T84" s="28"/>
      <c r="U84" s="237"/>
      <c r="V84" s="28"/>
      <c r="W84" s="28"/>
      <c r="X84" s="28"/>
      <c r="Y84" s="28"/>
      <c r="Z84" s="28"/>
      <c r="AA84" s="28"/>
      <c r="AB84" s="28"/>
    </row>
    <row r="85" ht="16.5" customHeight="1">
      <c r="A85" s="28"/>
      <c r="B85" s="28"/>
      <c r="C85" s="164"/>
      <c r="D85" s="170"/>
      <c r="E85" s="188" t="s">
        <v>52</v>
      </c>
      <c r="F85" s="188" t="s">
        <v>51</v>
      </c>
      <c r="G85" s="189">
        <f t="shared" si="1"/>
        <v>0.008</v>
      </c>
      <c r="H85" s="190">
        <f>vlookup(E85, Prices!$A:$G,7,)*G85</f>
        <v>192.6163724</v>
      </c>
      <c r="I85" s="191" t="str">
        <f t="shared" si="10"/>
        <v/>
      </c>
      <c r="J85" s="190">
        <f>vlookup(E85, Prices!$A:$G,7,)*I85</f>
        <v>0</v>
      </c>
      <c r="K85" s="191" t="str">
        <f t="shared" si="11"/>
        <v/>
      </c>
      <c r="L85" s="190">
        <f>vlookup(E85, Prices!$A:$G,7,)*K85</f>
        <v>0</v>
      </c>
      <c r="M85" s="231"/>
      <c r="N85" s="234"/>
      <c r="O85" s="235"/>
      <c r="P85" s="163"/>
      <c r="Q85" s="236"/>
      <c r="R85" s="28"/>
      <c r="S85" s="237"/>
      <c r="T85" s="28"/>
      <c r="U85" s="237"/>
      <c r="V85" s="28"/>
      <c r="W85" s="28"/>
      <c r="X85" s="28"/>
      <c r="Y85" s="28"/>
      <c r="Z85" s="28"/>
      <c r="AA85" s="28"/>
      <c r="AB85" s="28"/>
    </row>
    <row r="86" ht="16.5" customHeight="1">
      <c r="A86" s="28"/>
      <c r="B86" s="28"/>
      <c r="C86" s="164"/>
      <c r="D86" s="170"/>
      <c r="E86" s="188" t="s">
        <v>160</v>
      </c>
      <c r="F86" s="188" t="s">
        <v>35</v>
      </c>
      <c r="G86" s="189">
        <f t="shared" si="1"/>
        <v>0.005</v>
      </c>
      <c r="H86" s="190">
        <f>vlookup(E86, Prices!$A:$G,7,)*G86</f>
        <v>166.6666667</v>
      </c>
      <c r="I86" s="191" t="str">
        <f t="shared" si="10"/>
        <v/>
      </c>
      <c r="J86" s="190">
        <f>vlookup(E86, Prices!$A:$G,7,)*I86</f>
        <v>0</v>
      </c>
      <c r="K86" s="191" t="str">
        <f t="shared" si="11"/>
        <v/>
      </c>
      <c r="L86" s="190">
        <f>vlookup(E86, Prices!$A:$G,7,)*K86</f>
        <v>0</v>
      </c>
      <c r="M86" s="231"/>
      <c r="N86" s="234"/>
      <c r="O86" s="235"/>
      <c r="P86" s="163"/>
      <c r="Q86" s="236"/>
      <c r="R86" s="28"/>
      <c r="S86" s="237"/>
      <c r="T86" s="28"/>
      <c r="U86" s="237"/>
      <c r="V86" s="28"/>
      <c r="W86" s="28"/>
      <c r="X86" s="28"/>
      <c r="Y86" s="28"/>
      <c r="Z86" s="28"/>
      <c r="AA86" s="28"/>
      <c r="AB86" s="28"/>
    </row>
    <row r="87" ht="16.5" customHeight="1">
      <c r="A87" s="28"/>
      <c r="B87" s="28"/>
      <c r="C87" s="164"/>
      <c r="D87" s="170"/>
      <c r="E87" s="188" t="s">
        <v>61</v>
      </c>
      <c r="F87" s="188" t="s">
        <v>35</v>
      </c>
      <c r="G87" s="189">
        <f t="shared" si="1"/>
        <v>0.01</v>
      </c>
      <c r="H87" s="190">
        <f>vlookup(E87, Prices!$A:$G,7,)*G87</f>
        <v>150</v>
      </c>
      <c r="I87" s="191" t="str">
        <f t="shared" si="10"/>
        <v/>
      </c>
      <c r="J87" s="190">
        <f>vlookup(E87, Prices!$A:$G,7,)*I87</f>
        <v>0</v>
      </c>
      <c r="K87" s="191" t="str">
        <f t="shared" si="11"/>
        <v/>
      </c>
      <c r="L87" s="190">
        <f>vlookup(E87, Prices!$A:$G,7,)*K87</f>
        <v>0</v>
      </c>
      <c r="M87" s="231"/>
      <c r="N87" s="234"/>
      <c r="O87" s="235"/>
      <c r="P87" s="163"/>
      <c r="Q87" s="236"/>
      <c r="R87" s="28"/>
      <c r="S87" s="237"/>
      <c r="T87" s="28"/>
      <c r="U87" s="237"/>
      <c r="V87" s="28"/>
      <c r="W87" s="28"/>
      <c r="X87" s="28"/>
      <c r="Y87" s="28"/>
      <c r="Z87" s="28"/>
      <c r="AA87" s="28"/>
      <c r="AB87" s="28"/>
    </row>
    <row r="88" ht="16.5" customHeight="1">
      <c r="A88" s="28"/>
      <c r="B88" s="28"/>
      <c r="C88" s="164"/>
      <c r="D88" s="170"/>
      <c r="E88" s="188" t="s">
        <v>121</v>
      </c>
      <c r="F88" s="188" t="s">
        <v>35</v>
      </c>
      <c r="G88" s="189">
        <f t="shared" si="1"/>
        <v>0.007</v>
      </c>
      <c r="H88" s="190">
        <f>vlookup(E88, Prices!$A:$G,7,)*G88</f>
        <v>140</v>
      </c>
      <c r="I88" s="191" t="str">
        <f t="shared" si="10"/>
        <v/>
      </c>
      <c r="J88" s="190">
        <f>vlookup(E88, Prices!$A:$G,7,)*I88</f>
        <v>0</v>
      </c>
      <c r="K88" s="191" t="str">
        <f t="shared" si="11"/>
        <v/>
      </c>
      <c r="L88" s="190">
        <f>vlookup(E88, Prices!$A:$G,7,)*K88</f>
        <v>0</v>
      </c>
      <c r="M88" s="231"/>
      <c r="N88" s="234"/>
      <c r="O88" s="235"/>
      <c r="P88" s="163"/>
      <c r="Q88" s="236"/>
      <c r="R88" s="28"/>
      <c r="S88" s="237"/>
      <c r="T88" s="28"/>
      <c r="U88" s="237"/>
      <c r="V88" s="28"/>
      <c r="W88" s="28"/>
      <c r="X88" s="28"/>
      <c r="Y88" s="28"/>
      <c r="Z88" s="28"/>
      <c r="AA88" s="28"/>
      <c r="AB88" s="28"/>
    </row>
    <row r="89" ht="16.5" customHeight="1">
      <c r="A89" s="28"/>
      <c r="B89" s="28"/>
      <c r="C89" s="164"/>
      <c r="D89" s="170"/>
      <c r="E89" s="200" t="s">
        <v>53</v>
      </c>
      <c r="F89" s="188" t="s">
        <v>35</v>
      </c>
      <c r="G89" s="189">
        <f t="shared" si="1"/>
        <v>0.007</v>
      </c>
      <c r="H89" s="190">
        <f>vlookup(E89, Prices!$A:$G,7,)*G89</f>
        <v>126</v>
      </c>
      <c r="I89" s="191" t="str">
        <f t="shared" si="10"/>
        <v/>
      </c>
      <c r="J89" s="190">
        <f>vlookup(E89, Prices!$A:$G,7,)*I89</f>
        <v>0</v>
      </c>
      <c r="K89" s="191" t="str">
        <f t="shared" si="11"/>
        <v/>
      </c>
      <c r="L89" s="190">
        <f>vlookup(E89, Prices!$A:$G,7,)*K89</f>
        <v>0</v>
      </c>
      <c r="M89" s="231"/>
      <c r="N89" s="234"/>
      <c r="O89" s="235"/>
      <c r="P89" s="163"/>
      <c r="Q89" s="236"/>
      <c r="R89" s="28"/>
      <c r="S89" s="237"/>
      <c r="T89" s="28"/>
      <c r="U89" s="237"/>
      <c r="V89" s="28"/>
      <c r="W89" s="28"/>
      <c r="X89" s="28"/>
      <c r="Y89" s="28"/>
      <c r="Z89" s="28"/>
      <c r="AA89" s="28"/>
      <c r="AB89" s="28"/>
    </row>
    <row r="90" ht="16.5" customHeight="1">
      <c r="A90" s="28"/>
      <c r="B90" s="28"/>
      <c r="C90" s="164"/>
      <c r="D90" s="170"/>
      <c r="E90" s="188" t="s">
        <v>129</v>
      </c>
      <c r="F90" s="188" t="s">
        <v>35</v>
      </c>
      <c r="G90" s="189">
        <f t="shared" si="1"/>
        <v>0.005</v>
      </c>
      <c r="H90" s="190">
        <f>vlookup(E90, Prices!$A:$G,7,)*G90</f>
        <v>115</v>
      </c>
      <c r="I90" s="191" t="str">
        <f t="shared" si="10"/>
        <v/>
      </c>
      <c r="J90" s="190">
        <f>vlookup(E90, Prices!$A:$G,7,)*I90</f>
        <v>0</v>
      </c>
      <c r="K90" s="191" t="str">
        <f t="shared" si="11"/>
        <v/>
      </c>
      <c r="L90" s="190">
        <f>vlookup(E90, Prices!$A:$G,7,)*K90</f>
        <v>0</v>
      </c>
      <c r="M90" s="231"/>
      <c r="N90" s="234"/>
      <c r="O90" s="235"/>
      <c r="P90" s="163"/>
      <c r="Q90" s="236"/>
      <c r="R90" s="28"/>
      <c r="S90" s="237"/>
      <c r="T90" s="28"/>
      <c r="U90" s="237"/>
      <c r="V90" s="28"/>
      <c r="W90" s="28"/>
      <c r="X90" s="28"/>
      <c r="Y90" s="28"/>
      <c r="Z90" s="28"/>
      <c r="AA90" s="28"/>
      <c r="AB90" s="28"/>
    </row>
    <row r="91" ht="16.5" customHeight="1">
      <c r="A91" s="28"/>
      <c r="B91" s="28"/>
      <c r="C91" s="164"/>
      <c r="D91" s="170"/>
      <c r="E91" s="188" t="s">
        <v>118</v>
      </c>
      <c r="F91" s="188" t="s">
        <v>35</v>
      </c>
      <c r="G91" s="189">
        <f t="shared" si="1"/>
        <v>0.002</v>
      </c>
      <c r="H91" s="190">
        <f>vlookup(E91, Prices!$A:$G,7,)*G91</f>
        <v>92</v>
      </c>
      <c r="I91" s="191" t="str">
        <f t="shared" si="10"/>
        <v/>
      </c>
      <c r="J91" s="190">
        <f>vlookup(E91, Prices!$A:$G,7,)*I91</f>
        <v>0</v>
      </c>
      <c r="K91" s="191" t="str">
        <f t="shared" si="11"/>
        <v/>
      </c>
      <c r="L91" s="190">
        <f>vlookup(E91, Prices!$A:$G,7,)*K91</f>
        <v>0</v>
      </c>
      <c r="M91" s="231"/>
      <c r="N91" s="234"/>
      <c r="O91" s="235"/>
      <c r="P91" s="163"/>
      <c r="Q91" s="236"/>
      <c r="R91" s="28"/>
      <c r="S91" s="237"/>
      <c r="T91" s="28"/>
      <c r="U91" s="237"/>
      <c r="V91" s="28"/>
      <c r="W91" s="28"/>
      <c r="X91" s="28"/>
      <c r="Y91" s="28"/>
      <c r="Z91" s="28"/>
      <c r="AA91" s="28"/>
      <c r="AB91" s="28"/>
    </row>
    <row r="92" ht="16.5" customHeight="1">
      <c r="A92" s="28"/>
      <c r="B92" s="28"/>
      <c r="C92" s="164"/>
      <c r="D92" s="170"/>
      <c r="E92" s="188" t="s">
        <v>108</v>
      </c>
      <c r="F92" s="188" t="s">
        <v>35</v>
      </c>
      <c r="G92" s="189">
        <f t="shared" si="1"/>
        <v>0.004</v>
      </c>
      <c r="H92" s="190">
        <f>vlookup(E92, Prices!$A:$G,7,)*G92</f>
        <v>80</v>
      </c>
      <c r="I92" s="191" t="str">
        <f t="shared" si="10"/>
        <v/>
      </c>
      <c r="J92" s="190">
        <f>vlookup(E92, Prices!$A:$G,7,)*I92</f>
        <v>0</v>
      </c>
      <c r="K92" s="191" t="str">
        <f t="shared" si="11"/>
        <v/>
      </c>
      <c r="L92" s="190">
        <f>vlookup(E92, Prices!$A:$G,7,)*K92</f>
        <v>0</v>
      </c>
      <c r="M92" s="231"/>
      <c r="N92" s="234"/>
      <c r="O92" s="235"/>
      <c r="P92" s="163"/>
      <c r="Q92" s="236"/>
      <c r="R92" s="28"/>
      <c r="S92" s="237"/>
      <c r="T92" s="28"/>
      <c r="U92" s="237"/>
      <c r="V92" s="28"/>
      <c r="W92" s="28"/>
      <c r="X92" s="28"/>
      <c r="Y92" s="28"/>
      <c r="Z92" s="28"/>
      <c r="AA92" s="28"/>
      <c r="AB92" s="28"/>
    </row>
    <row r="93" ht="16.5" customHeight="1">
      <c r="A93" s="28"/>
      <c r="B93" s="28"/>
      <c r="C93" s="164"/>
      <c r="D93" s="170"/>
      <c r="E93" s="240" t="s">
        <v>174</v>
      </c>
      <c r="F93" s="188" t="s">
        <v>14</v>
      </c>
      <c r="G93" s="189">
        <f t="shared" si="1"/>
        <v>0.002</v>
      </c>
      <c r="H93" s="190">
        <f>vlookup(E93, Prices!$A:$G,7,)*G93</f>
        <v>80</v>
      </c>
      <c r="I93" s="191" t="str">
        <f t="shared" si="10"/>
        <v/>
      </c>
      <c r="J93" s="190">
        <f>vlookup(E93, Prices!$A:$G,7,)*I93</f>
        <v>0</v>
      </c>
      <c r="K93" s="191" t="str">
        <f t="shared" si="11"/>
        <v/>
      </c>
      <c r="L93" s="190">
        <f>vlookup(E93, Prices!$A:$G,7,)*K93</f>
        <v>0</v>
      </c>
      <c r="M93" s="231"/>
      <c r="N93" s="234"/>
      <c r="O93" s="235"/>
      <c r="P93" s="163"/>
      <c r="Q93" s="236"/>
      <c r="R93" s="28"/>
      <c r="S93" s="237"/>
      <c r="T93" s="28"/>
      <c r="U93" s="237"/>
      <c r="V93" s="28"/>
      <c r="W93" s="28"/>
      <c r="X93" s="28"/>
      <c r="Y93" s="28"/>
      <c r="Z93" s="28"/>
      <c r="AA93" s="28"/>
      <c r="AB93" s="28"/>
    </row>
    <row r="94" ht="16.5" customHeight="1">
      <c r="A94" s="28"/>
      <c r="B94" s="28"/>
      <c r="C94" s="164"/>
      <c r="D94" s="170"/>
      <c r="E94" s="188" t="s">
        <v>161</v>
      </c>
      <c r="F94" s="188" t="s">
        <v>35</v>
      </c>
      <c r="G94" s="189">
        <f t="shared" si="1"/>
        <v>0.001</v>
      </c>
      <c r="H94" s="190">
        <f>vlookup(E94, Prices!$A:$G,7,)*G94</f>
        <v>40</v>
      </c>
      <c r="I94" s="191" t="str">
        <f t="shared" si="10"/>
        <v/>
      </c>
      <c r="J94" s="190">
        <f>vlookup(E94, Prices!$A:$G,7,)*I94</f>
        <v>0</v>
      </c>
      <c r="K94" s="191" t="str">
        <f t="shared" si="11"/>
        <v/>
      </c>
      <c r="L94" s="190">
        <f>vlookup(E94, Prices!$A:$G,7,)*K94</f>
        <v>0</v>
      </c>
      <c r="M94" s="231"/>
      <c r="N94" s="234"/>
      <c r="O94" s="235"/>
      <c r="P94" s="163"/>
      <c r="Q94" s="236"/>
      <c r="R94" s="28"/>
      <c r="S94" s="237"/>
      <c r="T94" s="28"/>
      <c r="U94" s="237"/>
      <c r="V94" s="28"/>
      <c r="W94" s="28"/>
      <c r="X94" s="28"/>
      <c r="Y94" s="28"/>
      <c r="Z94" s="28"/>
      <c r="AA94" s="28"/>
      <c r="AB94" s="28"/>
    </row>
    <row r="95" ht="16.5" customHeight="1">
      <c r="A95" s="28"/>
      <c r="B95" s="28"/>
      <c r="C95" s="164"/>
      <c r="D95" s="170"/>
      <c r="E95" s="240" t="s">
        <v>143</v>
      </c>
      <c r="F95" s="206" t="s">
        <v>35</v>
      </c>
      <c r="G95" s="189">
        <f t="shared" si="1"/>
        <v>0.002</v>
      </c>
      <c r="H95" s="190">
        <f>vlookup(E95, Prices!$A:$G,7,)*G95</f>
        <v>40</v>
      </c>
      <c r="I95" s="191" t="str">
        <f t="shared" si="10"/>
        <v/>
      </c>
      <c r="J95" s="190">
        <f>vlookup(E95, Prices!$A:$G,7,)*I95</f>
        <v>0</v>
      </c>
      <c r="K95" s="191" t="str">
        <f t="shared" si="11"/>
        <v/>
      </c>
      <c r="L95" s="190">
        <f>vlookup(E95, Prices!$A:$G,7,)*K95</f>
        <v>0</v>
      </c>
      <c r="M95" s="231"/>
      <c r="N95" s="234"/>
      <c r="O95" s="235"/>
      <c r="P95" s="163"/>
      <c r="Q95" s="236"/>
      <c r="R95" s="28"/>
      <c r="S95" s="237"/>
      <c r="T95" s="28"/>
      <c r="U95" s="237"/>
      <c r="V95" s="28"/>
      <c r="W95" s="28"/>
      <c r="X95" s="28"/>
      <c r="Y95" s="28"/>
      <c r="Z95" s="28"/>
      <c r="AA95" s="28"/>
      <c r="AB95" s="28"/>
    </row>
    <row r="96" ht="16.5" customHeight="1">
      <c r="A96" s="28"/>
      <c r="B96" s="28"/>
      <c r="C96" s="164"/>
      <c r="D96" s="170"/>
      <c r="E96" s="200" t="s">
        <v>231</v>
      </c>
      <c r="F96" s="200" t="s">
        <v>35</v>
      </c>
      <c r="G96" s="189">
        <f t="shared" si="1"/>
        <v>0.012</v>
      </c>
      <c r="H96" s="190">
        <f>vlookup(E96, Prices!$A:$G,7,)*G96</f>
        <v>33.6</v>
      </c>
      <c r="I96" s="191" t="str">
        <f t="shared" si="10"/>
        <v/>
      </c>
      <c r="J96" s="190">
        <f>vlookup(E96, Prices!$A:$G,7,)*I96</f>
        <v>0</v>
      </c>
      <c r="K96" s="191" t="str">
        <f t="shared" si="11"/>
        <v/>
      </c>
      <c r="L96" s="190">
        <f>vlookup(E96, Prices!$A:$G,7,)*K96</f>
        <v>0</v>
      </c>
      <c r="M96" s="231"/>
      <c r="N96" s="234"/>
      <c r="O96" s="235"/>
      <c r="P96" s="163"/>
      <c r="Q96" s="236"/>
      <c r="R96" s="28"/>
      <c r="S96" s="237"/>
      <c r="T96" s="28"/>
      <c r="U96" s="237"/>
      <c r="V96" s="28"/>
      <c r="W96" s="28"/>
      <c r="X96" s="28"/>
      <c r="Y96" s="28"/>
      <c r="Z96" s="28"/>
      <c r="AA96" s="28"/>
      <c r="AB96" s="28"/>
    </row>
    <row r="97" ht="16.5" customHeight="1">
      <c r="A97" s="28"/>
      <c r="B97" s="28"/>
      <c r="C97" s="164"/>
      <c r="D97" s="170"/>
      <c r="E97" s="188" t="s">
        <v>195</v>
      </c>
      <c r="F97" s="188" t="s">
        <v>35</v>
      </c>
      <c r="G97" s="189">
        <f t="shared" si="1"/>
        <v>0.003</v>
      </c>
      <c r="H97" s="190">
        <f>vlookup(E97, Prices!$A:$G,7,)*G97</f>
        <v>21</v>
      </c>
      <c r="I97" s="191" t="str">
        <f t="shared" si="10"/>
        <v/>
      </c>
      <c r="J97" s="190">
        <f>vlookup(E97, Prices!$A:$G,7,)*I97</f>
        <v>0</v>
      </c>
      <c r="K97" s="191" t="str">
        <f t="shared" si="11"/>
        <v/>
      </c>
      <c r="L97" s="190">
        <f>vlookup(E97, Prices!$A:$G,7,)*K97</f>
        <v>0</v>
      </c>
      <c r="M97" s="231"/>
      <c r="N97" s="234"/>
      <c r="O97" s="235"/>
      <c r="P97" s="163"/>
      <c r="Q97" s="236"/>
      <c r="R97" s="28"/>
      <c r="S97" s="237"/>
      <c r="T97" s="28"/>
      <c r="U97" s="237"/>
      <c r="V97" s="28"/>
      <c r="W97" s="28"/>
      <c r="X97" s="28"/>
      <c r="Y97" s="28"/>
      <c r="Z97" s="28"/>
      <c r="AA97" s="28"/>
      <c r="AB97" s="28"/>
    </row>
    <row r="98" ht="16.5" customHeight="1">
      <c r="A98" s="28"/>
      <c r="B98" s="28"/>
      <c r="C98" s="164"/>
      <c r="D98" s="170"/>
      <c r="E98" s="188" t="s">
        <v>225</v>
      </c>
      <c r="F98" s="188" t="s">
        <v>35</v>
      </c>
      <c r="G98" s="189">
        <f t="shared" si="1"/>
        <v>0.002</v>
      </c>
      <c r="H98" s="190">
        <f>vlookup(E98, Prices!$A:$G,7,)*G98</f>
        <v>18</v>
      </c>
      <c r="I98" s="191" t="str">
        <f t="shared" si="10"/>
        <v/>
      </c>
      <c r="J98" s="190">
        <f>vlookup(E98, Prices!$A:$G,7,)*I98</f>
        <v>0</v>
      </c>
      <c r="K98" s="191" t="str">
        <f t="shared" si="11"/>
        <v/>
      </c>
      <c r="L98" s="190">
        <f>vlookup(E98, Prices!$A:$G,7,)*K98</f>
        <v>0</v>
      </c>
      <c r="M98" s="231"/>
      <c r="N98" s="234"/>
      <c r="O98" s="235"/>
      <c r="P98" s="163"/>
      <c r="Q98" s="236"/>
      <c r="R98" s="28"/>
      <c r="S98" s="237"/>
      <c r="T98" s="28"/>
      <c r="U98" s="237"/>
      <c r="V98" s="28"/>
      <c r="W98" s="28"/>
      <c r="X98" s="28"/>
      <c r="Y98" s="28"/>
      <c r="Z98" s="28"/>
      <c r="AA98" s="28"/>
      <c r="AB98" s="28"/>
    </row>
    <row r="99" ht="16.5" customHeight="1">
      <c r="A99" s="28"/>
      <c r="B99" s="28"/>
      <c r="C99" s="164"/>
      <c r="D99" s="170"/>
      <c r="E99" s="188" t="s">
        <v>114</v>
      </c>
      <c r="F99" s="206" t="s">
        <v>202</v>
      </c>
      <c r="G99" s="189">
        <f t="shared" si="1"/>
        <v>0.004</v>
      </c>
      <c r="H99" s="190">
        <f>vlookup(E99, Prices!$A:$G,7,)*G99</f>
        <v>12</v>
      </c>
      <c r="I99" s="191" t="str">
        <f t="shared" si="10"/>
        <v/>
      </c>
      <c r="J99" s="190">
        <f>vlookup(E99, Prices!$A:$G,7,)*I99</f>
        <v>0</v>
      </c>
      <c r="K99" s="191" t="str">
        <f t="shared" si="11"/>
        <v/>
      </c>
      <c r="L99" s="190">
        <f>vlookup(E99, Prices!$A:$G,7,)*K99</f>
        <v>0</v>
      </c>
      <c r="M99" s="231"/>
      <c r="N99" s="234"/>
      <c r="O99" s="235"/>
      <c r="P99" s="163"/>
      <c r="Q99" s="236"/>
      <c r="R99" s="28"/>
      <c r="S99" s="237"/>
      <c r="T99" s="28"/>
      <c r="U99" s="237"/>
      <c r="V99" s="28"/>
      <c r="W99" s="28"/>
      <c r="X99" s="28"/>
      <c r="Y99" s="28"/>
      <c r="Z99" s="28"/>
      <c r="AA99" s="28"/>
      <c r="AB99" s="28"/>
    </row>
    <row r="100" ht="16.5" customHeight="1">
      <c r="A100" s="28"/>
      <c r="B100" s="28"/>
      <c r="C100" s="164"/>
      <c r="D100" s="170"/>
      <c r="E100" s="188" t="s">
        <v>76</v>
      </c>
      <c r="F100" s="188" t="s">
        <v>35</v>
      </c>
      <c r="G100" s="189">
        <f t="shared" si="1"/>
        <v>0</v>
      </c>
      <c r="H100" s="190">
        <f>vlookup(E100, Prices!$A:$G,7,)*G100</f>
        <v>0</v>
      </c>
      <c r="I100" s="191" t="str">
        <f t="shared" si="10"/>
        <v/>
      </c>
      <c r="J100" s="190">
        <f>vlookup(E100, Prices!$A:$G,7,)*I100</f>
        <v>0</v>
      </c>
      <c r="K100" s="191" t="str">
        <f t="shared" si="11"/>
        <v/>
      </c>
      <c r="L100" s="190">
        <f>vlookup(E100, Prices!$A:$G,7,)*K100</f>
        <v>0</v>
      </c>
      <c r="M100" s="231"/>
      <c r="N100" s="28"/>
      <c r="O100" s="235"/>
      <c r="P100" s="163"/>
      <c r="Q100" s="236"/>
      <c r="R100" s="28"/>
      <c r="S100" s="237"/>
      <c r="T100" s="28"/>
      <c r="U100" s="237"/>
      <c r="V100" s="28"/>
      <c r="W100" s="28"/>
      <c r="X100" s="28"/>
      <c r="Y100" s="28"/>
      <c r="Z100" s="28"/>
      <c r="AA100" s="28"/>
      <c r="AB100" s="28"/>
    </row>
    <row r="101" ht="16.5" customHeight="1">
      <c r="A101" s="28"/>
      <c r="B101" s="28"/>
      <c r="C101" s="164"/>
      <c r="D101" s="170"/>
      <c r="E101" s="188" t="s">
        <v>218</v>
      </c>
      <c r="F101" s="188" t="s">
        <v>17</v>
      </c>
      <c r="G101" s="189">
        <f t="shared" si="1"/>
        <v>0</v>
      </c>
      <c r="H101" s="190">
        <f>vlookup(E101, Prices!$A:$G,7,)*G101</f>
        <v>0</v>
      </c>
      <c r="I101" s="191" t="str">
        <f t="shared" si="10"/>
        <v/>
      </c>
      <c r="J101" s="190">
        <f>vlookup(E101, Prices!$A:$G,7,)*I101</f>
        <v>0</v>
      </c>
      <c r="K101" s="191" t="str">
        <f t="shared" si="11"/>
        <v/>
      </c>
      <c r="L101" s="190">
        <f>vlookup(E101, Prices!$A:$G,7,)*K101</f>
        <v>0</v>
      </c>
      <c r="M101" s="231"/>
      <c r="N101" s="28"/>
      <c r="O101" s="235"/>
      <c r="P101" s="163"/>
      <c r="Q101" s="236"/>
      <c r="R101" s="28"/>
      <c r="S101" s="237"/>
      <c r="T101" s="28"/>
      <c r="U101" s="237"/>
      <c r="V101" s="28"/>
      <c r="W101" s="28"/>
      <c r="X101" s="28"/>
      <c r="Y101" s="28"/>
      <c r="Z101" s="28"/>
      <c r="AA101" s="28"/>
      <c r="AB101" s="28"/>
    </row>
    <row r="102" ht="16.5" customHeight="1">
      <c r="A102" s="28"/>
      <c r="B102" s="28"/>
      <c r="C102" s="164"/>
      <c r="D102" s="170"/>
      <c r="E102" s="188" t="s">
        <v>185</v>
      </c>
      <c r="F102" s="188" t="s">
        <v>17</v>
      </c>
      <c r="G102" s="189">
        <f t="shared" si="1"/>
        <v>0</v>
      </c>
      <c r="H102" s="190">
        <f>vlookup(E102, Prices!$A:$G,7,)*G102</f>
        <v>0</v>
      </c>
      <c r="I102" s="191" t="str">
        <f t="shared" si="10"/>
        <v/>
      </c>
      <c r="J102" s="190">
        <f>vlookup(E102, Prices!$A:$G,7,)*I102</f>
        <v>0</v>
      </c>
      <c r="K102" s="191" t="str">
        <f t="shared" si="11"/>
        <v/>
      </c>
      <c r="L102" s="190">
        <f>vlookup(E102, Prices!$A:$G,7,)*K102</f>
        <v>0</v>
      </c>
      <c r="M102" s="231"/>
      <c r="N102" s="28"/>
      <c r="O102" s="235"/>
      <c r="P102" s="163"/>
      <c r="Q102" s="236"/>
      <c r="R102" s="28"/>
      <c r="S102" s="237"/>
      <c r="T102" s="28"/>
      <c r="U102" s="237"/>
      <c r="V102" s="28"/>
      <c r="W102" s="28"/>
      <c r="X102" s="28"/>
      <c r="Y102" s="28"/>
      <c r="Z102" s="28"/>
      <c r="AA102" s="28"/>
      <c r="AB102" s="28"/>
    </row>
    <row r="103" ht="16.5" customHeight="1">
      <c r="A103" s="28"/>
      <c r="B103" s="28"/>
      <c r="C103" s="164"/>
      <c r="D103" s="170"/>
      <c r="E103" s="188" t="s">
        <v>205</v>
      </c>
      <c r="F103" s="188" t="s">
        <v>202</v>
      </c>
      <c r="G103" s="189">
        <f t="shared" si="1"/>
        <v>0</v>
      </c>
      <c r="H103" s="190">
        <f>vlookup(E103, Prices!$A:$G,7,)*G103</f>
        <v>0</v>
      </c>
      <c r="I103" s="191" t="str">
        <f t="shared" si="10"/>
        <v/>
      </c>
      <c r="J103" s="190">
        <f>vlookup(E103, Prices!$A:$G,7,)*I103</f>
        <v>0</v>
      </c>
      <c r="K103" s="191" t="str">
        <f t="shared" si="11"/>
        <v/>
      </c>
      <c r="L103" s="190">
        <f>vlookup(E103, Prices!$A:$G,7,)*K103</f>
        <v>0</v>
      </c>
      <c r="M103" s="231"/>
      <c r="N103" s="28"/>
      <c r="O103" s="235"/>
      <c r="P103" s="163"/>
      <c r="Q103" s="236"/>
      <c r="R103" s="28"/>
      <c r="S103" s="237"/>
      <c r="T103" s="28"/>
      <c r="U103" s="237"/>
      <c r="V103" s="28"/>
      <c r="W103" s="28"/>
      <c r="X103" s="28"/>
      <c r="Y103" s="28"/>
      <c r="Z103" s="28"/>
      <c r="AA103" s="28"/>
      <c r="AB103" s="28"/>
    </row>
    <row r="104" ht="16.5" customHeight="1">
      <c r="A104" s="28"/>
      <c r="B104" s="28"/>
      <c r="C104" s="164"/>
      <c r="D104" s="170"/>
      <c r="E104" s="188" t="s">
        <v>91</v>
      </c>
      <c r="F104" s="188" t="s">
        <v>25</v>
      </c>
      <c r="G104" s="189">
        <f t="shared" si="1"/>
        <v>0</v>
      </c>
      <c r="H104" s="190">
        <f>vlookup(E104, Prices!$A:$G,7,)*G104</f>
        <v>0</v>
      </c>
      <c r="I104" s="191" t="str">
        <f t="shared" si="10"/>
        <v/>
      </c>
      <c r="J104" s="190">
        <f>vlookup(E104, Prices!$A:$G,7,)*I104</f>
        <v>0</v>
      </c>
      <c r="K104" s="191" t="str">
        <f t="shared" si="11"/>
        <v/>
      </c>
      <c r="L104" s="190">
        <f>vlookup(E104, Prices!$A:$G,7,)*K104</f>
        <v>0</v>
      </c>
      <c r="M104" s="231"/>
      <c r="N104" s="28"/>
      <c r="O104" s="235"/>
      <c r="P104" s="163"/>
      <c r="Q104" s="236"/>
      <c r="R104" s="28"/>
      <c r="S104" s="237"/>
      <c r="T104" s="28"/>
      <c r="U104" s="237"/>
      <c r="V104" s="28"/>
      <c r="W104" s="28"/>
      <c r="X104" s="28"/>
      <c r="Y104" s="28"/>
      <c r="Z104" s="28"/>
      <c r="AA104" s="28"/>
      <c r="AB104" s="28"/>
    </row>
    <row r="105" ht="16.5" customHeight="1">
      <c r="A105" s="28"/>
      <c r="B105" s="28"/>
      <c r="C105" s="164"/>
      <c r="D105" s="170"/>
      <c r="E105" s="188" t="s">
        <v>164</v>
      </c>
      <c r="F105" s="188" t="s">
        <v>35</v>
      </c>
      <c r="G105" s="189">
        <f t="shared" si="1"/>
        <v>0</v>
      </c>
      <c r="H105" s="190">
        <f>vlookup(E105, Prices!$A:$G,7,)*G105</f>
        <v>0</v>
      </c>
      <c r="I105" s="191" t="str">
        <f t="shared" si="10"/>
        <v/>
      </c>
      <c r="J105" s="190">
        <f>vlookup(E105, Prices!$A:$G,7,)*I105</f>
        <v>0</v>
      </c>
      <c r="K105" s="191" t="str">
        <f t="shared" si="11"/>
        <v/>
      </c>
      <c r="L105" s="190">
        <f>vlookup(E105, Prices!$A:$G,7,)*K105</f>
        <v>0</v>
      </c>
      <c r="M105" s="231"/>
      <c r="N105" s="28"/>
      <c r="O105" s="235"/>
      <c r="P105" s="163"/>
      <c r="Q105" s="236"/>
      <c r="R105" s="28"/>
      <c r="S105" s="237"/>
      <c r="T105" s="28"/>
      <c r="U105" s="237"/>
      <c r="V105" s="28"/>
      <c r="W105" s="28"/>
      <c r="X105" s="28"/>
      <c r="Y105" s="28"/>
      <c r="Z105" s="28"/>
      <c r="AA105" s="28"/>
      <c r="AB105" s="28"/>
    </row>
    <row r="106" ht="16.5" customHeight="1">
      <c r="A106" s="28"/>
      <c r="B106" s="28"/>
      <c r="C106" s="164"/>
      <c r="D106" s="170"/>
      <c r="E106" s="188" t="s">
        <v>44</v>
      </c>
      <c r="F106" s="188" t="s">
        <v>25</v>
      </c>
      <c r="G106" s="189">
        <f t="shared" si="1"/>
        <v>0</v>
      </c>
      <c r="H106" s="190">
        <f>vlookup(E106, Prices!$A:$G,7,)*G106</f>
        <v>0</v>
      </c>
      <c r="I106" s="191" t="str">
        <f t="shared" si="10"/>
        <v/>
      </c>
      <c r="J106" s="190">
        <f>vlookup(E106, Prices!$A:$G,7,)*I106</f>
        <v>0</v>
      </c>
      <c r="K106" s="191" t="str">
        <f t="shared" si="11"/>
        <v/>
      </c>
      <c r="L106" s="190">
        <f>vlookup(E106, Prices!$A:$G,7,)*K106</f>
        <v>0</v>
      </c>
      <c r="M106" s="231"/>
      <c r="N106" s="28"/>
      <c r="O106" s="235"/>
      <c r="P106" s="163"/>
      <c r="Q106" s="236"/>
      <c r="R106" s="28"/>
      <c r="S106" s="237"/>
      <c r="T106" s="28"/>
      <c r="U106" s="237"/>
      <c r="V106" s="28"/>
      <c r="W106" s="28"/>
      <c r="X106" s="28"/>
      <c r="Y106" s="28"/>
      <c r="Z106" s="28"/>
      <c r="AA106" s="28"/>
      <c r="AB106" s="28"/>
    </row>
    <row r="107" ht="16.5" customHeight="1">
      <c r="A107" s="28"/>
      <c r="B107" s="28"/>
      <c r="C107" s="164"/>
      <c r="D107" s="170"/>
      <c r="E107" s="188" t="s">
        <v>120</v>
      </c>
      <c r="F107" s="188" t="s">
        <v>35</v>
      </c>
      <c r="G107" s="189">
        <f t="shared" si="1"/>
        <v>0</v>
      </c>
      <c r="H107" s="190">
        <f>vlookup(E107, Prices!$A:$G,7,)*G107</f>
        <v>0</v>
      </c>
      <c r="I107" s="191" t="str">
        <f t="shared" si="10"/>
        <v/>
      </c>
      <c r="J107" s="190">
        <f>vlookup(E107, Prices!$A:$G,7,)*I107</f>
        <v>0</v>
      </c>
      <c r="K107" s="191" t="str">
        <f t="shared" si="11"/>
        <v/>
      </c>
      <c r="L107" s="190">
        <f>vlookup(E107, Prices!$A:$G,7,)*K107</f>
        <v>0</v>
      </c>
      <c r="M107" s="231"/>
      <c r="N107" s="28"/>
      <c r="O107" s="235"/>
      <c r="P107" s="163"/>
      <c r="Q107" s="236"/>
      <c r="R107" s="28"/>
      <c r="S107" s="237"/>
      <c r="T107" s="28"/>
      <c r="U107" s="237"/>
      <c r="V107" s="28"/>
      <c r="W107" s="28"/>
      <c r="X107" s="28"/>
      <c r="Y107" s="28"/>
      <c r="Z107" s="28"/>
      <c r="AA107" s="28"/>
      <c r="AB107" s="28"/>
    </row>
    <row r="108" ht="16.5" customHeight="1">
      <c r="A108" s="28"/>
      <c r="B108" s="28"/>
      <c r="C108" s="164"/>
      <c r="D108" s="170"/>
      <c r="E108" s="188" t="s">
        <v>211</v>
      </c>
      <c r="F108" s="188" t="s">
        <v>202</v>
      </c>
      <c r="G108" s="189">
        <f t="shared" si="1"/>
        <v>0</v>
      </c>
      <c r="H108" s="190">
        <f>vlookup(E108, Prices!$A:$G,7,)*G108</f>
        <v>0</v>
      </c>
      <c r="I108" s="191" t="str">
        <f t="shared" si="10"/>
        <v/>
      </c>
      <c r="J108" s="190">
        <f>vlookup(E108, Prices!$A:$G,7,)*I108</f>
        <v>0</v>
      </c>
      <c r="K108" s="191" t="str">
        <f t="shared" si="11"/>
        <v/>
      </c>
      <c r="L108" s="190">
        <f>vlookup(E108, Prices!$A:$G,7,)*K108</f>
        <v>0</v>
      </c>
      <c r="M108" s="231"/>
      <c r="N108" s="28"/>
      <c r="O108" s="235"/>
      <c r="P108" s="163"/>
      <c r="Q108" s="236"/>
      <c r="R108" s="28"/>
      <c r="S108" s="237"/>
      <c r="T108" s="28"/>
      <c r="U108" s="237"/>
      <c r="V108" s="28"/>
      <c r="W108" s="28"/>
      <c r="X108" s="28"/>
      <c r="Y108" s="28"/>
      <c r="Z108" s="28"/>
      <c r="AA108" s="28"/>
      <c r="AB108" s="28"/>
    </row>
    <row r="109" ht="16.5" customHeight="1">
      <c r="A109" s="28"/>
      <c r="B109" s="28"/>
      <c r="C109" s="164"/>
      <c r="D109" s="170"/>
      <c r="E109" s="188" t="s">
        <v>131</v>
      </c>
      <c r="F109" s="188" t="s">
        <v>35</v>
      </c>
      <c r="G109" s="189">
        <f t="shared" si="1"/>
        <v>0</v>
      </c>
      <c r="H109" s="190">
        <f>vlookup(E109, Prices!$A:$G,7,)*G109</f>
        <v>0</v>
      </c>
      <c r="I109" s="191"/>
      <c r="J109" s="190">
        <f>vlookup(E109, Prices!$A:$G,7,)*I109</f>
        <v>0</v>
      </c>
      <c r="K109" s="191" t="str">
        <f t="shared" si="11"/>
        <v/>
      </c>
      <c r="L109" s="190">
        <f>vlookup(E109, Prices!$A:$G,7,)*K109</f>
        <v>0</v>
      </c>
      <c r="M109" s="231"/>
      <c r="N109" s="28"/>
      <c r="O109" s="235"/>
      <c r="P109" s="163"/>
      <c r="Q109" s="236"/>
      <c r="R109" s="28"/>
      <c r="S109" s="237"/>
      <c r="T109" s="28"/>
      <c r="U109" s="237"/>
      <c r="V109" s="28"/>
      <c r="W109" s="28"/>
      <c r="X109" s="28"/>
      <c r="Y109" s="28"/>
      <c r="Z109" s="28"/>
      <c r="AA109" s="28"/>
      <c r="AB109" s="28"/>
    </row>
    <row r="110" ht="16.5" customHeight="1">
      <c r="A110" s="28"/>
      <c r="B110" s="28"/>
      <c r="C110" s="164"/>
      <c r="D110" s="170"/>
      <c r="E110" s="188" t="s">
        <v>102</v>
      </c>
      <c r="F110" s="188" t="s">
        <v>35</v>
      </c>
      <c r="G110" s="189">
        <f t="shared" si="1"/>
        <v>0</v>
      </c>
      <c r="H110" s="190">
        <f>vlookup(E110, Prices!$A:$G,7,)*G110</f>
        <v>0</v>
      </c>
      <c r="I110" s="191" t="str">
        <f t="shared" ref="I110:I187" si="12">VLOOKUP(E110, INDIRECT("'" &amp; $A$1 &amp; "'!A:O"), 14, FALSE)
</f>
        <v/>
      </c>
      <c r="J110" s="190">
        <f>vlookup(E110, Prices!$A:$G,7,)*I110</f>
        <v>0</v>
      </c>
      <c r="K110" s="191" t="str">
        <f t="shared" si="11"/>
        <v/>
      </c>
      <c r="L110" s="190">
        <f>vlookup(E110, Prices!$A:$G,7,)*K110</f>
        <v>0</v>
      </c>
      <c r="M110" s="231"/>
      <c r="N110" s="28"/>
      <c r="O110" s="235"/>
      <c r="P110" s="163"/>
      <c r="Q110" s="236"/>
      <c r="R110" s="28"/>
      <c r="S110" s="237"/>
      <c r="T110" s="28"/>
      <c r="U110" s="237"/>
      <c r="V110" s="28"/>
      <c r="W110" s="28"/>
      <c r="X110" s="28"/>
      <c r="Y110" s="28"/>
      <c r="Z110" s="28"/>
      <c r="AA110" s="28"/>
      <c r="AB110" s="28"/>
    </row>
    <row r="111" ht="16.5" customHeight="1">
      <c r="A111" s="28"/>
      <c r="B111" s="28"/>
      <c r="C111" s="164"/>
      <c r="D111" s="170"/>
      <c r="E111" s="200" t="s">
        <v>233</v>
      </c>
      <c r="F111" s="200" t="s">
        <v>234</v>
      </c>
      <c r="G111" s="189">
        <f t="shared" si="1"/>
        <v>0</v>
      </c>
      <c r="H111" s="190">
        <f>vlookup(E111, Prices!$A:$G,7,)*G111</f>
        <v>0</v>
      </c>
      <c r="I111" s="191" t="str">
        <f t="shared" si="12"/>
        <v/>
      </c>
      <c r="J111" s="190">
        <f>vlookup(E111, Prices!$A:$G,7,)*I111</f>
        <v>0</v>
      </c>
      <c r="K111" s="191" t="str">
        <f t="shared" si="11"/>
        <v/>
      </c>
      <c r="L111" s="190">
        <f>vlookup(E111, Prices!$A:$G,7,)*K111</f>
        <v>0</v>
      </c>
      <c r="M111" s="231"/>
      <c r="N111" s="28"/>
      <c r="O111" s="235"/>
      <c r="P111" s="163"/>
      <c r="Q111" s="236"/>
      <c r="R111" s="28"/>
      <c r="S111" s="237"/>
      <c r="T111" s="28"/>
      <c r="U111" s="237"/>
      <c r="V111" s="28"/>
      <c r="W111" s="28"/>
      <c r="X111" s="28"/>
      <c r="Y111" s="28"/>
      <c r="Z111" s="28"/>
      <c r="AA111" s="28"/>
      <c r="AB111" s="28"/>
    </row>
    <row r="112" ht="16.5" customHeight="1">
      <c r="A112" s="28"/>
      <c r="B112" s="28"/>
      <c r="C112" s="164"/>
      <c r="D112" s="170"/>
      <c r="E112" s="200" t="s">
        <v>171</v>
      </c>
      <c r="F112" s="191" t="s">
        <v>14</v>
      </c>
      <c r="G112" s="189">
        <f t="shared" si="1"/>
        <v>0</v>
      </c>
      <c r="H112" s="190">
        <f>vlookup(E112, Prices!$A:$G,7,)*G112</f>
        <v>0</v>
      </c>
      <c r="I112" s="191" t="str">
        <f t="shared" si="12"/>
        <v/>
      </c>
      <c r="J112" s="190">
        <f>vlookup(E112, Prices!$A:$G,7,)*I112</f>
        <v>0</v>
      </c>
      <c r="K112" s="191" t="str">
        <f t="shared" si="11"/>
        <v/>
      </c>
      <c r="L112" s="190">
        <f>vlookup(E112, Prices!$A:$G,7,)*K112</f>
        <v>0</v>
      </c>
      <c r="M112" s="231"/>
      <c r="N112" s="28"/>
      <c r="O112" s="235"/>
      <c r="P112" s="163"/>
      <c r="Q112" s="236"/>
      <c r="R112" s="28"/>
      <c r="S112" s="237"/>
      <c r="T112" s="28"/>
      <c r="U112" s="237"/>
      <c r="V112" s="28"/>
      <c r="W112" s="28"/>
      <c r="X112" s="28"/>
      <c r="Y112" s="28"/>
      <c r="Z112" s="28"/>
      <c r="AA112" s="28"/>
      <c r="AB112" s="28"/>
    </row>
    <row r="113" ht="16.5" customHeight="1">
      <c r="A113" s="28"/>
      <c r="B113" s="28"/>
      <c r="C113" s="164"/>
      <c r="D113" s="170"/>
      <c r="E113" s="188" t="s">
        <v>215</v>
      </c>
      <c r="F113" s="188" t="s">
        <v>35</v>
      </c>
      <c r="G113" s="189">
        <f t="shared" si="1"/>
        <v>0</v>
      </c>
      <c r="H113" s="190">
        <f>vlookup(E113, Prices!$A:$G,7,)*G113</f>
        <v>0</v>
      </c>
      <c r="I113" s="191" t="str">
        <f t="shared" si="12"/>
        <v/>
      </c>
      <c r="J113" s="190">
        <f>vlookup(E113, Prices!$A:$G,7,)*I113</f>
        <v>0</v>
      </c>
      <c r="K113" s="191" t="str">
        <f t="shared" si="11"/>
        <v/>
      </c>
      <c r="L113" s="190">
        <f>vlookup(E113, Prices!$A:$G,7,)*K113</f>
        <v>0</v>
      </c>
      <c r="M113" s="231"/>
      <c r="N113" s="28"/>
      <c r="O113" s="235"/>
      <c r="P113" s="163"/>
      <c r="Q113" s="236"/>
      <c r="R113" s="28"/>
      <c r="S113" s="237"/>
      <c r="T113" s="28"/>
      <c r="U113" s="237"/>
      <c r="V113" s="28"/>
      <c r="W113" s="28"/>
      <c r="X113" s="28"/>
      <c r="Y113" s="28"/>
      <c r="Z113" s="28"/>
      <c r="AA113" s="28"/>
      <c r="AB113" s="28"/>
    </row>
    <row r="114" ht="16.5" customHeight="1">
      <c r="A114" s="28"/>
      <c r="B114" s="28"/>
      <c r="C114" s="164"/>
      <c r="D114" s="170"/>
      <c r="E114" s="241" t="s">
        <v>236</v>
      </c>
      <c r="F114" s="188" t="s">
        <v>35</v>
      </c>
      <c r="G114" s="189">
        <f t="shared" si="1"/>
        <v>0</v>
      </c>
      <c r="H114" s="190">
        <f>vlookup(E114, Prices!$A:$G,7,)*G114</f>
        <v>0</v>
      </c>
      <c r="I114" s="191" t="str">
        <f t="shared" si="12"/>
        <v/>
      </c>
      <c r="J114" s="190">
        <f>vlookup(E114, Prices!$A:$G,7,)*I114</f>
        <v>0</v>
      </c>
      <c r="K114" s="191" t="str">
        <f t="shared" si="11"/>
        <v/>
      </c>
      <c r="L114" s="190">
        <f>vlookup(E114, Prices!$A:$G,7,)*K114</f>
        <v>0</v>
      </c>
      <c r="M114" s="231"/>
      <c r="N114" s="28"/>
      <c r="O114" s="235"/>
      <c r="P114" s="163"/>
      <c r="Q114" s="236"/>
      <c r="R114" s="28"/>
      <c r="S114" s="237"/>
      <c r="T114" s="28"/>
      <c r="U114" s="237"/>
      <c r="V114" s="28"/>
      <c r="W114" s="28"/>
      <c r="X114" s="28"/>
      <c r="Y114" s="28"/>
      <c r="Z114" s="28"/>
      <c r="AA114" s="28"/>
      <c r="AB114" s="28"/>
    </row>
    <row r="115" ht="16.5" customHeight="1">
      <c r="A115" s="28"/>
      <c r="B115" s="28"/>
      <c r="C115" s="164"/>
      <c r="D115" s="170"/>
      <c r="E115" s="242" t="s">
        <v>235</v>
      </c>
      <c r="F115" s="200" t="s">
        <v>202</v>
      </c>
      <c r="G115" s="189">
        <f t="shared" si="1"/>
        <v>0</v>
      </c>
      <c r="H115" s="190">
        <f>vlookup(E115, Prices!$A:$G,7,)*G115</f>
        <v>0</v>
      </c>
      <c r="I115" s="191" t="str">
        <f t="shared" si="12"/>
        <v/>
      </c>
      <c r="J115" s="190">
        <f>vlookup(E115, Prices!$A:$G,7,)*I115</f>
        <v>0</v>
      </c>
      <c r="K115" s="191" t="str">
        <f t="shared" si="11"/>
        <v/>
      </c>
      <c r="L115" s="190">
        <f>vlookup(E115, Prices!$A:$G,7,)*K115</f>
        <v>0</v>
      </c>
      <c r="M115" s="231"/>
      <c r="N115" s="28"/>
      <c r="O115" s="235"/>
      <c r="P115" s="163"/>
      <c r="Q115" s="236"/>
      <c r="R115" s="28"/>
      <c r="S115" s="237"/>
      <c r="T115" s="28"/>
      <c r="U115" s="237"/>
      <c r="V115" s="28"/>
      <c r="W115" s="28"/>
      <c r="X115" s="28"/>
      <c r="Y115" s="28"/>
      <c r="Z115" s="28"/>
      <c r="AA115" s="28"/>
      <c r="AB115" s="28"/>
    </row>
    <row r="116" ht="16.5" customHeight="1">
      <c r="A116" s="28"/>
      <c r="B116" s="28"/>
      <c r="C116" s="164"/>
      <c r="D116" s="170"/>
      <c r="E116" s="188" t="s">
        <v>204</v>
      </c>
      <c r="F116" s="188" t="s">
        <v>202</v>
      </c>
      <c r="G116" s="189">
        <f t="shared" si="1"/>
        <v>0</v>
      </c>
      <c r="H116" s="190">
        <f>vlookup(E116, Prices!$A:$G,7,)*G116</f>
        <v>0</v>
      </c>
      <c r="I116" s="191" t="str">
        <f t="shared" si="12"/>
        <v/>
      </c>
      <c r="J116" s="190">
        <f>vlookup(E116, Prices!$A:$G,7,)*I116</f>
        <v>0</v>
      </c>
      <c r="K116" s="191" t="str">
        <f t="shared" si="11"/>
        <v/>
      </c>
      <c r="L116" s="190">
        <f>vlookup(E116, Prices!$A:$G,7,)*K116</f>
        <v>0</v>
      </c>
      <c r="M116" s="231"/>
      <c r="N116" s="28"/>
      <c r="O116" s="235"/>
      <c r="P116" s="163"/>
      <c r="Q116" s="236"/>
      <c r="R116" s="28"/>
      <c r="S116" s="237"/>
      <c r="T116" s="28"/>
      <c r="U116" s="237"/>
      <c r="V116" s="28"/>
      <c r="W116" s="28"/>
      <c r="X116" s="28"/>
      <c r="Y116" s="28"/>
      <c r="Z116" s="28"/>
      <c r="AA116" s="28"/>
      <c r="AB116" s="28"/>
    </row>
    <row r="117" ht="16.5" customHeight="1">
      <c r="A117" s="28"/>
      <c r="B117" s="28"/>
      <c r="C117" s="164"/>
      <c r="D117" s="170"/>
      <c r="E117" s="188" t="s">
        <v>157</v>
      </c>
      <c r="F117" s="188" t="s">
        <v>35</v>
      </c>
      <c r="G117" s="189">
        <f t="shared" si="1"/>
        <v>0</v>
      </c>
      <c r="H117" s="190">
        <f>vlookup(E117, Prices!$A:$G,7,)*G117</f>
        <v>0</v>
      </c>
      <c r="I117" s="191" t="str">
        <f t="shared" si="12"/>
        <v/>
      </c>
      <c r="J117" s="190">
        <f>vlookup(E117, Prices!$A:$G,7,)*I117</f>
        <v>0</v>
      </c>
      <c r="K117" s="191" t="str">
        <f t="shared" si="11"/>
        <v/>
      </c>
      <c r="L117" s="190">
        <f>vlookup(E117, Prices!$A:$G,7,)*K117</f>
        <v>0</v>
      </c>
      <c r="M117" s="231"/>
      <c r="N117" s="28"/>
      <c r="O117" s="235"/>
      <c r="P117" s="163"/>
      <c r="Q117" s="236"/>
      <c r="R117" s="28"/>
      <c r="S117" s="237"/>
      <c r="T117" s="28"/>
      <c r="U117" s="237"/>
      <c r="V117" s="28"/>
      <c r="W117" s="28"/>
      <c r="X117" s="28"/>
      <c r="Y117" s="28"/>
      <c r="Z117" s="28"/>
      <c r="AA117" s="28"/>
      <c r="AB117" s="28"/>
    </row>
    <row r="118" ht="16.5" customHeight="1">
      <c r="A118" s="28"/>
      <c r="B118" s="28"/>
      <c r="C118" s="164"/>
      <c r="D118" s="170"/>
      <c r="E118" s="188" t="s">
        <v>22</v>
      </c>
      <c r="F118" s="226" t="s">
        <v>17</v>
      </c>
      <c r="G118" s="189">
        <f t="shared" si="1"/>
        <v>0</v>
      </c>
      <c r="H118" s="190">
        <f>vlookup(E118, Prices!$A:$G,7,)*G118</f>
        <v>0</v>
      </c>
      <c r="I118" s="191" t="str">
        <f t="shared" si="12"/>
        <v/>
      </c>
      <c r="J118" s="190">
        <f>vlookup(E118, Prices!$A:$G,7,)*I118</f>
        <v>0</v>
      </c>
      <c r="K118" s="191" t="str">
        <f t="shared" si="11"/>
        <v/>
      </c>
      <c r="L118" s="190">
        <f>vlookup(E118, Prices!$A:$G,7,)*K118</f>
        <v>0</v>
      </c>
      <c r="M118" s="231"/>
      <c r="N118" s="28"/>
      <c r="O118" s="235"/>
      <c r="P118" s="163"/>
      <c r="Q118" s="236"/>
      <c r="R118" s="28"/>
      <c r="S118" s="237"/>
      <c r="T118" s="28"/>
      <c r="U118" s="237"/>
      <c r="V118" s="28"/>
      <c r="W118" s="28"/>
      <c r="X118" s="28"/>
      <c r="Y118" s="28"/>
      <c r="Z118" s="28"/>
      <c r="AA118" s="28"/>
      <c r="AB118" s="28"/>
    </row>
    <row r="119" ht="16.5" customHeight="1">
      <c r="A119" s="28"/>
      <c r="B119" s="28"/>
      <c r="C119" s="164"/>
      <c r="D119" s="170"/>
      <c r="E119" s="188" t="s">
        <v>100</v>
      </c>
      <c r="F119" s="188" t="s">
        <v>35</v>
      </c>
      <c r="G119" s="189">
        <f t="shared" si="1"/>
        <v>0</v>
      </c>
      <c r="H119" s="190">
        <f>vlookup(E119, Prices!$A:$G,7,)*G119</f>
        <v>0</v>
      </c>
      <c r="I119" s="191" t="str">
        <f t="shared" si="12"/>
        <v/>
      </c>
      <c r="J119" s="190">
        <f>vlookup(E119, Prices!$A:$G,7,)*I119</f>
        <v>0</v>
      </c>
      <c r="K119" s="191" t="str">
        <f t="shared" si="11"/>
        <v/>
      </c>
      <c r="L119" s="190">
        <f>vlookup(E119, Prices!$A:$G,7,)*K119</f>
        <v>0</v>
      </c>
      <c r="M119" s="231"/>
      <c r="N119" s="28"/>
      <c r="O119" s="235"/>
      <c r="P119" s="163"/>
      <c r="Q119" s="236"/>
      <c r="R119" s="28"/>
      <c r="S119" s="237"/>
      <c r="T119" s="28"/>
      <c r="U119" s="237"/>
      <c r="V119" s="28"/>
      <c r="W119" s="28"/>
      <c r="X119" s="28"/>
      <c r="Y119" s="28"/>
      <c r="Z119" s="28"/>
      <c r="AA119" s="28"/>
      <c r="AB119" s="28"/>
    </row>
    <row r="120" ht="16.5" customHeight="1">
      <c r="A120" s="28"/>
      <c r="B120" s="28"/>
      <c r="C120" s="164"/>
      <c r="D120" s="170"/>
      <c r="E120" s="188" t="s">
        <v>182</v>
      </c>
      <c r="F120" s="188" t="s">
        <v>35</v>
      </c>
      <c r="G120" s="189">
        <f t="shared" si="1"/>
        <v>0</v>
      </c>
      <c r="H120" s="190">
        <f>vlookup(E120, Prices!$A:$G,7,)*G120</f>
        <v>0</v>
      </c>
      <c r="I120" s="191" t="str">
        <f t="shared" si="12"/>
        <v/>
      </c>
      <c r="J120" s="190">
        <f>vlookup(E120, Prices!$A:$G,7,)*I120</f>
        <v>0</v>
      </c>
      <c r="K120" s="191" t="str">
        <f t="shared" si="11"/>
        <v/>
      </c>
      <c r="L120" s="190">
        <f>vlookup(E120, Prices!$A:$G,7,)*K120</f>
        <v>0</v>
      </c>
      <c r="M120" s="231"/>
      <c r="N120" s="28"/>
      <c r="O120" s="235"/>
      <c r="P120" s="163"/>
      <c r="Q120" s="236"/>
      <c r="R120" s="28"/>
      <c r="S120" s="237"/>
      <c r="T120" s="28"/>
      <c r="U120" s="237"/>
      <c r="V120" s="28"/>
      <c r="W120" s="28"/>
      <c r="X120" s="28"/>
      <c r="Y120" s="28"/>
      <c r="Z120" s="28"/>
      <c r="AA120" s="28"/>
      <c r="AB120" s="28"/>
    </row>
    <row r="121" ht="16.5" customHeight="1">
      <c r="A121" s="28"/>
      <c r="B121" s="28"/>
      <c r="C121" s="164"/>
      <c r="D121" s="170"/>
      <c r="E121" s="188" t="s">
        <v>105</v>
      </c>
      <c r="F121" s="188" t="s">
        <v>35</v>
      </c>
      <c r="G121" s="189">
        <f t="shared" si="1"/>
        <v>0</v>
      </c>
      <c r="H121" s="190">
        <f>vlookup(E121, Prices!$A:$G,7,)*G121</f>
        <v>0</v>
      </c>
      <c r="I121" s="191" t="str">
        <f t="shared" si="12"/>
        <v/>
      </c>
      <c r="J121" s="190">
        <f>vlookup(E121, Prices!$A:$G,7,)*I121</f>
        <v>0</v>
      </c>
      <c r="K121" s="191" t="str">
        <f t="shared" si="11"/>
        <v/>
      </c>
      <c r="L121" s="190">
        <f>vlookup(E121, Prices!$A:$G,7,)*K121</f>
        <v>0</v>
      </c>
      <c r="M121" s="231"/>
      <c r="N121" s="28"/>
      <c r="O121" s="235"/>
      <c r="P121" s="163"/>
      <c r="Q121" s="236"/>
      <c r="R121" s="28"/>
      <c r="S121" s="237"/>
      <c r="T121" s="28"/>
      <c r="U121" s="237"/>
      <c r="V121" s="28"/>
      <c r="W121" s="28"/>
      <c r="X121" s="28"/>
      <c r="Y121" s="28"/>
      <c r="Z121" s="28"/>
      <c r="AA121" s="28"/>
      <c r="AB121" s="28"/>
    </row>
    <row r="122" ht="16.5" customHeight="1">
      <c r="A122" s="28"/>
      <c r="B122" s="28"/>
      <c r="C122" s="164"/>
      <c r="D122" s="170"/>
      <c r="E122" s="188" t="s">
        <v>212</v>
      </c>
      <c r="F122" s="188" t="s">
        <v>202</v>
      </c>
      <c r="G122" s="189">
        <f t="shared" si="1"/>
        <v>0</v>
      </c>
      <c r="H122" s="190">
        <f>vlookup(E122, Prices!$A:$G,7,)*G122</f>
        <v>0</v>
      </c>
      <c r="I122" s="191" t="str">
        <f t="shared" si="12"/>
        <v/>
      </c>
      <c r="J122" s="190">
        <f>vlookup(E122, Prices!$A:$G,7,)*I122</f>
        <v>0</v>
      </c>
      <c r="K122" s="191" t="str">
        <f t="shared" si="11"/>
        <v/>
      </c>
      <c r="L122" s="190">
        <f>vlookup(E122, Prices!$A:$G,7,)*K122</f>
        <v>0</v>
      </c>
      <c r="M122" s="231"/>
      <c r="N122" s="28"/>
      <c r="O122" s="235"/>
      <c r="P122" s="163"/>
      <c r="Q122" s="236"/>
      <c r="R122" s="28"/>
      <c r="S122" s="237"/>
      <c r="T122" s="28"/>
      <c r="U122" s="237"/>
      <c r="V122" s="28"/>
      <c r="W122" s="28"/>
      <c r="X122" s="28"/>
      <c r="Y122" s="28"/>
      <c r="Z122" s="28"/>
      <c r="AA122" s="28"/>
      <c r="AB122" s="28"/>
    </row>
    <row r="123" ht="16.5" customHeight="1">
      <c r="A123" s="28"/>
      <c r="B123" s="28"/>
      <c r="C123" s="164"/>
      <c r="D123" s="170"/>
      <c r="E123" s="188" t="s">
        <v>128</v>
      </c>
      <c r="F123" s="188" t="s">
        <v>35</v>
      </c>
      <c r="G123" s="189">
        <f t="shared" si="1"/>
        <v>0</v>
      </c>
      <c r="H123" s="190">
        <f>vlookup(E123, Prices!$A:$G,7,)*G123</f>
        <v>0</v>
      </c>
      <c r="I123" s="191" t="str">
        <f t="shared" si="12"/>
        <v/>
      </c>
      <c r="J123" s="190">
        <f>vlookup(E123, Prices!$A:$G,7,)*I123</f>
        <v>0</v>
      </c>
      <c r="K123" s="191" t="str">
        <f t="shared" si="11"/>
        <v/>
      </c>
      <c r="L123" s="190">
        <f>vlookup(E123, Prices!$A:$G,7,)*K123</f>
        <v>0</v>
      </c>
      <c r="M123" s="231"/>
      <c r="N123" s="28"/>
      <c r="O123" s="235"/>
      <c r="P123" s="163"/>
      <c r="Q123" s="236"/>
      <c r="R123" s="28"/>
      <c r="S123" s="237"/>
      <c r="T123" s="28"/>
      <c r="U123" s="237"/>
      <c r="V123" s="28"/>
      <c r="W123" s="28"/>
      <c r="X123" s="28"/>
      <c r="Y123" s="28"/>
      <c r="Z123" s="28"/>
      <c r="AA123" s="28"/>
      <c r="AB123" s="28"/>
    </row>
    <row r="124" ht="16.5" customHeight="1">
      <c r="A124" s="28"/>
      <c r="B124" s="28"/>
      <c r="C124" s="164"/>
      <c r="D124" s="170"/>
      <c r="E124" s="188" t="s">
        <v>154</v>
      </c>
      <c r="F124" s="188" t="s">
        <v>35</v>
      </c>
      <c r="G124" s="189">
        <f t="shared" si="1"/>
        <v>0</v>
      </c>
      <c r="H124" s="190">
        <f>vlookup(E124, Prices!$A:$G,7,)*G124</f>
        <v>0</v>
      </c>
      <c r="I124" s="191" t="str">
        <f t="shared" si="12"/>
        <v/>
      </c>
      <c r="J124" s="190">
        <f>vlookup(E124, Prices!$A:$G,7,)*I124</f>
        <v>0</v>
      </c>
      <c r="K124" s="191" t="str">
        <f t="shared" si="11"/>
        <v/>
      </c>
      <c r="L124" s="190">
        <f>vlookup(E124, Prices!$A:$G,7,)*K124</f>
        <v>0</v>
      </c>
      <c r="M124" s="231"/>
      <c r="N124" s="28"/>
      <c r="O124" s="235"/>
      <c r="P124" s="163"/>
      <c r="Q124" s="236"/>
      <c r="R124" s="28"/>
      <c r="S124" s="237"/>
      <c r="T124" s="28"/>
      <c r="U124" s="237"/>
      <c r="V124" s="28"/>
      <c r="W124" s="28"/>
      <c r="X124" s="28"/>
      <c r="Y124" s="28"/>
      <c r="Z124" s="28"/>
      <c r="AA124" s="28"/>
      <c r="AB124" s="28"/>
    </row>
    <row r="125" ht="16.5" customHeight="1">
      <c r="A125" s="28"/>
      <c r="B125" s="28"/>
      <c r="C125" s="164"/>
      <c r="D125" s="170"/>
      <c r="E125" s="188" t="s">
        <v>154</v>
      </c>
      <c r="F125" s="226" t="s">
        <v>155</v>
      </c>
      <c r="G125" s="189">
        <f t="shared" si="1"/>
        <v>0</v>
      </c>
      <c r="H125" s="190">
        <f>vlookup(E125, Prices!$A:$G,7,)*G125</f>
        <v>0</v>
      </c>
      <c r="I125" s="191" t="str">
        <f t="shared" si="12"/>
        <v/>
      </c>
      <c r="J125" s="190">
        <f>vlookup(E125, Prices!$A:$G,7,)*I125</f>
        <v>0</v>
      </c>
      <c r="K125" s="191" t="str">
        <f t="shared" si="11"/>
        <v/>
      </c>
      <c r="L125" s="190">
        <f>vlookup(E125, Prices!$A:$G,7,)*K125</f>
        <v>0</v>
      </c>
      <c r="M125" s="231"/>
      <c r="N125" s="28"/>
      <c r="O125" s="235"/>
      <c r="P125" s="163"/>
      <c r="Q125" s="236"/>
      <c r="R125" s="28"/>
      <c r="S125" s="237"/>
      <c r="T125" s="28"/>
      <c r="U125" s="237"/>
      <c r="V125" s="28"/>
      <c r="W125" s="28"/>
      <c r="X125" s="28"/>
      <c r="Y125" s="28"/>
      <c r="Z125" s="28"/>
      <c r="AA125" s="28"/>
      <c r="AB125" s="28"/>
    </row>
    <row r="126" ht="16.5" customHeight="1">
      <c r="A126" s="28"/>
      <c r="B126" s="28"/>
      <c r="C126" s="164"/>
      <c r="D126" s="170"/>
      <c r="E126" s="200" t="s">
        <v>124</v>
      </c>
      <c r="F126" s="188" t="s">
        <v>35</v>
      </c>
      <c r="G126" s="189">
        <f t="shared" si="1"/>
        <v>0</v>
      </c>
      <c r="H126" s="190">
        <f>vlookup(E126, Prices!$A:$G,7,)*G126</f>
        <v>0</v>
      </c>
      <c r="I126" s="191" t="str">
        <f t="shared" si="12"/>
        <v/>
      </c>
      <c r="J126" s="190">
        <f>vlookup(E126, Prices!$A:$G,7,)*I126</f>
        <v>0</v>
      </c>
      <c r="K126" s="191" t="str">
        <f t="shared" si="11"/>
        <v/>
      </c>
      <c r="L126" s="190">
        <f>vlookup(E126, Prices!$A:$G,7,)*K126</f>
        <v>0</v>
      </c>
      <c r="M126" s="231"/>
      <c r="N126" s="28"/>
      <c r="O126" s="235"/>
      <c r="P126" s="163"/>
      <c r="Q126" s="236"/>
      <c r="R126" s="28"/>
      <c r="S126" s="237"/>
      <c r="T126" s="28"/>
      <c r="U126" s="237"/>
      <c r="V126" s="28"/>
      <c r="W126" s="28"/>
      <c r="X126" s="28"/>
      <c r="Y126" s="28"/>
      <c r="Z126" s="28"/>
      <c r="AA126" s="28"/>
      <c r="AB126" s="28"/>
    </row>
    <row r="127" ht="16.5" customHeight="1">
      <c r="A127" s="28"/>
      <c r="B127" s="28"/>
      <c r="C127" s="164"/>
      <c r="D127" s="170"/>
      <c r="E127" s="200" t="s">
        <v>93</v>
      </c>
      <c r="F127" s="188" t="s">
        <v>25</v>
      </c>
      <c r="G127" s="189">
        <f t="shared" si="1"/>
        <v>0</v>
      </c>
      <c r="H127" s="190">
        <f>vlookup(E127, Prices!$A:$G,7,)*G127</f>
        <v>0</v>
      </c>
      <c r="I127" s="191" t="str">
        <f t="shared" si="12"/>
        <v/>
      </c>
      <c r="J127" s="190">
        <f>vlookup(E127, Prices!$A:$G,7,)*I127</f>
        <v>0</v>
      </c>
      <c r="K127" s="191" t="str">
        <f t="shared" si="11"/>
        <v/>
      </c>
      <c r="L127" s="190">
        <f>vlookup(E127, Prices!$A:$G,7,)*K127</f>
        <v>0</v>
      </c>
      <c r="M127" s="231"/>
      <c r="N127" s="28"/>
      <c r="O127" s="235"/>
      <c r="P127" s="163"/>
      <c r="Q127" s="236"/>
      <c r="R127" s="28"/>
      <c r="S127" s="237"/>
      <c r="T127" s="28"/>
      <c r="U127" s="237"/>
      <c r="V127" s="28"/>
      <c r="W127" s="28"/>
      <c r="X127" s="28"/>
      <c r="Y127" s="28"/>
      <c r="Z127" s="28"/>
      <c r="AA127" s="28"/>
      <c r="AB127" s="28"/>
    </row>
    <row r="128" ht="16.5" customHeight="1">
      <c r="A128" s="28"/>
      <c r="B128" s="28"/>
      <c r="C128" s="164"/>
      <c r="D128" s="170"/>
      <c r="E128" s="188" t="s">
        <v>64</v>
      </c>
      <c r="F128" s="188" t="s">
        <v>35</v>
      </c>
      <c r="G128" s="189">
        <f t="shared" si="1"/>
        <v>0</v>
      </c>
      <c r="H128" s="190">
        <f>vlookup(E128, Prices!$A:$G,7,)*G128</f>
        <v>0</v>
      </c>
      <c r="I128" s="191" t="str">
        <f t="shared" si="12"/>
        <v/>
      </c>
      <c r="J128" s="190">
        <f>vlookup(E128, Prices!$A:$G,7,)*I128</f>
        <v>0</v>
      </c>
      <c r="K128" s="191" t="str">
        <f t="shared" si="11"/>
        <v/>
      </c>
      <c r="L128" s="190">
        <f>vlookup(E128, Prices!$A:$G,7,)*K128</f>
        <v>0</v>
      </c>
      <c r="M128" s="231"/>
      <c r="N128" s="28"/>
      <c r="O128" s="235"/>
      <c r="P128" s="163"/>
      <c r="Q128" s="236"/>
      <c r="R128" s="28"/>
      <c r="S128" s="237"/>
      <c r="T128" s="28"/>
      <c r="U128" s="237"/>
      <c r="V128" s="28"/>
      <c r="W128" s="28"/>
      <c r="X128" s="28"/>
      <c r="Y128" s="28"/>
      <c r="Z128" s="28"/>
      <c r="AA128" s="28"/>
      <c r="AB128" s="28"/>
    </row>
    <row r="129" ht="16.5" customHeight="1">
      <c r="A129" s="28"/>
      <c r="B129" s="28"/>
      <c r="C129" s="164"/>
      <c r="D129" s="170"/>
      <c r="E129" s="188" t="s">
        <v>250</v>
      </c>
      <c r="F129" s="188" t="s">
        <v>35</v>
      </c>
      <c r="G129" s="189">
        <f t="shared" si="1"/>
        <v>0</v>
      </c>
      <c r="H129" s="190">
        <f>vlookup(E129, Prices!$A:$G,7,)*G129</f>
        <v>0</v>
      </c>
      <c r="I129" s="191" t="str">
        <f t="shared" si="12"/>
        <v/>
      </c>
      <c r="J129" s="190">
        <f>vlookup(E129, Prices!$A:$G,7,)*I129</f>
        <v>0</v>
      </c>
      <c r="K129" s="191" t="str">
        <f t="shared" si="11"/>
        <v/>
      </c>
      <c r="L129" s="190">
        <f>vlookup(E129, Prices!$A:$G,7,)*K129</f>
        <v>0</v>
      </c>
      <c r="M129" s="231"/>
      <c r="N129" s="28"/>
      <c r="O129" s="235"/>
      <c r="P129" s="163"/>
      <c r="Q129" s="236"/>
      <c r="R129" s="28"/>
      <c r="S129" s="237"/>
      <c r="T129" s="28"/>
      <c r="U129" s="237"/>
      <c r="V129" s="28"/>
      <c r="W129" s="28"/>
      <c r="X129" s="28"/>
      <c r="Y129" s="28"/>
      <c r="Z129" s="28"/>
      <c r="AA129" s="28"/>
      <c r="AB129" s="28"/>
    </row>
    <row r="130" ht="16.5" customHeight="1">
      <c r="A130" s="28"/>
      <c r="B130" s="28"/>
      <c r="C130" s="164"/>
      <c r="D130" s="170"/>
      <c r="E130" s="188" t="s">
        <v>127</v>
      </c>
      <c r="F130" s="188" t="s">
        <v>35</v>
      </c>
      <c r="G130" s="189">
        <f t="shared" si="1"/>
        <v>0</v>
      </c>
      <c r="H130" s="190">
        <f>vlookup(E130, Prices!$A:$G,7,)*G130</f>
        <v>0</v>
      </c>
      <c r="I130" s="191" t="str">
        <f t="shared" si="12"/>
        <v/>
      </c>
      <c r="J130" s="190">
        <f>vlookup(E130, Prices!$A:$G,7,)*I130</f>
        <v>0</v>
      </c>
      <c r="K130" s="191" t="str">
        <f t="shared" si="11"/>
        <v/>
      </c>
      <c r="L130" s="190">
        <f>vlookup(E130, Prices!$A:$G,7,)*K130</f>
        <v>0</v>
      </c>
      <c r="M130" s="231"/>
      <c r="N130" s="28"/>
      <c r="O130" s="235"/>
      <c r="P130" s="163"/>
      <c r="Q130" s="236"/>
      <c r="R130" s="28"/>
      <c r="S130" s="237"/>
      <c r="T130" s="28"/>
      <c r="U130" s="237"/>
      <c r="V130" s="28"/>
      <c r="W130" s="28"/>
      <c r="X130" s="28"/>
      <c r="Y130" s="28"/>
      <c r="Z130" s="28"/>
      <c r="AA130" s="28"/>
      <c r="AB130" s="28"/>
    </row>
    <row r="131" ht="16.5" customHeight="1">
      <c r="A131" s="28"/>
      <c r="B131" s="28"/>
      <c r="C131" s="164"/>
      <c r="D131" s="170"/>
      <c r="E131" s="188" t="s">
        <v>216</v>
      </c>
      <c r="F131" s="188" t="s">
        <v>17</v>
      </c>
      <c r="G131" s="189">
        <f t="shared" si="1"/>
        <v>0</v>
      </c>
      <c r="H131" s="190">
        <f>vlookup(E131, Prices!$A:$G,7,)*G131</f>
        <v>0</v>
      </c>
      <c r="I131" s="191" t="str">
        <f t="shared" si="12"/>
        <v/>
      </c>
      <c r="J131" s="190">
        <f>vlookup(E131, Prices!$A:$G,7,)*I131</f>
        <v>0</v>
      </c>
      <c r="K131" s="191" t="str">
        <f t="shared" si="11"/>
        <v/>
      </c>
      <c r="L131" s="190">
        <f>vlookup(E131, Prices!$A:$G,7,)*K131</f>
        <v>0</v>
      </c>
      <c r="M131" s="231"/>
      <c r="N131" s="28"/>
      <c r="O131" s="235"/>
      <c r="P131" s="163"/>
      <c r="Q131" s="236"/>
      <c r="R131" s="28"/>
      <c r="S131" s="237"/>
      <c r="T131" s="28"/>
      <c r="U131" s="237"/>
      <c r="V131" s="28"/>
      <c r="W131" s="28"/>
      <c r="X131" s="28"/>
      <c r="Y131" s="28"/>
      <c r="Z131" s="28"/>
      <c r="AA131" s="28"/>
      <c r="AB131" s="28"/>
    </row>
    <row r="132" ht="16.5" customHeight="1">
      <c r="A132" s="28"/>
      <c r="B132" s="28"/>
      <c r="C132" s="164"/>
      <c r="D132" s="170"/>
      <c r="E132" s="188" t="s">
        <v>247</v>
      </c>
      <c r="F132" s="226" t="s">
        <v>35</v>
      </c>
      <c r="G132" s="189">
        <f t="shared" si="1"/>
        <v>0</v>
      </c>
      <c r="H132" s="190">
        <f>vlookup(E132, Prices!$A:$G,7,)*G132</f>
        <v>0</v>
      </c>
      <c r="I132" s="191" t="str">
        <f t="shared" si="12"/>
        <v/>
      </c>
      <c r="J132" s="190">
        <f>vlookup(E132, Prices!$A:$G,7,)*I132</f>
        <v>0</v>
      </c>
      <c r="K132" s="191" t="str">
        <f t="shared" si="11"/>
        <v/>
      </c>
      <c r="L132" s="190">
        <f>vlookup(E132, Prices!$A:$G,7,)*K132</f>
        <v>0</v>
      </c>
      <c r="M132" s="231"/>
      <c r="N132" s="28"/>
      <c r="O132" s="235"/>
      <c r="P132" s="163"/>
      <c r="Q132" s="236"/>
      <c r="R132" s="28"/>
      <c r="S132" s="237"/>
      <c r="T132" s="28"/>
      <c r="U132" s="237"/>
      <c r="V132" s="28"/>
      <c r="W132" s="28"/>
      <c r="X132" s="28"/>
      <c r="Y132" s="28"/>
      <c r="Z132" s="28"/>
      <c r="AA132" s="28"/>
      <c r="AB132" s="28"/>
    </row>
    <row r="133" ht="16.5" customHeight="1">
      <c r="A133" s="28"/>
      <c r="B133" s="28"/>
      <c r="C133" s="164"/>
      <c r="D133" s="170"/>
      <c r="E133" s="238" t="s">
        <v>248</v>
      </c>
      <c r="F133" s="191" t="s">
        <v>35</v>
      </c>
      <c r="G133" s="189">
        <f t="shared" si="1"/>
        <v>0</v>
      </c>
      <c r="H133" s="190">
        <f>vlookup(E133, Prices!$A:$G,7,)*G133</f>
        <v>0</v>
      </c>
      <c r="I133" s="191" t="str">
        <f t="shared" si="12"/>
        <v/>
      </c>
      <c r="J133" s="190">
        <f>vlookup(E133, Prices!$A:$G,7,)*I133</f>
        <v>0</v>
      </c>
      <c r="K133" s="191" t="str">
        <f t="shared" si="11"/>
        <v/>
      </c>
      <c r="L133" s="190">
        <f>vlookup(E133, Prices!$A:$G,7,)*K133</f>
        <v>0</v>
      </c>
      <c r="M133" s="231"/>
      <c r="N133" s="28"/>
      <c r="O133" s="235"/>
      <c r="P133" s="163"/>
      <c r="Q133" s="236"/>
      <c r="R133" s="28"/>
      <c r="S133" s="237"/>
      <c r="T133" s="28"/>
      <c r="U133" s="237"/>
      <c r="V133" s="28"/>
      <c r="W133" s="28"/>
      <c r="X133" s="28"/>
      <c r="Y133" s="28"/>
      <c r="Z133" s="28"/>
      <c r="AA133" s="28"/>
      <c r="AB133" s="28"/>
    </row>
    <row r="134" ht="16.5" customHeight="1">
      <c r="A134" s="28"/>
      <c r="B134" s="28"/>
      <c r="C134" s="164"/>
      <c r="D134" s="170"/>
      <c r="E134" s="188" t="s">
        <v>45</v>
      </c>
      <c r="F134" s="188" t="s">
        <v>25</v>
      </c>
      <c r="G134" s="189">
        <f t="shared" si="1"/>
        <v>0</v>
      </c>
      <c r="H134" s="190">
        <f>vlookup(E134, Prices!$A:$G,7,)*G134</f>
        <v>0</v>
      </c>
      <c r="I134" s="191" t="str">
        <f t="shared" si="12"/>
        <v/>
      </c>
      <c r="J134" s="190">
        <f>vlookup(E134, Prices!$A:$G,7,)*I134</f>
        <v>0</v>
      </c>
      <c r="K134" s="191" t="str">
        <f t="shared" si="11"/>
        <v/>
      </c>
      <c r="L134" s="190">
        <f>vlookup(E134, Prices!$A:$G,7,)*K134</f>
        <v>0</v>
      </c>
      <c r="M134" s="231"/>
      <c r="N134" s="28"/>
      <c r="O134" s="235"/>
      <c r="P134" s="163"/>
      <c r="Q134" s="236"/>
      <c r="R134" s="28"/>
      <c r="S134" s="237"/>
      <c r="T134" s="28"/>
      <c r="U134" s="237"/>
      <c r="V134" s="28"/>
      <c r="W134" s="28"/>
      <c r="X134" s="28"/>
      <c r="Y134" s="28"/>
      <c r="Z134" s="28"/>
      <c r="AA134" s="28"/>
      <c r="AB134" s="28"/>
    </row>
    <row r="135" ht="16.5" customHeight="1">
      <c r="A135" s="28"/>
      <c r="B135" s="28"/>
      <c r="C135" s="164"/>
      <c r="D135" s="170"/>
      <c r="E135" s="188" t="s">
        <v>158</v>
      </c>
      <c r="F135" s="188" t="s">
        <v>35</v>
      </c>
      <c r="G135" s="189">
        <f t="shared" si="1"/>
        <v>0</v>
      </c>
      <c r="H135" s="190">
        <f>vlookup(E135, Prices!$A:$G,7,)*G135</f>
        <v>0</v>
      </c>
      <c r="I135" s="191" t="str">
        <f t="shared" si="12"/>
        <v/>
      </c>
      <c r="J135" s="190">
        <f>vlookup(E135, Prices!$A:$G,7,)*I135</f>
        <v>0</v>
      </c>
      <c r="K135" s="191" t="str">
        <f t="shared" si="11"/>
        <v/>
      </c>
      <c r="L135" s="190">
        <f>vlookup(E135, Prices!$A:$G,7,)*K135</f>
        <v>0</v>
      </c>
      <c r="M135" s="231"/>
      <c r="N135" s="28"/>
      <c r="O135" s="235"/>
      <c r="P135" s="163"/>
      <c r="Q135" s="236"/>
      <c r="R135" s="28"/>
      <c r="S135" s="237"/>
      <c r="T135" s="28"/>
      <c r="U135" s="237"/>
      <c r="V135" s="28"/>
      <c r="W135" s="28"/>
      <c r="X135" s="28"/>
      <c r="Y135" s="28"/>
      <c r="Z135" s="28"/>
      <c r="AA135" s="28"/>
      <c r="AB135" s="28"/>
    </row>
    <row r="136" ht="16.5" customHeight="1">
      <c r="A136" s="28"/>
      <c r="B136" s="28"/>
      <c r="C136" s="164"/>
      <c r="D136" s="170"/>
      <c r="E136" s="188" t="s">
        <v>196</v>
      </c>
      <c r="F136" s="188" t="s">
        <v>35</v>
      </c>
      <c r="G136" s="189">
        <f t="shared" si="1"/>
        <v>0</v>
      </c>
      <c r="H136" s="190">
        <f>vlookup(E136, Prices!$A:$G,7,)*G136</f>
        <v>0</v>
      </c>
      <c r="I136" s="191" t="str">
        <f t="shared" si="12"/>
        <v/>
      </c>
      <c r="J136" s="190">
        <f>vlookup(E136, Prices!$A:$G,7,)*I136</f>
        <v>0</v>
      </c>
      <c r="K136" s="191" t="str">
        <f t="shared" si="11"/>
        <v/>
      </c>
      <c r="L136" s="190">
        <f>vlookup(E136, Prices!$A:$G,7,)*K136</f>
        <v>0</v>
      </c>
      <c r="M136" s="231"/>
      <c r="N136" s="28"/>
      <c r="O136" s="235"/>
      <c r="P136" s="163"/>
      <c r="Q136" s="236"/>
      <c r="R136" s="28"/>
      <c r="S136" s="237"/>
      <c r="T136" s="28"/>
      <c r="U136" s="237"/>
      <c r="V136" s="28"/>
      <c r="W136" s="28"/>
      <c r="X136" s="28"/>
      <c r="Y136" s="28"/>
      <c r="Z136" s="28"/>
      <c r="AA136" s="28"/>
      <c r="AB136" s="28"/>
    </row>
    <row r="137" ht="16.5" customHeight="1">
      <c r="A137" s="28"/>
      <c r="B137" s="28"/>
      <c r="C137" s="164"/>
      <c r="D137" s="170"/>
      <c r="E137" s="188" t="s">
        <v>210</v>
      </c>
      <c r="F137" s="188" t="s">
        <v>202</v>
      </c>
      <c r="G137" s="189">
        <f t="shared" si="1"/>
        <v>0</v>
      </c>
      <c r="H137" s="190">
        <f>vlookup(E137, Prices!$A:$G,7,)*G137</f>
        <v>0</v>
      </c>
      <c r="I137" s="191" t="str">
        <f t="shared" si="12"/>
        <v/>
      </c>
      <c r="J137" s="190">
        <f>vlookup(E137, Prices!$A:$G,7,)*I137</f>
        <v>0</v>
      </c>
      <c r="K137" s="191" t="str">
        <f t="shared" si="11"/>
        <v/>
      </c>
      <c r="L137" s="190">
        <f>vlookup(E137, Prices!$A:$G,7,)*K137</f>
        <v>0</v>
      </c>
      <c r="M137" s="231"/>
      <c r="N137" s="28"/>
      <c r="O137" s="235"/>
      <c r="P137" s="163"/>
      <c r="Q137" s="236"/>
      <c r="R137" s="28"/>
      <c r="S137" s="237"/>
      <c r="T137" s="28"/>
      <c r="U137" s="237"/>
      <c r="V137" s="28"/>
      <c r="W137" s="28"/>
      <c r="X137" s="28"/>
      <c r="Y137" s="28"/>
      <c r="Z137" s="28"/>
      <c r="AA137" s="28"/>
      <c r="AB137" s="28"/>
    </row>
    <row r="138" ht="16.5" customHeight="1">
      <c r="A138" s="28"/>
      <c r="B138" s="28"/>
      <c r="C138" s="164"/>
      <c r="D138" s="170"/>
      <c r="E138" s="241" t="s">
        <v>238</v>
      </c>
      <c r="F138" s="188" t="s">
        <v>202</v>
      </c>
      <c r="G138" s="189">
        <f t="shared" si="1"/>
        <v>0</v>
      </c>
      <c r="H138" s="190">
        <f>vlookup(E138, Prices!$A:$G,7,)*G138</f>
        <v>0</v>
      </c>
      <c r="I138" s="191" t="str">
        <f t="shared" si="12"/>
        <v/>
      </c>
      <c r="J138" s="190">
        <f>vlookup(E138, Prices!$A:$G,7,)*I138</f>
        <v>0</v>
      </c>
      <c r="K138" s="191" t="str">
        <f t="shared" si="11"/>
        <v/>
      </c>
      <c r="L138" s="190">
        <f>vlookup(E138, Prices!$A:$G,7,)*K138</f>
        <v>0</v>
      </c>
      <c r="M138" s="231"/>
      <c r="N138" s="28"/>
      <c r="O138" s="235"/>
      <c r="P138" s="163"/>
      <c r="Q138" s="236"/>
      <c r="R138" s="28"/>
      <c r="S138" s="237"/>
      <c r="T138" s="28"/>
      <c r="U138" s="237"/>
      <c r="V138" s="28"/>
      <c r="W138" s="28"/>
      <c r="X138" s="28"/>
      <c r="Y138" s="28"/>
      <c r="Z138" s="28"/>
      <c r="AA138" s="28"/>
      <c r="AB138" s="28"/>
    </row>
    <row r="139" ht="16.5" customHeight="1">
      <c r="A139" s="28"/>
      <c r="B139" s="28"/>
      <c r="C139" s="164"/>
      <c r="D139" s="170"/>
      <c r="E139" s="243" t="s">
        <v>138</v>
      </c>
      <c r="F139" s="227" t="s">
        <v>35</v>
      </c>
      <c r="G139" s="189">
        <f t="shared" si="1"/>
        <v>0</v>
      </c>
      <c r="H139" s="190">
        <f>vlookup(E139, Prices!$A:$G,7,)*G139</f>
        <v>0</v>
      </c>
      <c r="I139" s="191" t="str">
        <f t="shared" si="12"/>
        <v/>
      </c>
      <c r="J139" s="190">
        <f>vlookup(E139, Prices!$A:$G,7,)*I139</f>
        <v>0</v>
      </c>
      <c r="K139" s="191" t="str">
        <f t="shared" si="11"/>
        <v/>
      </c>
      <c r="L139" s="190">
        <f>vlookup(E139, Prices!$A:$G,7,)*K139</f>
        <v>0</v>
      </c>
      <c r="M139" s="231"/>
      <c r="N139" s="28"/>
      <c r="O139" s="235"/>
      <c r="P139" s="163"/>
      <c r="Q139" s="236"/>
      <c r="R139" s="28"/>
      <c r="S139" s="237"/>
      <c r="T139" s="28"/>
      <c r="U139" s="237"/>
      <c r="V139" s="28"/>
      <c r="W139" s="28"/>
      <c r="X139" s="28"/>
      <c r="Y139" s="28"/>
      <c r="Z139" s="28"/>
      <c r="AA139" s="28"/>
      <c r="AB139" s="28"/>
    </row>
    <row r="140" ht="16.5" customHeight="1">
      <c r="A140" s="28"/>
      <c r="B140" s="28"/>
      <c r="C140" s="164"/>
      <c r="D140" s="170"/>
      <c r="E140" s="188" t="s">
        <v>29</v>
      </c>
      <c r="F140" s="188" t="s">
        <v>14</v>
      </c>
      <c r="G140" s="189">
        <f t="shared" si="1"/>
        <v>0</v>
      </c>
      <c r="H140" s="190">
        <f>vlookup(E140, Prices!$A:$G,7,)*G140</f>
        <v>0</v>
      </c>
      <c r="I140" s="191" t="str">
        <f t="shared" si="12"/>
        <v/>
      </c>
      <c r="J140" s="190">
        <f>vlookup(E140, Prices!$A:$G,7,)*I140</f>
        <v>0</v>
      </c>
      <c r="K140" s="191" t="str">
        <f t="shared" si="11"/>
        <v/>
      </c>
      <c r="L140" s="190">
        <f>vlookup(E140, Prices!$A:$G,7,)*K140</f>
        <v>0</v>
      </c>
      <c r="M140" s="231"/>
      <c r="N140" s="28"/>
      <c r="O140" s="235"/>
      <c r="P140" s="163"/>
      <c r="Q140" s="236"/>
      <c r="R140" s="28"/>
      <c r="S140" s="237"/>
      <c r="T140" s="28"/>
      <c r="U140" s="237"/>
      <c r="V140" s="28"/>
      <c r="W140" s="28"/>
      <c r="X140" s="28"/>
      <c r="Y140" s="28"/>
      <c r="Z140" s="28"/>
      <c r="AA140" s="28"/>
      <c r="AB140" s="28"/>
    </row>
    <row r="141" ht="16.5" customHeight="1">
      <c r="A141" s="28"/>
      <c r="B141" s="28"/>
      <c r="C141" s="164"/>
      <c r="D141" s="170"/>
      <c r="E141" s="188" t="s">
        <v>147</v>
      </c>
      <c r="F141" s="188" t="s">
        <v>35</v>
      </c>
      <c r="G141" s="189">
        <f t="shared" si="1"/>
        <v>0</v>
      </c>
      <c r="H141" s="190">
        <f>vlookup(E141, Prices!$A:$G,7,)*G141</f>
        <v>0</v>
      </c>
      <c r="I141" s="191" t="str">
        <f t="shared" si="12"/>
        <v/>
      </c>
      <c r="J141" s="190">
        <f>vlookup(E141, Prices!$A:$G,7,)*I141</f>
        <v>0</v>
      </c>
      <c r="K141" s="191" t="str">
        <f t="shared" si="11"/>
        <v/>
      </c>
      <c r="L141" s="190">
        <f>vlookup(E141, Prices!$A:$G,7,)*K141</f>
        <v>0</v>
      </c>
      <c r="M141" s="231"/>
      <c r="N141" s="28"/>
      <c r="O141" s="235"/>
      <c r="P141" s="163"/>
      <c r="Q141" s="236"/>
      <c r="R141" s="28"/>
      <c r="S141" s="237"/>
      <c r="T141" s="28"/>
      <c r="U141" s="237"/>
      <c r="V141" s="28"/>
      <c r="W141" s="28"/>
      <c r="X141" s="28"/>
      <c r="Y141" s="28"/>
      <c r="Z141" s="28"/>
      <c r="AA141" s="28"/>
      <c r="AB141" s="28"/>
    </row>
    <row r="142" ht="16.5" customHeight="1">
      <c r="A142" s="28"/>
      <c r="B142" s="28"/>
      <c r="C142" s="164"/>
      <c r="D142" s="170"/>
      <c r="E142" s="200" t="s">
        <v>173</v>
      </c>
      <c r="F142" s="188" t="s">
        <v>14</v>
      </c>
      <c r="G142" s="189">
        <f t="shared" si="1"/>
        <v>0</v>
      </c>
      <c r="H142" s="190">
        <f>vlookup(E142, Prices!$A:$G,7,)*G142</f>
        <v>0</v>
      </c>
      <c r="I142" s="191" t="str">
        <f t="shared" si="12"/>
        <v/>
      </c>
      <c r="J142" s="190">
        <f>vlookup(E142, Prices!$A:$G,7,)*I142</f>
        <v>0</v>
      </c>
      <c r="K142" s="191" t="str">
        <f t="shared" si="11"/>
        <v/>
      </c>
      <c r="L142" s="190">
        <f>vlookup(E142, Prices!$A:$G,7,)*K142</f>
        <v>0</v>
      </c>
      <c r="M142" s="231"/>
      <c r="N142" s="28"/>
      <c r="O142" s="235"/>
      <c r="P142" s="163"/>
      <c r="Q142" s="236"/>
      <c r="R142" s="28"/>
      <c r="S142" s="237"/>
      <c r="T142" s="28"/>
      <c r="U142" s="237"/>
      <c r="V142" s="28"/>
      <c r="W142" s="28"/>
      <c r="X142" s="28"/>
      <c r="Y142" s="28"/>
      <c r="Z142" s="28"/>
      <c r="AA142" s="28"/>
      <c r="AB142" s="28"/>
    </row>
    <row r="143" ht="16.5" customHeight="1">
      <c r="A143" s="28"/>
      <c r="B143" s="28"/>
      <c r="C143" s="164"/>
      <c r="D143" s="170"/>
      <c r="E143" s="200" t="s">
        <v>97</v>
      </c>
      <c r="F143" s="188" t="s">
        <v>35</v>
      </c>
      <c r="G143" s="189">
        <f t="shared" si="1"/>
        <v>0</v>
      </c>
      <c r="H143" s="190">
        <f>vlookup(E143, Prices!$A:$G,7,)*G143</f>
        <v>0</v>
      </c>
      <c r="I143" s="191" t="str">
        <f t="shared" si="12"/>
        <v/>
      </c>
      <c r="J143" s="190">
        <f>vlookup(E143, Prices!$A:$G,7,)*I143</f>
        <v>0</v>
      </c>
      <c r="K143" s="191" t="str">
        <f t="shared" si="11"/>
        <v/>
      </c>
      <c r="L143" s="190">
        <f>vlookup(E143, Prices!$A:$G,7,)*K143</f>
        <v>0</v>
      </c>
      <c r="M143" s="231"/>
      <c r="N143" s="28"/>
      <c r="O143" s="235"/>
      <c r="P143" s="163"/>
      <c r="Q143" s="236"/>
      <c r="R143" s="28"/>
      <c r="S143" s="237"/>
      <c r="T143" s="28"/>
      <c r="U143" s="237"/>
      <c r="V143" s="28"/>
      <c r="W143" s="28"/>
      <c r="X143" s="28"/>
      <c r="Y143" s="28"/>
      <c r="Z143" s="28"/>
      <c r="AA143" s="28"/>
      <c r="AB143" s="28"/>
    </row>
    <row r="144" ht="16.5" customHeight="1">
      <c r="A144" s="28"/>
      <c r="B144" s="28"/>
      <c r="C144" s="164"/>
      <c r="D144" s="170"/>
      <c r="E144" s="188" t="s">
        <v>103</v>
      </c>
      <c r="F144" s="188" t="s">
        <v>35</v>
      </c>
      <c r="G144" s="189">
        <f t="shared" si="1"/>
        <v>0</v>
      </c>
      <c r="H144" s="190">
        <f>vlookup(E144, Prices!$A:$G,7,)*G144</f>
        <v>0</v>
      </c>
      <c r="I144" s="191" t="str">
        <f t="shared" si="12"/>
        <v/>
      </c>
      <c r="J144" s="190">
        <f>vlookup(E144, Prices!$A:$G,7,)*I144</f>
        <v>0</v>
      </c>
      <c r="K144" s="191" t="str">
        <f t="shared" si="11"/>
        <v/>
      </c>
      <c r="L144" s="190">
        <f>vlookup(E144, Prices!$A:$G,7,)*K144</f>
        <v>0</v>
      </c>
      <c r="M144" s="231"/>
      <c r="N144" s="28"/>
      <c r="O144" s="235"/>
      <c r="P144" s="163"/>
      <c r="Q144" s="236"/>
      <c r="R144" s="28"/>
      <c r="S144" s="237"/>
      <c r="T144" s="28"/>
      <c r="U144" s="237"/>
      <c r="V144" s="28"/>
      <c r="W144" s="28"/>
      <c r="X144" s="28"/>
      <c r="Y144" s="28"/>
      <c r="Z144" s="28"/>
      <c r="AA144" s="28"/>
      <c r="AB144" s="28"/>
    </row>
    <row r="145" ht="16.5" customHeight="1">
      <c r="A145" s="28"/>
      <c r="B145" s="28"/>
      <c r="C145" s="164"/>
      <c r="D145" s="170"/>
      <c r="E145" s="188" t="s">
        <v>104</v>
      </c>
      <c r="F145" s="188" t="s">
        <v>35</v>
      </c>
      <c r="G145" s="189">
        <f t="shared" si="1"/>
        <v>0</v>
      </c>
      <c r="H145" s="190">
        <f>vlookup(E145, Prices!$A:$G,7,)*G145</f>
        <v>0</v>
      </c>
      <c r="I145" s="191" t="str">
        <f t="shared" si="12"/>
        <v/>
      </c>
      <c r="J145" s="190">
        <f>vlookup(E145, Prices!$A:$G,7,)*I145</f>
        <v>0</v>
      </c>
      <c r="K145" s="191" t="str">
        <f t="shared" si="11"/>
        <v/>
      </c>
      <c r="L145" s="190">
        <f>vlookup(E145, Prices!$A:$G,7,)*K145</f>
        <v>0</v>
      </c>
      <c r="M145" s="231"/>
      <c r="N145" s="28"/>
      <c r="O145" s="235"/>
      <c r="P145" s="163"/>
      <c r="Q145" s="236"/>
      <c r="R145" s="28"/>
      <c r="S145" s="237"/>
      <c r="T145" s="28"/>
      <c r="U145" s="237"/>
      <c r="V145" s="28"/>
      <c r="W145" s="28"/>
      <c r="X145" s="28"/>
      <c r="Y145" s="28"/>
      <c r="Z145" s="28"/>
      <c r="AA145" s="28"/>
      <c r="AB145" s="28"/>
    </row>
    <row r="146" ht="16.5" customHeight="1">
      <c r="A146" s="28"/>
      <c r="B146" s="28"/>
      <c r="C146" s="164"/>
      <c r="D146" s="170"/>
      <c r="E146" s="188" t="s">
        <v>70</v>
      </c>
      <c r="F146" s="188" t="s">
        <v>35</v>
      </c>
      <c r="G146" s="189">
        <f t="shared" si="1"/>
        <v>0</v>
      </c>
      <c r="H146" s="190">
        <f>vlookup(E146, Prices!$A:$G,7,)*G146</f>
        <v>0</v>
      </c>
      <c r="I146" s="191" t="str">
        <f t="shared" si="12"/>
        <v/>
      </c>
      <c r="J146" s="190">
        <f>vlookup(E146, Prices!$A:$G,7,)*I146</f>
        <v>0</v>
      </c>
      <c r="K146" s="191" t="str">
        <f t="shared" si="11"/>
        <v/>
      </c>
      <c r="L146" s="190">
        <f>vlookup(E146, Prices!$A:$G,7,)*K146</f>
        <v>0</v>
      </c>
      <c r="M146" s="231"/>
      <c r="N146" s="28"/>
      <c r="O146" s="235"/>
      <c r="P146" s="163"/>
      <c r="Q146" s="236"/>
      <c r="R146" s="28"/>
      <c r="S146" s="237"/>
      <c r="T146" s="28"/>
      <c r="U146" s="237"/>
      <c r="V146" s="28"/>
      <c r="W146" s="28"/>
      <c r="X146" s="28"/>
      <c r="Y146" s="28"/>
      <c r="Z146" s="28"/>
      <c r="AA146" s="28"/>
      <c r="AB146" s="28"/>
    </row>
    <row r="147" ht="16.5" customHeight="1">
      <c r="A147" s="28"/>
      <c r="B147" s="28"/>
      <c r="C147" s="164"/>
      <c r="D147" s="170"/>
      <c r="E147" s="188" t="s">
        <v>162</v>
      </c>
      <c r="F147" s="188" t="s">
        <v>35</v>
      </c>
      <c r="G147" s="189">
        <f t="shared" si="1"/>
        <v>0</v>
      </c>
      <c r="H147" s="190">
        <f>vlookup(E147, Prices!$A:$G,7,)*G147</f>
        <v>0</v>
      </c>
      <c r="I147" s="191" t="str">
        <f t="shared" si="12"/>
        <v/>
      </c>
      <c r="J147" s="190">
        <f>vlookup(E147, Prices!$A:$G,7,)*I147</f>
        <v>0</v>
      </c>
      <c r="K147" s="191" t="str">
        <f t="shared" si="11"/>
        <v/>
      </c>
      <c r="L147" s="190">
        <f>vlookup(E147, Prices!$A:$G,7,)*K147</f>
        <v>0</v>
      </c>
      <c r="M147" s="231"/>
      <c r="N147" s="28"/>
      <c r="O147" s="235"/>
      <c r="P147" s="163"/>
      <c r="Q147" s="236"/>
      <c r="R147" s="28"/>
      <c r="S147" s="237"/>
      <c r="T147" s="28"/>
      <c r="U147" s="237"/>
      <c r="V147" s="28"/>
      <c r="W147" s="28"/>
      <c r="X147" s="28"/>
      <c r="Y147" s="28"/>
      <c r="Z147" s="28"/>
      <c r="AA147" s="28"/>
      <c r="AB147" s="28"/>
    </row>
    <row r="148" ht="16.5" customHeight="1">
      <c r="A148" s="28"/>
      <c r="B148" s="28"/>
      <c r="C148" s="164"/>
      <c r="D148" s="170"/>
      <c r="E148" s="188" t="s">
        <v>101</v>
      </c>
      <c r="F148" s="188" t="s">
        <v>35</v>
      </c>
      <c r="G148" s="189">
        <f t="shared" si="1"/>
        <v>0</v>
      </c>
      <c r="H148" s="190">
        <f>vlookup(E148, Prices!$A:$G,7,)*G148</f>
        <v>0</v>
      </c>
      <c r="I148" s="191" t="str">
        <f t="shared" si="12"/>
        <v/>
      </c>
      <c r="J148" s="190">
        <f>vlookup(E148, Prices!$A:$G,7,)*I148</f>
        <v>0</v>
      </c>
      <c r="K148" s="191" t="str">
        <f t="shared" si="11"/>
        <v/>
      </c>
      <c r="L148" s="190">
        <f>vlookup(E148, Prices!$A:$G,7,)*K148</f>
        <v>0</v>
      </c>
      <c r="M148" s="231"/>
      <c r="N148" s="28"/>
      <c r="O148" s="235"/>
      <c r="P148" s="163"/>
      <c r="Q148" s="236"/>
      <c r="R148" s="28"/>
      <c r="S148" s="237"/>
      <c r="T148" s="28"/>
      <c r="U148" s="237"/>
      <c r="V148" s="28"/>
      <c r="W148" s="28"/>
      <c r="X148" s="28"/>
      <c r="Y148" s="28"/>
      <c r="Z148" s="28"/>
      <c r="AA148" s="28"/>
      <c r="AB148" s="28"/>
    </row>
    <row r="149" ht="16.5" customHeight="1">
      <c r="A149" s="28"/>
      <c r="B149" s="28"/>
      <c r="C149" s="164"/>
      <c r="D149" s="170"/>
      <c r="E149" s="188" t="s">
        <v>27</v>
      </c>
      <c r="F149" s="188" t="s">
        <v>24</v>
      </c>
      <c r="G149" s="189">
        <f t="shared" si="1"/>
        <v>0</v>
      </c>
      <c r="H149" s="190">
        <f>vlookup(E149, Prices!$A:$G,7,)*G149</f>
        <v>0</v>
      </c>
      <c r="I149" s="191" t="str">
        <f t="shared" si="12"/>
        <v/>
      </c>
      <c r="J149" s="190">
        <f>vlookup(E149, Prices!$A:$G,7,)*I149</f>
        <v>0</v>
      </c>
      <c r="K149" s="191" t="str">
        <f t="shared" si="11"/>
        <v/>
      </c>
      <c r="L149" s="190">
        <f>vlookup(E149, Prices!$A:$G,7,)*K149</f>
        <v>0</v>
      </c>
      <c r="M149" s="231"/>
      <c r="N149" s="28"/>
      <c r="O149" s="235"/>
      <c r="P149" s="163"/>
      <c r="Q149" s="236"/>
      <c r="R149" s="28"/>
      <c r="S149" s="237"/>
      <c r="T149" s="28"/>
      <c r="U149" s="237"/>
      <c r="V149" s="28"/>
      <c r="W149" s="28"/>
      <c r="X149" s="28"/>
      <c r="Y149" s="28"/>
      <c r="Z149" s="28"/>
      <c r="AA149" s="28"/>
      <c r="AB149" s="28"/>
    </row>
    <row r="150" ht="16.5" customHeight="1">
      <c r="A150" s="28"/>
      <c r="B150" s="28"/>
      <c r="C150" s="164"/>
      <c r="D150" s="170"/>
      <c r="E150" s="188" t="s">
        <v>37</v>
      </c>
      <c r="F150" s="188" t="s">
        <v>752</v>
      </c>
      <c r="G150" s="189">
        <f t="shared" si="1"/>
        <v>0</v>
      </c>
      <c r="H150" s="190">
        <f>vlookup(E150, Prices!$A:$G,7,)*G150</f>
        <v>0</v>
      </c>
      <c r="I150" s="191" t="str">
        <f t="shared" si="12"/>
        <v/>
      </c>
      <c r="J150" s="190">
        <f>vlookup(E150, Prices!$A:$G,7,)*I150</f>
        <v>0</v>
      </c>
      <c r="K150" s="191" t="str">
        <f t="shared" si="11"/>
        <v/>
      </c>
      <c r="L150" s="190">
        <f>vlookup(E150, Prices!$A:$G,7,)*K150</f>
        <v>0</v>
      </c>
      <c r="M150" s="174"/>
      <c r="N150" s="28"/>
      <c r="O150" s="28"/>
      <c r="P150" s="163"/>
      <c r="Q150" s="164"/>
      <c r="R150" s="28"/>
      <c r="S150" s="164"/>
      <c r="T150" s="28"/>
      <c r="U150" s="164"/>
      <c r="V150" s="28"/>
      <c r="W150" s="28"/>
      <c r="X150" s="28"/>
      <c r="Y150" s="28"/>
      <c r="Z150" s="28"/>
      <c r="AA150" s="28"/>
      <c r="AB150" s="28"/>
    </row>
    <row r="151" ht="16.5" customHeight="1">
      <c r="A151" s="28"/>
      <c r="B151" s="28"/>
      <c r="C151" s="164"/>
      <c r="D151" s="170"/>
      <c r="E151" s="244" t="s">
        <v>46</v>
      </c>
      <c r="F151" s="188" t="s">
        <v>48</v>
      </c>
      <c r="G151" s="189">
        <f t="shared" si="1"/>
        <v>0</v>
      </c>
      <c r="H151" s="190">
        <f>vlookup(E151, Prices!$A:$G,7,)*G151</f>
        <v>0</v>
      </c>
      <c r="I151" s="191" t="str">
        <f t="shared" si="12"/>
        <v/>
      </c>
      <c r="J151" s="190">
        <f>vlookup(E151, Prices!$A:$G,7,)*I151</f>
        <v>0</v>
      </c>
      <c r="K151" s="191" t="str">
        <f t="shared" si="11"/>
        <v/>
      </c>
      <c r="L151" s="190">
        <f>vlookup(E151, Prices!$A:$G,7,)*K151</f>
        <v>0</v>
      </c>
      <c r="M151" s="174"/>
      <c r="N151" s="28"/>
      <c r="O151" s="28"/>
      <c r="P151" s="163"/>
      <c r="Q151" s="164"/>
      <c r="R151" s="28"/>
      <c r="S151" s="164"/>
      <c r="T151" s="28"/>
      <c r="U151" s="164"/>
      <c r="V151" s="28"/>
      <c r="W151" s="28"/>
      <c r="X151" s="28"/>
      <c r="Y151" s="28"/>
      <c r="Z151" s="28"/>
      <c r="AA151" s="28"/>
      <c r="AB151" s="28"/>
    </row>
    <row r="152" ht="16.5" customHeight="1">
      <c r="A152" s="28"/>
      <c r="B152" s="28"/>
      <c r="C152" s="164"/>
      <c r="D152" s="170"/>
      <c r="E152" s="188" t="s">
        <v>50</v>
      </c>
      <c r="F152" s="188" t="s">
        <v>51</v>
      </c>
      <c r="G152" s="189">
        <f t="shared" si="1"/>
        <v>0</v>
      </c>
      <c r="H152" s="190">
        <f>vlookup(E152, Prices!$A:$G,7,)*G152</f>
        <v>0</v>
      </c>
      <c r="I152" s="191" t="str">
        <f t="shared" si="12"/>
        <v/>
      </c>
      <c r="J152" s="190">
        <f>vlookup(E152, Prices!$A:$G,7,)*I152</f>
        <v>0</v>
      </c>
      <c r="K152" s="191" t="str">
        <f t="shared" si="11"/>
        <v/>
      </c>
      <c r="L152" s="190">
        <f>vlookup(E152, Prices!$A:$G,7,)*K152</f>
        <v>0</v>
      </c>
      <c r="M152" s="174"/>
      <c r="N152" s="28"/>
      <c r="O152" s="28"/>
      <c r="P152" s="163"/>
      <c r="Q152" s="164"/>
      <c r="R152" s="28"/>
      <c r="S152" s="164"/>
      <c r="T152" s="28"/>
      <c r="U152" s="164"/>
      <c r="V152" s="28"/>
      <c r="W152" s="28"/>
      <c r="X152" s="28"/>
      <c r="Y152" s="28"/>
      <c r="Z152" s="28"/>
      <c r="AA152" s="28"/>
      <c r="AB152" s="28"/>
    </row>
    <row r="153" ht="16.5" customHeight="1">
      <c r="A153" s="28"/>
      <c r="B153" s="28"/>
      <c r="C153" s="164"/>
      <c r="D153" s="170"/>
      <c r="E153" s="238" t="s">
        <v>57</v>
      </c>
      <c r="F153" s="191"/>
      <c r="G153" s="189">
        <f t="shared" si="1"/>
        <v>0</v>
      </c>
      <c r="H153" s="190">
        <f>vlookup(E153, Prices!$A:$G,7,)*G153</f>
        <v>0</v>
      </c>
      <c r="I153" s="191" t="str">
        <f t="shared" si="12"/>
        <v/>
      </c>
      <c r="J153" s="190">
        <f>vlookup(E153, Prices!$A:$G,7,)*I153</f>
        <v>0</v>
      </c>
      <c r="K153" s="191" t="str">
        <f t="shared" si="11"/>
        <v/>
      </c>
      <c r="L153" s="190">
        <f>vlookup(E153, Prices!$A:$G,7,)*K153</f>
        <v>0</v>
      </c>
      <c r="M153" s="174"/>
      <c r="N153" s="28"/>
      <c r="O153" s="28"/>
      <c r="P153" s="163"/>
      <c r="Q153" s="164"/>
      <c r="R153" s="28"/>
      <c r="S153" s="164"/>
      <c r="T153" s="28"/>
      <c r="U153" s="164"/>
      <c r="V153" s="28"/>
      <c r="W153" s="28"/>
      <c r="X153" s="28"/>
      <c r="Y153" s="28"/>
      <c r="Z153" s="28"/>
      <c r="AA153" s="28"/>
      <c r="AB153" s="28"/>
    </row>
    <row r="154" ht="16.5" customHeight="1">
      <c r="A154" s="28"/>
      <c r="B154" s="28"/>
      <c r="C154" s="164"/>
      <c r="D154" s="170"/>
      <c r="E154" s="188" t="s">
        <v>80</v>
      </c>
      <c r="F154" s="188" t="s">
        <v>35</v>
      </c>
      <c r="G154" s="189">
        <f t="shared" si="1"/>
        <v>0</v>
      </c>
      <c r="H154" s="190">
        <f>vlookup(E154, Prices!$A:$G,7,)*G154</f>
        <v>0</v>
      </c>
      <c r="I154" s="191" t="str">
        <f t="shared" si="12"/>
        <v/>
      </c>
      <c r="J154" s="190">
        <f>vlookup(E154, Prices!$A:$G,7,)*I154</f>
        <v>0</v>
      </c>
      <c r="K154" s="191" t="str">
        <f t="shared" si="11"/>
        <v/>
      </c>
      <c r="L154" s="190">
        <f>vlookup(E154, Prices!$A:$G,7,)*K154</f>
        <v>0</v>
      </c>
      <c r="M154" s="174"/>
      <c r="N154" s="28"/>
      <c r="O154" s="28"/>
      <c r="P154" s="163"/>
      <c r="Q154" s="164"/>
      <c r="R154" s="28"/>
      <c r="S154" s="164"/>
      <c r="T154" s="28"/>
      <c r="U154" s="164"/>
      <c r="V154" s="28"/>
      <c r="W154" s="28"/>
      <c r="X154" s="28"/>
      <c r="Y154" s="28"/>
      <c r="Z154" s="28"/>
      <c r="AA154" s="28"/>
      <c r="AB154" s="28"/>
    </row>
    <row r="155" ht="16.5" customHeight="1">
      <c r="A155" s="28"/>
      <c r="B155" s="28"/>
      <c r="C155" s="164"/>
      <c r="D155" s="170"/>
      <c r="E155" s="188" t="s">
        <v>111</v>
      </c>
      <c r="F155" s="188" t="s">
        <v>35</v>
      </c>
      <c r="G155" s="189">
        <f t="shared" si="1"/>
        <v>0</v>
      </c>
      <c r="H155" s="190">
        <f>vlookup(E155, Prices!$A:$G,7,)*G155</f>
        <v>0</v>
      </c>
      <c r="I155" s="191" t="str">
        <f t="shared" si="12"/>
        <v/>
      </c>
      <c r="J155" s="190">
        <f>vlookup(E155, Prices!$A:$G,7,)*I155</f>
        <v>0</v>
      </c>
      <c r="K155" s="191" t="str">
        <f t="shared" si="11"/>
        <v/>
      </c>
      <c r="L155" s="190">
        <f>vlookup(E155, Prices!$A:$G,7,)*K155</f>
        <v>0</v>
      </c>
      <c r="M155" s="174"/>
      <c r="N155" s="28"/>
      <c r="O155" s="28"/>
      <c r="P155" s="163"/>
      <c r="Q155" s="164"/>
      <c r="R155" s="28"/>
      <c r="S155" s="164"/>
      <c r="T155" s="28"/>
      <c r="U155" s="164"/>
      <c r="V155" s="28"/>
      <c r="W155" s="28"/>
      <c r="X155" s="28"/>
      <c r="Y155" s="28"/>
      <c r="Z155" s="28"/>
      <c r="AA155" s="28"/>
      <c r="AB155" s="28"/>
    </row>
    <row r="156" ht="16.5" customHeight="1">
      <c r="A156" s="28"/>
      <c r="B156" s="28"/>
      <c r="C156" s="164"/>
      <c r="D156" s="170"/>
      <c r="E156" s="188" t="s">
        <v>116</v>
      </c>
      <c r="F156" s="188" t="s">
        <v>35</v>
      </c>
      <c r="G156" s="189">
        <f t="shared" si="1"/>
        <v>0</v>
      </c>
      <c r="H156" s="190">
        <f>vlookup(E156, Prices!$A:$G,7,)*G156</f>
        <v>0</v>
      </c>
      <c r="I156" s="191" t="str">
        <f t="shared" si="12"/>
        <v/>
      </c>
      <c r="J156" s="190">
        <f>vlookup(E156, Prices!$A:$G,7,)*I156</f>
        <v>0</v>
      </c>
      <c r="K156" s="191" t="str">
        <f t="shared" si="11"/>
        <v/>
      </c>
      <c r="L156" s="190">
        <f>vlookup(E156, Prices!$A:$G,7,)*K156</f>
        <v>0</v>
      </c>
      <c r="M156" s="174"/>
      <c r="N156" s="28"/>
      <c r="O156" s="28"/>
      <c r="P156" s="163"/>
      <c r="Q156" s="164"/>
      <c r="R156" s="28"/>
      <c r="S156" s="164"/>
      <c r="T156" s="28"/>
      <c r="U156" s="164"/>
      <c r="V156" s="28"/>
      <c r="W156" s="28"/>
      <c r="X156" s="28"/>
      <c r="Y156" s="28"/>
      <c r="Z156" s="28"/>
      <c r="AA156" s="28"/>
      <c r="AB156" s="28"/>
    </row>
    <row r="157" ht="16.5" customHeight="1">
      <c r="A157" s="28"/>
      <c r="B157" s="28"/>
      <c r="C157" s="164"/>
      <c r="D157" s="170"/>
      <c r="E157" s="188" t="s">
        <v>122</v>
      </c>
      <c r="F157" s="188" t="s">
        <v>35</v>
      </c>
      <c r="G157" s="189">
        <f t="shared" si="1"/>
        <v>0</v>
      </c>
      <c r="H157" s="190">
        <f>vlookup(E157, Prices!$A:$G,7,)*G157</f>
        <v>0</v>
      </c>
      <c r="I157" s="191" t="str">
        <f t="shared" si="12"/>
        <v/>
      </c>
      <c r="J157" s="190">
        <f>vlookup(E157, Prices!$A:$G,7,)*I157</f>
        <v>0</v>
      </c>
      <c r="K157" s="191" t="str">
        <f t="shared" si="11"/>
        <v/>
      </c>
      <c r="L157" s="190">
        <f>vlookup(E157, Prices!$A:$G,7,)*K157</f>
        <v>0</v>
      </c>
      <c r="M157" s="174"/>
      <c r="N157" s="28"/>
      <c r="O157" s="28"/>
      <c r="P157" s="163"/>
      <c r="Q157" s="164"/>
      <c r="R157" s="28"/>
      <c r="S157" s="164"/>
      <c r="T157" s="28"/>
      <c r="U157" s="164"/>
      <c r="V157" s="28"/>
      <c r="W157" s="28"/>
      <c r="X157" s="28"/>
      <c r="Y157" s="28"/>
      <c r="Z157" s="28"/>
      <c r="AA157" s="28"/>
      <c r="AB157" s="28"/>
    </row>
    <row r="158" ht="16.5" customHeight="1">
      <c r="A158" s="28"/>
      <c r="B158" s="28"/>
      <c r="C158" s="164"/>
      <c r="D158" s="170"/>
      <c r="E158" s="188" t="s">
        <v>125</v>
      </c>
      <c r="F158" s="188" t="s">
        <v>35</v>
      </c>
      <c r="G158" s="189">
        <f t="shared" si="1"/>
        <v>0</v>
      </c>
      <c r="H158" s="190">
        <f>vlookup(E158, Prices!$A:$G,7,)*G158</f>
        <v>0</v>
      </c>
      <c r="I158" s="191" t="str">
        <f t="shared" si="12"/>
        <v/>
      </c>
      <c r="J158" s="190">
        <f>vlookup(E158, Prices!$A:$G,7,)*I158</f>
        <v>0</v>
      </c>
      <c r="K158" s="191" t="str">
        <f t="shared" si="11"/>
        <v/>
      </c>
      <c r="L158" s="190">
        <f>vlookup(E158, Prices!$A:$G,7,)*K158</f>
        <v>0</v>
      </c>
      <c r="M158" s="174"/>
      <c r="N158" s="28"/>
      <c r="O158" s="28"/>
      <c r="P158" s="163"/>
      <c r="Q158" s="164"/>
      <c r="R158" s="28"/>
      <c r="S158" s="164"/>
      <c r="T158" s="28"/>
      <c r="U158" s="164"/>
      <c r="V158" s="28"/>
      <c r="W158" s="28"/>
      <c r="X158" s="28"/>
      <c r="Y158" s="28"/>
      <c r="Z158" s="28"/>
      <c r="AA158" s="28"/>
      <c r="AB158" s="28"/>
    </row>
    <row r="159" ht="16.5" customHeight="1">
      <c r="A159" s="28"/>
      <c r="B159" s="28"/>
      <c r="C159" s="164"/>
      <c r="D159" s="170"/>
      <c r="E159" s="188" t="s">
        <v>134</v>
      </c>
      <c r="F159" s="188" t="s">
        <v>35</v>
      </c>
      <c r="G159" s="189">
        <f t="shared" si="1"/>
        <v>0</v>
      </c>
      <c r="H159" s="190">
        <f>vlookup(E159, Prices!$A:$G,7,)*G159</f>
        <v>0</v>
      </c>
      <c r="I159" s="191" t="str">
        <f t="shared" si="12"/>
        <v/>
      </c>
      <c r="J159" s="190">
        <f>vlookup(E159, Prices!$A:$G,7,)*I159</f>
        <v>0</v>
      </c>
      <c r="K159" s="191" t="str">
        <f t="shared" si="11"/>
        <v/>
      </c>
      <c r="L159" s="190">
        <f>vlookup(E159, Prices!$A:$G,7,)*K159</f>
        <v>0</v>
      </c>
      <c r="M159" s="174"/>
      <c r="N159" s="28"/>
      <c r="O159" s="28"/>
      <c r="P159" s="163"/>
      <c r="Q159" s="164"/>
      <c r="R159" s="28"/>
      <c r="S159" s="164"/>
      <c r="T159" s="28"/>
      <c r="U159" s="164"/>
      <c r="V159" s="28"/>
      <c r="W159" s="28"/>
      <c r="X159" s="28"/>
      <c r="Y159" s="28"/>
      <c r="Z159" s="28"/>
      <c r="AA159" s="28"/>
      <c r="AB159" s="28"/>
    </row>
    <row r="160" ht="16.5" customHeight="1">
      <c r="A160" s="28"/>
      <c r="B160" s="28"/>
      <c r="C160" s="164"/>
      <c r="D160" s="170"/>
      <c r="E160" s="188" t="s">
        <v>135</v>
      </c>
      <c r="F160" s="188" t="s">
        <v>35</v>
      </c>
      <c r="G160" s="189">
        <f t="shared" si="1"/>
        <v>0</v>
      </c>
      <c r="H160" s="190">
        <f>vlookup(E160, Prices!$A:$G,7,)*G160</f>
        <v>0</v>
      </c>
      <c r="I160" s="191" t="str">
        <f t="shared" si="12"/>
        <v/>
      </c>
      <c r="J160" s="190">
        <f>vlookup(E160, Prices!$A:$G,7,)*I160</f>
        <v>0</v>
      </c>
      <c r="K160" s="191" t="str">
        <f t="shared" si="11"/>
        <v/>
      </c>
      <c r="L160" s="190">
        <f>vlookup(E160, Prices!$A:$G,7,)*K160</f>
        <v>0</v>
      </c>
      <c r="M160" s="174"/>
      <c r="N160" s="28"/>
      <c r="O160" s="28"/>
      <c r="P160" s="163"/>
      <c r="Q160" s="164"/>
      <c r="R160" s="28"/>
      <c r="S160" s="164"/>
      <c r="T160" s="28"/>
      <c r="U160" s="164"/>
      <c r="V160" s="28"/>
      <c r="W160" s="28"/>
      <c r="X160" s="28"/>
      <c r="Y160" s="28"/>
      <c r="Z160" s="28"/>
      <c r="AA160" s="28"/>
      <c r="AB160" s="28"/>
    </row>
    <row r="161" ht="16.5" customHeight="1">
      <c r="A161" s="28"/>
      <c r="B161" s="28"/>
      <c r="C161" s="164"/>
      <c r="D161" s="170"/>
      <c r="E161" s="188" t="s">
        <v>146</v>
      </c>
      <c r="F161" s="188"/>
      <c r="G161" s="189">
        <f t="shared" si="1"/>
        <v>0</v>
      </c>
      <c r="H161" s="190">
        <f>vlookup(E161, Prices!$A:$G,7,)*G161</f>
        <v>0</v>
      </c>
      <c r="I161" s="191" t="str">
        <f t="shared" si="12"/>
        <v/>
      </c>
      <c r="J161" s="190">
        <f>vlookup(E161, Prices!$A:$G,7,)*I161</f>
        <v>0</v>
      </c>
      <c r="K161" s="191" t="str">
        <f t="shared" si="11"/>
        <v/>
      </c>
      <c r="L161" s="190">
        <f>vlookup(E161, Prices!$A:$G,7,)*K161</f>
        <v>0</v>
      </c>
      <c r="M161" s="174"/>
      <c r="N161" s="28"/>
      <c r="O161" s="28"/>
      <c r="P161" s="163"/>
      <c r="Q161" s="164"/>
      <c r="R161" s="28"/>
      <c r="S161" s="164"/>
      <c r="T161" s="28"/>
      <c r="U161" s="164"/>
      <c r="V161" s="28"/>
      <c r="W161" s="28"/>
      <c r="X161" s="28"/>
      <c r="Y161" s="28"/>
      <c r="Z161" s="28"/>
      <c r="AA161" s="28"/>
      <c r="AB161" s="28"/>
    </row>
    <row r="162" ht="16.5" customHeight="1">
      <c r="A162" s="28"/>
      <c r="B162" s="28"/>
      <c r="C162" s="164"/>
      <c r="D162" s="170"/>
      <c r="E162" s="188" t="s">
        <v>150</v>
      </c>
      <c r="F162" s="188" t="s">
        <v>25</v>
      </c>
      <c r="G162" s="189">
        <f t="shared" si="1"/>
        <v>0</v>
      </c>
      <c r="H162" s="190">
        <f>vlookup(E162, Prices!$A:$G,7,)*G162</f>
        <v>0</v>
      </c>
      <c r="I162" s="191" t="str">
        <f t="shared" si="12"/>
        <v/>
      </c>
      <c r="J162" s="190">
        <f>vlookup(E162, Prices!$A:$G,7,)*I162</f>
        <v>0</v>
      </c>
      <c r="K162" s="191" t="str">
        <f t="shared" si="11"/>
        <v/>
      </c>
      <c r="L162" s="190">
        <f>vlookup(E162, Prices!$A:$G,7,)*K162</f>
        <v>0</v>
      </c>
      <c r="M162" s="174"/>
      <c r="N162" s="28"/>
      <c r="O162" s="28"/>
      <c r="P162" s="163"/>
      <c r="Q162" s="164"/>
      <c r="R162" s="28"/>
      <c r="S162" s="164"/>
      <c r="T162" s="28"/>
      <c r="U162" s="164"/>
      <c r="V162" s="28"/>
      <c r="W162" s="28"/>
      <c r="X162" s="28"/>
      <c r="Y162" s="28"/>
      <c r="Z162" s="28"/>
      <c r="AA162" s="28"/>
      <c r="AB162" s="28"/>
    </row>
    <row r="163" ht="16.5" customHeight="1">
      <c r="A163" s="28"/>
      <c r="B163" s="28"/>
      <c r="C163" s="164"/>
      <c r="D163" s="170"/>
      <c r="E163" s="188" t="s">
        <v>151</v>
      </c>
      <c r="F163" s="188"/>
      <c r="G163" s="189">
        <f t="shared" si="1"/>
        <v>0</v>
      </c>
      <c r="H163" s="190">
        <f>vlookup(E163, Prices!$A:$G,7,)*G163</f>
        <v>0</v>
      </c>
      <c r="I163" s="191" t="str">
        <f t="shared" si="12"/>
        <v/>
      </c>
      <c r="J163" s="190">
        <f>vlookup(E163, Prices!$A:$G,7,)*I163</f>
        <v>0</v>
      </c>
      <c r="K163" s="191" t="str">
        <f t="shared" si="11"/>
        <v/>
      </c>
      <c r="L163" s="190">
        <f>vlookup(E163, Prices!$A:$G,7,)*K163</f>
        <v>0</v>
      </c>
      <c r="M163" s="174"/>
      <c r="N163" s="28"/>
      <c r="O163" s="28"/>
      <c r="P163" s="163"/>
      <c r="Q163" s="164"/>
      <c r="R163" s="28"/>
      <c r="S163" s="164"/>
      <c r="T163" s="28"/>
      <c r="U163" s="164"/>
      <c r="V163" s="28"/>
      <c r="W163" s="28"/>
      <c r="X163" s="28"/>
      <c r="Y163" s="28"/>
      <c r="Z163" s="28"/>
      <c r="AA163" s="28"/>
      <c r="AB163" s="28"/>
    </row>
    <row r="164" ht="16.5" customHeight="1">
      <c r="A164" s="28"/>
      <c r="B164" s="28"/>
      <c r="C164" s="164"/>
      <c r="D164" s="170"/>
      <c r="E164" s="188" t="s">
        <v>159</v>
      </c>
      <c r="F164" s="188" t="s">
        <v>35</v>
      </c>
      <c r="G164" s="189">
        <f t="shared" si="1"/>
        <v>0</v>
      </c>
      <c r="H164" s="190">
        <f>vlookup(E164, Prices!$A:$G,7,)*G164</f>
        <v>0</v>
      </c>
      <c r="I164" s="191" t="str">
        <f t="shared" si="12"/>
        <v/>
      </c>
      <c r="J164" s="190">
        <f>vlookup(E164, Prices!$A:$G,7,)*I164</f>
        <v>0</v>
      </c>
      <c r="K164" s="191" t="str">
        <f t="shared" si="11"/>
        <v/>
      </c>
      <c r="L164" s="190">
        <f>vlookup(E164, Prices!$A:$G,7,)*K164</f>
        <v>0</v>
      </c>
      <c r="M164" s="174"/>
      <c r="N164" s="28"/>
      <c r="O164" s="28"/>
      <c r="P164" s="163"/>
      <c r="Q164" s="164"/>
      <c r="R164" s="28"/>
      <c r="S164" s="164"/>
      <c r="T164" s="28"/>
      <c r="U164" s="164"/>
      <c r="V164" s="28"/>
      <c r="W164" s="28"/>
      <c r="X164" s="28"/>
      <c r="Y164" s="28"/>
      <c r="Z164" s="28"/>
      <c r="AA164" s="28"/>
      <c r="AB164" s="28"/>
    </row>
    <row r="165" ht="16.5" customHeight="1">
      <c r="A165" s="28"/>
      <c r="B165" s="28"/>
      <c r="C165" s="164"/>
      <c r="D165" s="170"/>
      <c r="E165" s="188" t="s">
        <v>165</v>
      </c>
      <c r="F165" s="188" t="s">
        <v>35</v>
      </c>
      <c r="G165" s="189">
        <f t="shared" si="1"/>
        <v>0</v>
      </c>
      <c r="H165" s="190">
        <f>vlookup(E165, Prices!$A:$G,7,)*G165</f>
        <v>0</v>
      </c>
      <c r="I165" s="191" t="str">
        <f t="shared" si="12"/>
        <v/>
      </c>
      <c r="J165" s="190">
        <f>vlookup(E165, Prices!$A:$G,7,)*I165</f>
        <v>0</v>
      </c>
      <c r="K165" s="191" t="str">
        <f t="shared" si="11"/>
        <v/>
      </c>
      <c r="L165" s="190">
        <f>vlookup(E165, Prices!$A:$G,7,)*K165</f>
        <v>0</v>
      </c>
      <c r="M165" s="174"/>
      <c r="N165" s="28"/>
      <c r="O165" s="28"/>
      <c r="P165" s="163"/>
      <c r="Q165" s="164"/>
      <c r="R165" s="28"/>
      <c r="S165" s="164"/>
      <c r="T165" s="28"/>
      <c r="U165" s="164"/>
      <c r="V165" s="28"/>
      <c r="W165" s="28"/>
      <c r="X165" s="28"/>
      <c r="Y165" s="28"/>
      <c r="Z165" s="28"/>
      <c r="AA165" s="28"/>
      <c r="AB165" s="28"/>
    </row>
    <row r="166" ht="16.5" customHeight="1">
      <c r="A166" s="28"/>
      <c r="B166" s="28"/>
      <c r="C166" s="164"/>
      <c r="D166" s="170"/>
      <c r="E166" s="188" t="s">
        <v>169</v>
      </c>
      <c r="F166" s="188" t="s">
        <v>35</v>
      </c>
      <c r="G166" s="189">
        <f t="shared" si="1"/>
        <v>0</v>
      </c>
      <c r="H166" s="190">
        <f>vlookup(E166, Prices!$A:$G,7,)*G166</f>
        <v>0</v>
      </c>
      <c r="I166" s="191" t="str">
        <f t="shared" si="12"/>
        <v/>
      </c>
      <c r="J166" s="190">
        <f>vlookup(E166, Prices!$A:$G,7,)*I166</f>
        <v>0</v>
      </c>
      <c r="K166" s="191" t="str">
        <f t="shared" si="11"/>
        <v/>
      </c>
      <c r="L166" s="190">
        <f>vlookup(E166, Prices!$A:$G,7,)*K166</f>
        <v>0</v>
      </c>
      <c r="M166" s="174"/>
      <c r="N166" s="28"/>
      <c r="O166" s="28"/>
      <c r="P166" s="163"/>
      <c r="Q166" s="164"/>
      <c r="R166" s="28"/>
      <c r="S166" s="164"/>
      <c r="T166" s="28"/>
      <c r="U166" s="164"/>
      <c r="V166" s="28"/>
      <c r="W166" s="28"/>
      <c r="X166" s="28"/>
      <c r="Y166" s="28"/>
      <c r="Z166" s="28"/>
      <c r="AA166" s="28"/>
      <c r="AB166" s="28"/>
    </row>
    <row r="167" ht="16.5" customHeight="1">
      <c r="A167" s="28"/>
      <c r="B167" s="28"/>
      <c r="C167" s="164"/>
      <c r="D167" s="170"/>
      <c r="E167" s="191" t="s">
        <v>170</v>
      </c>
      <c r="F167" s="191" t="s">
        <v>35</v>
      </c>
      <c r="G167" s="189">
        <f t="shared" si="1"/>
        <v>0</v>
      </c>
      <c r="H167" s="190">
        <f>vlookup(E167, Prices!$A:$G,7,)*G167</f>
        <v>0</v>
      </c>
      <c r="I167" s="191" t="str">
        <f t="shared" si="12"/>
        <v/>
      </c>
      <c r="J167" s="190">
        <f>vlookup(E167, Prices!$A:$G,7,)*I167</f>
        <v>0</v>
      </c>
      <c r="K167" s="191" t="str">
        <f t="shared" si="11"/>
        <v/>
      </c>
      <c r="L167" s="190">
        <f>vlookup(E167, Prices!$A:$G,7,)*K167</f>
        <v>0</v>
      </c>
      <c r="M167" s="174"/>
      <c r="N167" s="28"/>
      <c r="O167" s="28"/>
      <c r="P167" s="163"/>
      <c r="Q167" s="164"/>
      <c r="R167" s="28"/>
      <c r="S167" s="164"/>
      <c r="T167" s="28"/>
      <c r="U167" s="164"/>
      <c r="V167" s="28"/>
      <c r="W167" s="28"/>
      <c r="X167" s="28"/>
      <c r="Y167" s="28"/>
      <c r="Z167" s="28"/>
      <c r="AA167" s="28"/>
      <c r="AB167" s="28"/>
    </row>
    <row r="168" ht="16.5" customHeight="1">
      <c r="A168" s="28"/>
      <c r="B168" s="28"/>
      <c r="C168" s="164"/>
      <c r="D168" s="170"/>
      <c r="E168" s="188" t="s">
        <v>175</v>
      </c>
      <c r="F168" s="188"/>
      <c r="G168" s="189">
        <f t="shared" si="1"/>
        <v>0</v>
      </c>
      <c r="H168" s="190">
        <f>vlookup(E168, Prices!$A:$G,7,)*G168</f>
        <v>0</v>
      </c>
      <c r="I168" s="191" t="str">
        <f t="shared" si="12"/>
        <v/>
      </c>
      <c r="J168" s="190">
        <f>vlookup(E168, Prices!$A:$G,7,)*I168</f>
        <v>0</v>
      </c>
      <c r="K168" s="191" t="str">
        <f t="shared" si="11"/>
        <v/>
      </c>
      <c r="L168" s="190"/>
      <c r="M168" s="174"/>
      <c r="N168" s="28"/>
      <c r="O168" s="28"/>
      <c r="P168" s="163"/>
      <c r="Q168" s="164"/>
      <c r="R168" s="28"/>
      <c r="S168" s="164"/>
      <c r="T168" s="28"/>
      <c r="U168" s="164"/>
      <c r="V168" s="28"/>
      <c r="W168" s="28"/>
      <c r="X168" s="28"/>
      <c r="Y168" s="28"/>
      <c r="Z168" s="28"/>
      <c r="AA168" s="28"/>
      <c r="AB168" s="28"/>
    </row>
    <row r="169" ht="16.5" customHeight="1">
      <c r="A169" s="28"/>
      <c r="B169" s="28"/>
      <c r="C169" s="164"/>
      <c r="D169" s="170"/>
      <c r="E169" s="188" t="s">
        <v>183</v>
      </c>
      <c r="F169" s="188" t="s">
        <v>14</v>
      </c>
      <c r="G169" s="189">
        <f t="shared" si="1"/>
        <v>0</v>
      </c>
      <c r="H169" s="190">
        <f>vlookup(E169, Prices!$A:$G,7,)*G169</f>
        <v>0</v>
      </c>
      <c r="I169" s="191" t="str">
        <f t="shared" si="12"/>
        <v/>
      </c>
      <c r="J169" s="190">
        <f>vlookup(E169, Prices!$A:$G,7,)*I169</f>
        <v>0</v>
      </c>
      <c r="K169" s="191" t="str">
        <f t="shared" si="11"/>
        <v/>
      </c>
      <c r="L169" s="190">
        <f>vlookup(E169, Prices!$A:$G,7,)*K169</f>
        <v>0</v>
      </c>
      <c r="M169" s="174"/>
      <c r="N169" s="28"/>
      <c r="O169" s="28"/>
      <c r="P169" s="163"/>
      <c r="Q169" s="164"/>
      <c r="R169" s="28"/>
      <c r="S169" s="164"/>
      <c r="T169" s="28"/>
      <c r="U169" s="164"/>
      <c r="V169" s="28"/>
      <c r="W169" s="28"/>
      <c r="X169" s="28"/>
      <c r="Y169" s="28"/>
      <c r="Z169" s="28"/>
      <c r="AA169" s="28"/>
      <c r="AB169" s="28"/>
    </row>
    <row r="170" ht="16.5" customHeight="1">
      <c r="A170" s="28"/>
      <c r="B170" s="28"/>
      <c r="C170" s="164"/>
      <c r="D170" s="170"/>
      <c r="E170" s="188" t="s">
        <v>184</v>
      </c>
      <c r="F170" s="188"/>
      <c r="G170" s="189">
        <f t="shared" si="1"/>
        <v>0</v>
      </c>
      <c r="H170" s="190">
        <f>vlookup(E170, Prices!$A:$G,7,)*G170</f>
        <v>0</v>
      </c>
      <c r="I170" s="191" t="str">
        <f t="shared" si="12"/>
        <v/>
      </c>
      <c r="J170" s="190">
        <f>vlookup(E170, Prices!$A:$G,7,)*I170</f>
        <v>0</v>
      </c>
      <c r="K170" s="191" t="str">
        <f t="shared" si="11"/>
        <v/>
      </c>
      <c r="L170" s="190">
        <f>vlookup(E170, Prices!$A:$G,7,)*K170</f>
        <v>0</v>
      </c>
      <c r="M170" s="174"/>
      <c r="N170" s="28"/>
      <c r="O170" s="28"/>
      <c r="P170" s="163"/>
      <c r="Q170" s="164"/>
      <c r="R170" s="28"/>
      <c r="S170" s="164"/>
      <c r="T170" s="28"/>
      <c r="U170" s="164"/>
      <c r="V170" s="28"/>
      <c r="W170" s="28"/>
      <c r="X170" s="28"/>
      <c r="Y170" s="28"/>
      <c r="Z170" s="28"/>
      <c r="AA170" s="28"/>
      <c r="AB170" s="28"/>
    </row>
    <row r="171" ht="16.5" customHeight="1">
      <c r="A171" s="28"/>
      <c r="B171" s="28"/>
      <c r="C171" s="164"/>
      <c r="D171" s="170"/>
      <c r="E171" s="188" t="s">
        <v>190</v>
      </c>
      <c r="F171" s="188" t="s">
        <v>17</v>
      </c>
      <c r="G171" s="189">
        <f t="shared" si="1"/>
        <v>0</v>
      </c>
      <c r="H171" s="190">
        <f>vlookup(E171, Prices!$A:$G,7,)*G171</f>
        <v>0</v>
      </c>
      <c r="I171" s="191" t="str">
        <f t="shared" si="12"/>
        <v/>
      </c>
      <c r="J171" s="190">
        <f>vlookup(E171, Prices!$A:$G,7,)*I171</f>
        <v>0</v>
      </c>
      <c r="K171" s="191" t="str">
        <f t="shared" si="11"/>
        <v/>
      </c>
      <c r="L171" s="190">
        <f>vlookup(E171, Prices!$A:$G,7,)*K171</f>
        <v>0</v>
      </c>
      <c r="M171" s="174"/>
      <c r="N171" s="28"/>
      <c r="O171" s="28"/>
      <c r="P171" s="163"/>
      <c r="Q171" s="164"/>
      <c r="R171" s="28"/>
      <c r="S171" s="164"/>
      <c r="T171" s="28"/>
      <c r="U171" s="164"/>
      <c r="V171" s="28"/>
      <c r="W171" s="28"/>
      <c r="X171" s="28"/>
      <c r="Y171" s="28"/>
      <c r="Z171" s="28"/>
      <c r="AA171" s="28"/>
      <c r="AB171" s="28"/>
    </row>
    <row r="172" ht="16.5" customHeight="1">
      <c r="A172" s="28"/>
      <c r="B172" s="28"/>
      <c r="C172" s="164"/>
      <c r="D172" s="170"/>
      <c r="E172" s="188" t="s">
        <v>201</v>
      </c>
      <c r="F172" s="188" t="s">
        <v>202</v>
      </c>
      <c r="G172" s="189">
        <f t="shared" si="1"/>
        <v>0</v>
      </c>
      <c r="H172" s="190">
        <f>vlookup(E172, Prices!$A:$G,7,)*G172</f>
        <v>0</v>
      </c>
      <c r="I172" s="191" t="str">
        <f t="shared" si="12"/>
        <v/>
      </c>
      <c r="J172" s="190">
        <f>vlookup(E172, Prices!$A:$G,7,)*I172</f>
        <v>0</v>
      </c>
      <c r="K172" s="191" t="str">
        <f t="shared" si="11"/>
        <v/>
      </c>
      <c r="L172" s="190">
        <f>vlookup(E172, Prices!$A:$G,7,)*K172</f>
        <v>0</v>
      </c>
      <c r="M172" s="174"/>
      <c r="N172" s="28"/>
      <c r="O172" s="28"/>
      <c r="P172" s="163"/>
      <c r="Q172" s="164"/>
      <c r="R172" s="28"/>
      <c r="S172" s="164"/>
      <c r="T172" s="28"/>
      <c r="U172" s="164"/>
      <c r="V172" s="28"/>
      <c r="W172" s="28"/>
      <c r="X172" s="28"/>
      <c r="Y172" s="28"/>
      <c r="Z172" s="28"/>
      <c r="AA172" s="28"/>
      <c r="AB172" s="28"/>
    </row>
    <row r="173" ht="16.5" customHeight="1">
      <c r="A173" s="28"/>
      <c r="B173" s="28"/>
      <c r="C173" s="164"/>
      <c r="D173" s="170"/>
      <c r="E173" s="188" t="s">
        <v>209</v>
      </c>
      <c r="F173" s="188" t="s">
        <v>17</v>
      </c>
      <c r="G173" s="189">
        <f t="shared" si="1"/>
        <v>0</v>
      </c>
      <c r="H173" s="190">
        <f>vlookup(E173, Prices!$A:$G,7,)*G173</f>
        <v>0</v>
      </c>
      <c r="I173" s="191" t="str">
        <f t="shared" si="12"/>
        <v/>
      </c>
      <c r="J173" s="190">
        <f>vlookup(E173, Prices!$A:$G,7,)*I173</f>
        <v>0</v>
      </c>
      <c r="K173" s="191" t="str">
        <f t="shared" si="11"/>
        <v/>
      </c>
      <c r="L173" s="190">
        <f>vlookup(E173, Prices!$A:$G,7,)*K173</f>
        <v>0</v>
      </c>
      <c r="M173" s="174"/>
      <c r="N173" s="28"/>
      <c r="O173" s="28"/>
      <c r="P173" s="163"/>
      <c r="Q173" s="164"/>
      <c r="R173" s="28"/>
      <c r="S173" s="164"/>
      <c r="T173" s="28"/>
      <c r="U173" s="164"/>
      <c r="V173" s="28"/>
      <c r="W173" s="28"/>
      <c r="X173" s="28"/>
      <c r="Y173" s="28"/>
      <c r="Z173" s="28"/>
      <c r="AA173" s="28"/>
      <c r="AB173" s="28"/>
    </row>
    <row r="174" ht="16.5" customHeight="1">
      <c r="A174" s="28"/>
      <c r="B174" s="28"/>
      <c r="C174" s="164"/>
      <c r="D174" s="170"/>
      <c r="E174" s="188" t="s">
        <v>213</v>
      </c>
      <c r="F174" s="188" t="s">
        <v>35</v>
      </c>
      <c r="G174" s="189">
        <f t="shared" si="1"/>
        <v>0</v>
      </c>
      <c r="H174" s="190">
        <f>vlookup(E174, Prices!$A:$G,7,)*G174</f>
        <v>0</v>
      </c>
      <c r="I174" s="191" t="str">
        <f t="shared" si="12"/>
        <v/>
      </c>
      <c r="J174" s="190">
        <f>vlookup(E174, Prices!$A:$G,7,)*I174</f>
        <v>0</v>
      </c>
      <c r="K174" s="191" t="str">
        <f t="shared" si="11"/>
        <v/>
      </c>
      <c r="L174" s="190">
        <f>vlookup(E174, Prices!$A:$G,7,)*K174</f>
        <v>0</v>
      </c>
      <c r="M174" s="174"/>
      <c r="N174" s="28"/>
      <c r="O174" s="28"/>
      <c r="P174" s="163"/>
      <c r="Q174" s="164"/>
      <c r="R174" s="28"/>
      <c r="S174" s="164"/>
      <c r="T174" s="28"/>
      <c r="U174" s="164"/>
      <c r="V174" s="28"/>
      <c r="W174" s="28"/>
      <c r="X174" s="28"/>
      <c r="Y174" s="28"/>
      <c r="Z174" s="28"/>
      <c r="AA174" s="28"/>
      <c r="AB174" s="28"/>
    </row>
    <row r="175" ht="16.5" customHeight="1">
      <c r="A175" s="28"/>
      <c r="B175" s="28"/>
      <c r="C175" s="164"/>
      <c r="D175" s="170"/>
      <c r="E175" s="188" t="s">
        <v>220</v>
      </c>
      <c r="F175" s="188" t="s">
        <v>35</v>
      </c>
      <c r="G175" s="189">
        <f t="shared" si="1"/>
        <v>0</v>
      </c>
      <c r="H175" s="190">
        <f>vlookup(E175, Prices!$A:$G,7,)*G175</f>
        <v>0</v>
      </c>
      <c r="I175" s="191" t="str">
        <f t="shared" si="12"/>
        <v/>
      </c>
      <c r="J175" s="190">
        <f>vlookup(E175, Prices!$A:$G,7,)*I175</f>
        <v>0</v>
      </c>
      <c r="K175" s="191" t="str">
        <f t="shared" si="11"/>
        <v/>
      </c>
      <c r="L175" s="190">
        <f>vlookup(E175, Prices!$A:$G,7,)*K175</f>
        <v>0</v>
      </c>
      <c r="M175" s="174"/>
      <c r="N175" s="28"/>
      <c r="O175" s="28"/>
      <c r="P175" s="163"/>
      <c r="Q175" s="164"/>
      <c r="R175" s="28"/>
      <c r="S175" s="164"/>
      <c r="T175" s="28"/>
      <c r="U175" s="164"/>
      <c r="V175" s="28"/>
      <c r="W175" s="28"/>
      <c r="X175" s="28"/>
      <c r="Y175" s="28"/>
      <c r="Z175" s="28"/>
      <c r="AA175" s="28"/>
      <c r="AB175" s="28"/>
    </row>
    <row r="176" ht="16.5" customHeight="1">
      <c r="A176" s="28"/>
      <c r="B176" s="28"/>
      <c r="C176" s="164"/>
      <c r="D176" s="170"/>
      <c r="E176" s="188" t="s">
        <v>222</v>
      </c>
      <c r="F176" s="188" t="s">
        <v>17</v>
      </c>
      <c r="G176" s="189">
        <f t="shared" si="1"/>
        <v>0</v>
      </c>
      <c r="H176" s="190">
        <f>vlookup(E176, Prices!$A:$G,7,)*G176</f>
        <v>0</v>
      </c>
      <c r="I176" s="191" t="str">
        <f t="shared" si="12"/>
        <v/>
      </c>
      <c r="J176" s="190">
        <f>vlookup(E176, Prices!$A:$G,7,)*I176</f>
        <v>0</v>
      </c>
      <c r="K176" s="191" t="str">
        <f t="shared" si="11"/>
        <v/>
      </c>
      <c r="L176" s="190">
        <f>vlookup(E176, Prices!$A:$G,7,)*K176</f>
        <v>0</v>
      </c>
      <c r="M176" s="174"/>
      <c r="N176" s="28"/>
      <c r="O176" s="28"/>
      <c r="P176" s="163"/>
      <c r="Q176" s="164"/>
      <c r="R176" s="28"/>
      <c r="S176" s="164"/>
      <c r="T176" s="28"/>
      <c r="U176" s="164"/>
      <c r="V176" s="28"/>
      <c r="W176" s="28"/>
      <c r="X176" s="28"/>
      <c r="Y176" s="28"/>
      <c r="Z176" s="28"/>
      <c r="AA176" s="28"/>
      <c r="AB176" s="28"/>
    </row>
    <row r="177" ht="16.5" customHeight="1">
      <c r="A177" s="28"/>
      <c r="B177" s="28"/>
      <c r="C177" s="164"/>
      <c r="D177" s="170"/>
      <c r="E177" s="241" t="s">
        <v>239</v>
      </c>
      <c r="F177" s="188" t="s">
        <v>35</v>
      </c>
      <c r="G177" s="189">
        <f t="shared" si="1"/>
        <v>0</v>
      </c>
      <c r="H177" s="190">
        <f>vlookup(E177, Prices!$A:$G,7,)*G177</f>
        <v>0</v>
      </c>
      <c r="I177" s="191" t="str">
        <f t="shared" si="12"/>
        <v/>
      </c>
      <c r="J177" s="190">
        <f>vlookup(E177, Prices!$A:$G,7,)*I177</f>
        <v>0</v>
      </c>
      <c r="K177" s="191" t="str">
        <f t="shared" si="11"/>
        <v/>
      </c>
      <c r="L177" s="190">
        <f>vlookup(E177, Prices!$A:$G,7,)*K177</f>
        <v>0</v>
      </c>
      <c r="M177" s="174"/>
      <c r="N177" s="28"/>
      <c r="O177" s="28"/>
      <c r="P177" s="163"/>
      <c r="Q177" s="164"/>
      <c r="R177" s="28"/>
      <c r="S177" s="164"/>
      <c r="T177" s="28"/>
      <c r="U177" s="164"/>
      <c r="V177" s="28"/>
      <c r="W177" s="28"/>
      <c r="X177" s="28"/>
      <c r="Y177" s="28"/>
      <c r="Z177" s="28"/>
      <c r="AA177" s="28"/>
      <c r="AB177" s="28"/>
    </row>
    <row r="178" ht="16.5" customHeight="1">
      <c r="A178" s="28"/>
      <c r="B178" s="28"/>
      <c r="C178" s="164"/>
      <c r="D178" s="170"/>
      <c r="E178" s="188" t="s">
        <v>251</v>
      </c>
      <c r="F178" s="188" t="s">
        <v>35</v>
      </c>
      <c r="G178" s="189">
        <f t="shared" si="1"/>
        <v>0</v>
      </c>
      <c r="H178" s="190">
        <f>vlookup(E178, Prices!$A:$G,7,)*G178</f>
        <v>0</v>
      </c>
      <c r="I178" s="191" t="str">
        <f t="shared" si="12"/>
        <v/>
      </c>
      <c r="J178" s="190">
        <f>vlookup(E178, Prices!$A:$G,7,)*I178</f>
        <v>0</v>
      </c>
      <c r="K178" s="191" t="str">
        <f t="shared" si="11"/>
        <v/>
      </c>
      <c r="L178" s="190">
        <f>vlookup(E178, Prices!$A:$G,7,)*K178</f>
        <v>0</v>
      </c>
      <c r="M178" s="174"/>
      <c r="N178" s="28"/>
      <c r="O178" s="28"/>
      <c r="P178" s="163"/>
      <c r="Q178" s="164"/>
      <c r="R178" s="28"/>
      <c r="S178" s="164"/>
      <c r="T178" s="28"/>
      <c r="U178" s="164"/>
      <c r="V178" s="28"/>
      <c r="W178" s="28"/>
      <c r="X178" s="28"/>
      <c r="Y178" s="28"/>
      <c r="Z178" s="28"/>
      <c r="AA178" s="28"/>
      <c r="AB178" s="28"/>
    </row>
    <row r="179" ht="16.5" customHeight="1">
      <c r="A179" s="28"/>
      <c r="B179" s="28"/>
      <c r="C179" s="164"/>
      <c r="D179" s="170"/>
      <c r="E179" s="188" t="s">
        <v>252</v>
      </c>
      <c r="F179" s="188"/>
      <c r="G179" s="189">
        <f t="shared" si="1"/>
        <v>0</v>
      </c>
      <c r="H179" s="190">
        <f>vlookup(E179, Prices!$A:$G,7,)*G179</f>
        <v>0</v>
      </c>
      <c r="I179" s="191" t="str">
        <f t="shared" si="12"/>
        <v/>
      </c>
      <c r="J179" s="190">
        <f>vlookup(E179, Prices!$A:$G,7,)*I179</f>
        <v>0</v>
      </c>
      <c r="K179" s="191" t="str">
        <f t="shared" si="11"/>
        <v/>
      </c>
      <c r="L179" s="190">
        <f>vlookup(E179, Prices!$A:$G,7,)*K179</f>
        <v>0</v>
      </c>
      <c r="M179" s="174"/>
      <c r="N179" s="28"/>
      <c r="O179" s="28"/>
      <c r="P179" s="163"/>
      <c r="Q179" s="164"/>
      <c r="R179" s="28"/>
      <c r="S179" s="164"/>
      <c r="T179" s="28"/>
      <c r="U179" s="164"/>
      <c r="V179" s="28"/>
      <c r="W179" s="28"/>
      <c r="X179" s="28"/>
      <c r="Y179" s="28"/>
      <c r="Z179" s="28"/>
      <c r="AA179" s="28"/>
      <c r="AB179" s="28"/>
    </row>
    <row r="180" ht="16.5" customHeight="1">
      <c r="A180" s="28"/>
      <c r="B180" s="28"/>
      <c r="C180" s="164"/>
      <c r="D180" s="170"/>
      <c r="E180" s="188" t="s">
        <v>253</v>
      </c>
      <c r="F180" s="188" t="s">
        <v>254</v>
      </c>
      <c r="G180" s="189">
        <f t="shared" si="1"/>
        <v>0</v>
      </c>
      <c r="H180" s="190">
        <f>vlookup(E180, Prices!$A:$G,7,)*G180</f>
        <v>0</v>
      </c>
      <c r="I180" s="191" t="str">
        <f t="shared" si="12"/>
        <v/>
      </c>
      <c r="J180" s="190">
        <f>vlookup(E180, Prices!$A:$G,7,)*I180</f>
        <v>0</v>
      </c>
      <c r="K180" s="191" t="str">
        <f t="shared" si="11"/>
        <v/>
      </c>
      <c r="L180" s="190">
        <f>vlookup(E180, Prices!$A:$G,7,)*K180</f>
        <v>0</v>
      </c>
      <c r="M180" s="174"/>
      <c r="N180" s="28"/>
      <c r="O180" s="28"/>
      <c r="P180" s="163"/>
      <c r="Q180" s="164"/>
      <c r="R180" s="28"/>
      <c r="S180" s="164"/>
      <c r="T180" s="28"/>
      <c r="U180" s="164"/>
      <c r="V180" s="28"/>
      <c r="W180" s="28"/>
      <c r="X180" s="28"/>
      <c r="Y180" s="28"/>
      <c r="Z180" s="28"/>
      <c r="AA180" s="28"/>
      <c r="AB180" s="28"/>
    </row>
    <row r="181" ht="16.5" customHeight="1">
      <c r="A181" s="28"/>
      <c r="B181" s="28"/>
      <c r="C181" s="164"/>
      <c r="D181" s="170"/>
      <c r="E181" s="188" t="s">
        <v>256</v>
      </c>
      <c r="F181" s="188" t="s">
        <v>234</v>
      </c>
      <c r="G181" s="189">
        <f t="shared" si="1"/>
        <v>0</v>
      </c>
      <c r="H181" s="190">
        <f>vlookup(E181, Prices!$A:$G,7,)*G181</f>
        <v>0</v>
      </c>
      <c r="I181" s="191" t="str">
        <f t="shared" si="12"/>
        <v/>
      </c>
      <c r="J181" s="190">
        <f>vlookup(E181, Prices!$A:$G,7,)*I181</f>
        <v>0</v>
      </c>
      <c r="K181" s="191" t="str">
        <f t="shared" si="11"/>
        <v/>
      </c>
      <c r="L181" s="190">
        <f>vlookup(E181, Prices!$A:$G,7,)*K181</f>
        <v>0</v>
      </c>
      <c r="M181" s="174"/>
      <c r="N181" s="28"/>
      <c r="O181" s="28"/>
      <c r="P181" s="163"/>
      <c r="Q181" s="164"/>
      <c r="R181" s="28"/>
      <c r="S181" s="164"/>
      <c r="T181" s="28"/>
      <c r="U181" s="164"/>
      <c r="V181" s="28"/>
      <c r="W181" s="28"/>
      <c r="X181" s="28"/>
      <c r="Y181" s="28"/>
      <c r="Z181" s="28"/>
      <c r="AA181" s="28"/>
      <c r="AB181" s="28"/>
    </row>
    <row r="182" ht="16.5" customHeight="1">
      <c r="A182" s="28"/>
      <c r="B182" s="28"/>
      <c r="C182" s="164"/>
      <c r="D182" s="170"/>
      <c r="E182" s="188" t="s">
        <v>258</v>
      </c>
      <c r="F182" s="188" t="s">
        <v>17</v>
      </c>
      <c r="G182" s="189">
        <f t="shared" si="1"/>
        <v>-6</v>
      </c>
      <c r="H182" s="190">
        <f>vlookup(E182, Prices!$A:$G,7,)*G182</f>
        <v>-4800</v>
      </c>
      <c r="I182" s="191" t="str">
        <f t="shared" si="12"/>
        <v/>
      </c>
      <c r="J182" s="190">
        <f>vlookup(E182, Prices!$A:$G,7,)*I182</f>
        <v>0</v>
      </c>
      <c r="K182" s="191" t="str">
        <f t="shared" si="11"/>
        <v/>
      </c>
      <c r="L182" s="190">
        <f>vlookup(E182, Prices!$A:$G,7,)*K182</f>
        <v>0</v>
      </c>
      <c r="M182" s="174"/>
      <c r="N182" s="28"/>
      <c r="O182" s="28"/>
      <c r="P182" s="163"/>
      <c r="Q182" s="164"/>
      <c r="R182" s="28"/>
      <c r="S182" s="164"/>
      <c r="T182" s="28"/>
      <c r="U182" s="164"/>
      <c r="V182" s="28"/>
      <c r="W182" s="28"/>
      <c r="X182" s="28"/>
      <c r="Y182" s="28"/>
      <c r="Z182" s="28"/>
      <c r="AA182" s="28"/>
      <c r="AB182" s="28"/>
    </row>
    <row r="183" ht="16.5" customHeight="1">
      <c r="A183" s="28"/>
      <c r="B183" s="28"/>
      <c r="C183" s="164"/>
      <c r="D183" s="170"/>
      <c r="E183" s="238" t="s">
        <v>11</v>
      </c>
      <c r="F183" s="191"/>
      <c r="G183" s="189"/>
      <c r="H183" s="190"/>
      <c r="I183" s="191" t="str">
        <f t="shared" si="12"/>
        <v/>
      </c>
      <c r="J183" s="190"/>
      <c r="K183" s="191"/>
      <c r="L183" s="190"/>
      <c r="M183" s="174"/>
      <c r="N183" s="28"/>
      <c r="O183" s="28"/>
      <c r="P183" s="163"/>
      <c r="Q183" s="164"/>
      <c r="R183" s="28"/>
      <c r="S183" s="164"/>
      <c r="T183" s="28"/>
      <c r="U183" s="164"/>
      <c r="V183" s="28"/>
      <c r="W183" s="28"/>
      <c r="X183" s="28"/>
      <c r="Y183" s="28"/>
      <c r="Z183" s="28"/>
      <c r="AA183" s="28"/>
      <c r="AB183" s="28"/>
    </row>
    <row r="184" ht="16.5" customHeight="1">
      <c r="A184" s="28"/>
      <c r="B184" s="28"/>
      <c r="C184" s="164"/>
      <c r="D184" s="170"/>
      <c r="E184" s="238" t="s">
        <v>65</v>
      </c>
      <c r="F184" s="191"/>
      <c r="G184" s="189"/>
      <c r="H184" s="190"/>
      <c r="I184" s="191" t="str">
        <f t="shared" si="12"/>
        <v/>
      </c>
      <c r="J184" s="190"/>
      <c r="K184" s="191"/>
      <c r="L184" s="190"/>
      <c r="M184" s="174"/>
      <c r="N184" s="28"/>
      <c r="O184" s="28"/>
      <c r="P184" s="163"/>
      <c r="Q184" s="164"/>
      <c r="R184" s="28"/>
      <c r="S184" s="164"/>
      <c r="T184" s="28"/>
      <c r="U184" s="164"/>
      <c r="V184" s="28"/>
      <c r="W184" s="28"/>
      <c r="X184" s="28"/>
      <c r="Y184" s="28"/>
      <c r="Z184" s="28"/>
      <c r="AA184" s="28"/>
      <c r="AB184" s="28"/>
    </row>
    <row r="185" ht="16.5" customHeight="1">
      <c r="A185" s="28"/>
      <c r="B185" s="28"/>
      <c r="C185" s="164"/>
      <c r="D185" s="245"/>
      <c r="E185" s="246" t="s">
        <v>85</v>
      </c>
      <c r="F185" s="247"/>
      <c r="G185" s="189"/>
      <c r="H185" s="190"/>
      <c r="I185" s="191" t="str">
        <f t="shared" si="12"/>
        <v/>
      </c>
      <c r="J185" s="190"/>
      <c r="K185" s="191"/>
      <c r="L185" s="190"/>
      <c r="M185" s="174"/>
      <c r="N185" s="28"/>
      <c r="O185" s="28"/>
      <c r="P185" s="163"/>
      <c r="Q185" s="164"/>
      <c r="R185" s="28"/>
      <c r="S185" s="164"/>
      <c r="T185" s="28"/>
      <c r="U185" s="164"/>
      <c r="V185" s="28"/>
      <c r="W185" s="28"/>
      <c r="X185" s="28"/>
      <c r="Y185" s="28"/>
      <c r="Z185" s="28"/>
      <c r="AA185" s="28"/>
      <c r="AB185" s="28"/>
    </row>
    <row r="186" ht="16.5" customHeight="1">
      <c r="A186" s="28"/>
      <c r="B186" s="28"/>
      <c r="C186" s="164"/>
      <c r="D186" s="245"/>
      <c r="E186" s="246" t="s">
        <v>96</v>
      </c>
      <c r="F186" s="247"/>
      <c r="G186" s="189"/>
      <c r="H186" s="190"/>
      <c r="I186" s="191" t="str">
        <f t="shared" si="12"/>
        <v/>
      </c>
      <c r="J186" s="190"/>
      <c r="K186" s="191"/>
      <c r="L186" s="190"/>
      <c r="M186" s="174"/>
      <c r="N186" s="28"/>
      <c r="O186" s="28"/>
      <c r="P186" s="163"/>
      <c r="Q186" s="164"/>
      <c r="R186" s="28"/>
      <c r="S186" s="164"/>
      <c r="T186" s="28"/>
      <c r="U186" s="164"/>
      <c r="V186" s="28"/>
      <c r="W186" s="28"/>
      <c r="X186" s="28"/>
      <c r="Y186" s="28"/>
      <c r="Z186" s="28"/>
      <c r="AA186" s="28"/>
      <c r="AB186" s="28"/>
    </row>
    <row r="187" ht="16.5" customHeight="1">
      <c r="A187" s="28"/>
      <c r="B187" s="28"/>
      <c r="C187" s="164"/>
      <c r="D187" s="245"/>
      <c r="E187" s="248" t="s">
        <v>245</v>
      </c>
      <c r="F187" s="249"/>
      <c r="G187" s="189"/>
      <c r="H187" s="190"/>
      <c r="I187" s="191" t="str">
        <f t="shared" si="12"/>
        <v/>
      </c>
      <c r="J187" s="190"/>
      <c r="K187" s="191"/>
      <c r="L187" s="190"/>
      <c r="M187" s="174"/>
      <c r="N187" s="28"/>
      <c r="O187" s="28"/>
      <c r="P187" s="163"/>
      <c r="Q187" s="164"/>
      <c r="R187" s="28"/>
      <c r="S187" s="164"/>
      <c r="T187" s="28"/>
      <c r="U187" s="164"/>
      <c r="V187" s="28"/>
      <c r="W187" s="28"/>
      <c r="X187" s="28"/>
      <c r="Y187" s="28"/>
      <c r="Z187" s="28"/>
      <c r="AA187" s="28"/>
      <c r="AB187" s="28"/>
    </row>
    <row r="188" ht="16.5" customHeight="1">
      <c r="A188" s="28"/>
      <c r="B188" s="28"/>
      <c r="C188" s="164"/>
      <c r="D188" s="245"/>
      <c r="E188" s="235"/>
      <c r="F188" s="247"/>
      <c r="G188" s="28"/>
      <c r="H188" s="237"/>
      <c r="I188" s="28"/>
      <c r="J188" s="237"/>
      <c r="K188" s="28"/>
      <c r="L188" s="237"/>
      <c r="M188" s="174"/>
      <c r="N188" s="28"/>
      <c r="O188" s="28"/>
      <c r="P188" s="163"/>
      <c r="Q188" s="164"/>
      <c r="R188" s="28"/>
      <c r="S188" s="164"/>
      <c r="T188" s="28"/>
      <c r="U188" s="164"/>
      <c r="V188" s="28"/>
      <c r="W188" s="28"/>
      <c r="X188" s="28"/>
      <c r="Y188" s="28"/>
      <c r="Z188" s="28"/>
      <c r="AA188" s="28"/>
      <c r="AB188" s="28"/>
    </row>
    <row r="189" ht="16.5" customHeight="1">
      <c r="A189" s="28"/>
      <c r="B189" s="28"/>
      <c r="C189" s="164"/>
      <c r="D189" s="245"/>
      <c r="E189" s="235"/>
      <c r="F189" s="247"/>
      <c r="G189" s="28"/>
      <c r="H189" s="237"/>
      <c r="I189" s="28"/>
      <c r="J189" s="237"/>
      <c r="K189" s="28"/>
      <c r="L189" s="237"/>
      <c r="M189" s="174"/>
      <c r="N189" s="28"/>
      <c r="O189" s="28"/>
      <c r="P189" s="163"/>
      <c r="Q189" s="164"/>
      <c r="R189" s="28"/>
      <c r="S189" s="164"/>
      <c r="T189" s="28"/>
      <c r="U189" s="164"/>
      <c r="V189" s="28"/>
      <c r="W189" s="28"/>
      <c r="X189" s="28"/>
      <c r="Y189" s="28"/>
      <c r="Z189" s="28"/>
      <c r="AA189" s="28"/>
      <c r="AB189" s="28"/>
    </row>
    <row r="190" ht="14.25" customHeight="1">
      <c r="A190" s="28"/>
      <c r="B190" s="28"/>
      <c r="C190" s="164"/>
      <c r="D190" s="245"/>
      <c r="E190" s="235"/>
      <c r="F190" s="247"/>
      <c r="G190" s="28"/>
      <c r="H190" s="237"/>
      <c r="I190" s="28"/>
      <c r="J190" s="237"/>
      <c r="K190" s="28"/>
      <c r="L190" s="237"/>
      <c r="M190" s="174"/>
      <c r="N190" s="28"/>
      <c r="O190" s="28"/>
      <c r="P190" s="163"/>
      <c r="Q190" s="164"/>
      <c r="R190" s="28"/>
      <c r="S190" s="164"/>
      <c r="T190" s="28"/>
      <c r="U190" s="164"/>
      <c r="V190" s="28"/>
      <c r="W190" s="28"/>
      <c r="X190" s="28"/>
      <c r="Y190" s="28"/>
      <c r="Z190" s="28"/>
      <c r="AA190" s="28"/>
      <c r="AB190" s="28"/>
    </row>
    <row r="191" ht="14.25" customHeight="1">
      <c r="A191" s="28"/>
      <c r="B191" s="28"/>
      <c r="C191" s="164"/>
      <c r="D191" s="245"/>
      <c r="E191" s="235"/>
      <c r="F191" s="247"/>
      <c r="G191" s="28"/>
      <c r="H191" s="237"/>
      <c r="I191" s="28"/>
      <c r="J191" s="237"/>
      <c r="K191" s="28"/>
      <c r="L191" s="237"/>
      <c r="M191" s="174"/>
      <c r="N191" s="28"/>
      <c r="O191" s="28"/>
      <c r="P191" s="163"/>
      <c r="Q191" s="164"/>
      <c r="R191" s="28"/>
      <c r="S191" s="164"/>
      <c r="T191" s="28"/>
      <c r="U191" s="164"/>
      <c r="V191" s="28"/>
      <c r="W191" s="28"/>
      <c r="X191" s="28"/>
      <c r="Y191" s="28"/>
      <c r="Z191" s="28"/>
      <c r="AA191" s="28"/>
      <c r="AB191" s="28"/>
    </row>
    <row r="192" ht="14.25" customHeight="1">
      <c r="A192" s="28"/>
      <c r="B192" s="28"/>
      <c r="C192" s="164"/>
      <c r="D192" s="245"/>
      <c r="E192" s="235"/>
      <c r="F192" s="247"/>
      <c r="G192" s="28"/>
      <c r="H192" s="237"/>
      <c r="I192" s="28"/>
      <c r="J192" s="237"/>
      <c r="K192" s="28"/>
      <c r="L192" s="237"/>
      <c r="M192" s="174"/>
      <c r="N192" s="28"/>
      <c r="O192" s="28"/>
      <c r="P192" s="163"/>
      <c r="Q192" s="164"/>
      <c r="R192" s="28"/>
      <c r="S192" s="164"/>
      <c r="T192" s="28"/>
      <c r="U192" s="164"/>
      <c r="V192" s="28"/>
      <c r="W192" s="28"/>
      <c r="X192" s="28"/>
      <c r="Y192" s="28"/>
      <c r="Z192" s="28"/>
      <c r="AA192" s="28"/>
      <c r="AB192" s="28"/>
    </row>
    <row r="193">
      <c r="A193" s="28"/>
      <c r="B193" s="28"/>
      <c r="C193" s="164"/>
      <c r="D193" s="245"/>
      <c r="E193" s="235"/>
      <c r="F193" s="247"/>
      <c r="G193" s="28"/>
      <c r="H193" s="237"/>
      <c r="I193" s="28"/>
      <c r="J193" s="237"/>
      <c r="K193" s="28"/>
      <c r="L193" s="237"/>
      <c r="M193" s="174"/>
      <c r="N193" s="28"/>
      <c r="O193" s="28"/>
      <c r="P193" s="163"/>
      <c r="Q193" s="164"/>
      <c r="R193" s="28"/>
      <c r="S193" s="164"/>
      <c r="T193" s="28"/>
      <c r="U193" s="164"/>
      <c r="V193" s="28"/>
      <c r="W193" s="28"/>
      <c r="X193" s="28"/>
      <c r="Y193" s="28"/>
      <c r="Z193" s="28"/>
      <c r="AA193" s="28"/>
      <c r="AB193" s="28"/>
    </row>
    <row r="194">
      <c r="A194" s="28"/>
      <c r="B194" s="28"/>
      <c r="C194" s="164"/>
      <c r="D194" s="245"/>
      <c r="E194" s="235"/>
      <c r="F194" s="247"/>
      <c r="G194" s="28"/>
      <c r="H194" s="237"/>
      <c r="I194" s="28"/>
      <c r="J194" s="237"/>
      <c r="K194" s="28"/>
      <c r="L194" s="237"/>
      <c r="M194" s="174"/>
      <c r="N194" s="28"/>
      <c r="O194" s="28"/>
      <c r="P194" s="163"/>
      <c r="Q194" s="164"/>
      <c r="R194" s="28"/>
      <c r="S194" s="164"/>
      <c r="T194" s="28"/>
      <c r="U194" s="164"/>
      <c r="V194" s="28"/>
      <c r="W194" s="28"/>
      <c r="X194" s="28"/>
      <c r="Y194" s="28"/>
      <c r="Z194" s="28"/>
      <c r="AA194" s="28"/>
      <c r="AB194" s="28"/>
    </row>
    <row r="195">
      <c r="A195" s="28"/>
      <c r="B195" s="28"/>
      <c r="C195" s="164"/>
      <c r="D195" s="245"/>
      <c r="E195" s="235"/>
      <c r="F195" s="247"/>
      <c r="G195" s="28"/>
      <c r="H195" s="237"/>
      <c r="I195" s="28"/>
      <c r="J195" s="237"/>
      <c r="K195" s="28"/>
      <c r="L195" s="237"/>
      <c r="M195" s="174"/>
      <c r="N195" s="28"/>
      <c r="O195" s="28"/>
      <c r="P195" s="163"/>
      <c r="Q195" s="164"/>
      <c r="R195" s="28"/>
      <c r="S195" s="164"/>
      <c r="T195" s="28"/>
      <c r="U195" s="164"/>
      <c r="V195" s="28"/>
      <c r="W195" s="28"/>
      <c r="X195" s="28"/>
      <c r="Y195" s="28"/>
      <c r="Z195" s="28"/>
      <c r="AA195" s="28"/>
      <c r="AB195" s="28"/>
    </row>
    <row r="196">
      <c r="A196" s="28"/>
      <c r="B196" s="28"/>
      <c r="C196" s="164"/>
      <c r="D196" s="245"/>
      <c r="E196" s="235"/>
      <c r="F196" s="247"/>
      <c r="G196" s="28"/>
      <c r="H196" s="237"/>
      <c r="I196" s="28"/>
      <c r="J196" s="237"/>
      <c r="K196" s="28"/>
      <c r="L196" s="237"/>
      <c r="M196" s="174"/>
      <c r="N196" s="28"/>
      <c r="O196" s="28"/>
      <c r="P196" s="163"/>
      <c r="Q196" s="164"/>
      <c r="R196" s="28"/>
      <c r="S196" s="164"/>
      <c r="T196" s="28"/>
      <c r="U196" s="164"/>
      <c r="V196" s="28"/>
      <c r="W196" s="28"/>
      <c r="X196" s="28"/>
      <c r="Y196" s="28"/>
      <c r="Z196" s="28"/>
      <c r="AA196" s="28"/>
      <c r="AB196" s="28"/>
    </row>
    <row r="197">
      <c r="A197" s="28"/>
      <c r="B197" s="28"/>
      <c r="C197" s="164"/>
      <c r="D197" s="245"/>
      <c r="E197" s="235"/>
      <c r="F197" s="247"/>
      <c r="G197" s="28"/>
      <c r="H197" s="237"/>
      <c r="I197" s="28"/>
      <c r="J197" s="237"/>
      <c r="K197" s="28"/>
      <c r="L197" s="237"/>
      <c r="M197" s="174"/>
      <c r="N197" s="28"/>
      <c r="O197" s="28"/>
      <c r="P197" s="163"/>
      <c r="Q197" s="164"/>
      <c r="R197" s="28"/>
      <c r="S197" s="164"/>
      <c r="T197" s="28"/>
      <c r="U197" s="164"/>
      <c r="V197" s="28"/>
      <c r="W197" s="28"/>
      <c r="X197" s="28"/>
      <c r="Y197" s="28"/>
      <c r="Z197" s="28"/>
      <c r="AA197" s="28"/>
      <c r="AB197" s="28"/>
    </row>
    <row r="198">
      <c r="A198" s="28"/>
      <c r="B198" s="28"/>
      <c r="C198" s="164"/>
      <c r="D198" s="245"/>
      <c r="E198" s="235"/>
      <c r="F198" s="247"/>
      <c r="G198" s="28"/>
      <c r="H198" s="237"/>
      <c r="I198" s="28"/>
      <c r="J198" s="237"/>
      <c r="K198" s="28"/>
      <c r="L198" s="237"/>
      <c r="M198" s="174"/>
      <c r="N198" s="28"/>
      <c r="O198" s="28"/>
      <c r="P198" s="163"/>
      <c r="Q198" s="164"/>
      <c r="R198" s="28"/>
      <c r="S198" s="164"/>
      <c r="T198" s="28"/>
      <c r="U198" s="164"/>
      <c r="V198" s="28"/>
      <c r="W198" s="28"/>
      <c r="X198" s="28"/>
      <c r="Y198" s="28"/>
      <c r="Z198" s="28"/>
      <c r="AA198" s="28"/>
      <c r="AB198" s="28"/>
    </row>
    <row r="199">
      <c r="A199" s="28"/>
      <c r="B199" s="28"/>
      <c r="C199" s="164"/>
      <c r="D199" s="245"/>
      <c r="E199" s="235"/>
      <c r="F199" s="247"/>
      <c r="G199" s="28"/>
      <c r="H199" s="237"/>
      <c r="I199" s="28"/>
      <c r="J199" s="237"/>
      <c r="K199" s="28"/>
      <c r="L199" s="237"/>
      <c r="M199" s="174"/>
      <c r="N199" s="28"/>
      <c r="O199" s="28"/>
      <c r="P199" s="163"/>
      <c r="Q199" s="164"/>
      <c r="R199" s="28"/>
      <c r="S199" s="164"/>
      <c r="T199" s="28"/>
      <c r="U199" s="164"/>
      <c r="V199" s="28"/>
      <c r="W199" s="28"/>
      <c r="X199" s="28"/>
      <c r="Y199" s="28"/>
      <c r="Z199" s="28"/>
      <c r="AA199" s="28"/>
      <c r="AB199" s="28"/>
    </row>
    <row r="200">
      <c r="A200" s="28"/>
      <c r="B200" s="28"/>
      <c r="C200" s="164"/>
      <c r="D200" s="245"/>
      <c r="E200" s="250"/>
      <c r="F200" s="251"/>
      <c r="G200" s="28"/>
      <c r="H200" s="237"/>
      <c r="I200" s="28"/>
      <c r="J200" s="237"/>
      <c r="K200" s="28"/>
      <c r="L200" s="237"/>
      <c r="M200" s="174"/>
      <c r="N200" s="28"/>
      <c r="O200" s="28"/>
      <c r="P200" s="163"/>
      <c r="Q200" s="164"/>
      <c r="R200" s="28"/>
      <c r="S200" s="164"/>
      <c r="T200" s="28"/>
      <c r="U200" s="164"/>
      <c r="V200" s="28"/>
      <c r="W200" s="28"/>
      <c r="X200" s="28"/>
      <c r="Y200" s="28"/>
      <c r="Z200" s="28"/>
      <c r="AA200" s="28"/>
      <c r="AB200" s="28"/>
    </row>
  </sheetData>
  <mergeCells count="2">
    <mergeCell ref="A10:B10"/>
    <mergeCell ref="A18:B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25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253"/>
      <c r="B2" s="25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260" t="s">
        <v>754</v>
      </c>
      <c r="B3" s="232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266" t="s">
        <v>570</v>
      </c>
      <c r="B4" s="235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260" t="s">
        <v>397</v>
      </c>
      <c r="B5" s="235" t="s">
        <v>402</v>
      </c>
      <c r="C5" s="271"/>
      <c r="D5" s="272"/>
      <c r="E5" s="273"/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0</v>
      </c>
      <c r="N5" s="268"/>
      <c r="O5" s="269"/>
    </row>
    <row r="6">
      <c r="A6" s="260" t="s">
        <v>401</v>
      </c>
      <c r="B6" s="235" t="s">
        <v>402</v>
      </c>
      <c r="C6" s="271"/>
      <c r="D6" s="272"/>
      <c r="E6" s="273"/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0</v>
      </c>
      <c r="N6" s="268"/>
      <c r="O6" s="269"/>
    </row>
    <row r="7">
      <c r="A7" s="260" t="s">
        <v>404</v>
      </c>
      <c r="B7" s="235" t="s">
        <v>402</v>
      </c>
      <c r="C7" s="271"/>
      <c r="D7" s="268"/>
      <c r="E7" s="273"/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0</v>
      </c>
      <c r="N7" s="268"/>
      <c r="O7" s="269"/>
    </row>
    <row r="8">
      <c r="A8" s="260" t="s">
        <v>406</v>
      </c>
      <c r="B8" s="235" t="s">
        <v>402</v>
      </c>
      <c r="C8" s="271"/>
      <c r="D8" s="272"/>
      <c r="E8" s="273"/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0</v>
      </c>
      <c r="N8" s="268"/>
      <c r="O8" s="269"/>
    </row>
    <row r="9">
      <c r="A9" s="260" t="s">
        <v>409</v>
      </c>
      <c r="B9" s="235" t="s">
        <v>402</v>
      </c>
      <c r="C9" s="271"/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260" t="s">
        <v>411</v>
      </c>
      <c r="B10" s="235" t="s">
        <v>402</v>
      </c>
      <c r="C10" s="271"/>
      <c r="D10" s="268"/>
      <c r="E10" s="273"/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0</v>
      </c>
      <c r="N10" s="268"/>
      <c r="O10" s="269"/>
    </row>
    <row r="11">
      <c r="A11" s="260" t="s">
        <v>413</v>
      </c>
      <c r="B11" s="235" t="s">
        <v>402</v>
      </c>
      <c r="C11" s="271"/>
      <c r="D11" s="272"/>
      <c r="E11" s="273"/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0</v>
      </c>
      <c r="N11" s="268"/>
      <c r="O11" s="269"/>
    </row>
    <row r="12">
      <c r="A12" s="260" t="s">
        <v>414</v>
      </c>
      <c r="B12" s="235" t="s">
        <v>402</v>
      </c>
      <c r="C12" s="267"/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260" t="s">
        <v>416</v>
      </c>
      <c r="B13" s="235" t="s">
        <v>402</v>
      </c>
      <c r="C13" s="271"/>
      <c r="D13" s="272"/>
      <c r="E13" s="273"/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0</v>
      </c>
      <c r="N13" s="268"/>
      <c r="O13" s="269"/>
    </row>
    <row r="14">
      <c r="A14" s="260" t="s">
        <v>418</v>
      </c>
      <c r="B14" s="235" t="s">
        <v>402</v>
      </c>
      <c r="C14" s="271"/>
      <c r="D14" s="272"/>
      <c r="E14" s="273"/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0</v>
      </c>
      <c r="N14" s="268"/>
      <c r="O14" s="269"/>
    </row>
    <row r="15">
      <c r="A15" s="260" t="s">
        <v>420</v>
      </c>
      <c r="B15" s="235" t="s">
        <v>402</v>
      </c>
      <c r="C15" s="271"/>
      <c r="D15" s="268"/>
      <c r="E15" s="273"/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0</v>
      </c>
      <c r="N15" s="268"/>
      <c r="O15" s="269"/>
    </row>
    <row r="16">
      <c r="A16" s="260" t="s">
        <v>422</v>
      </c>
      <c r="B16" s="235" t="s">
        <v>402</v>
      </c>
      <c r="C16" s="271"/>
      <c r="D16" s="272"/>
      <c r="E16" s="273"/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0</v>
      </c>
      <c r="N16" s="268"/>
      <c r="O16" s="269"/>
    </row>
    <row r="17">
      <c r="A17" s="260" t="s">
        <v>423</v>
      </c>
      <c r="B17" s="235" t="s">
        <v>402</v>
      </c>
      <c r="C17" s="271"/>
      <c r="D17" s="272"/>
      <c r="E17" s="273"/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0</v>
      </c>
      <c r="N17" s="268"/>
      <c r="O17" s="269"/>
    </row>
    <row r="18">
      <c r="A18" s="260" t="s">
        <v>425</v>
      </c>
      <c r="B18" s="235" t="s">
        <v>402</v>
      </c>
      <c r="C18" s="271"/>
      <c r="D18" s="268"/>
      <c r="E18" s="273"/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0</v>
      </c>
      <c r="N18" s="268"/>
      <c r="O18" s="269"/>
    </row>
    <row r="19">
      <c r="A19" s="260" t="s">
        <v>426</v>
      </c>
      <c r="B19" s="235" t="s">
        <v>402</v>
      </c>
      <c r="C19" s="271"/>
      <c r="D19" s="268"/>
      <c r="E19" s="273"/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0</v>
      </c>
      <c r="N19" s="268"/>
      <c r="O19" s="269"/>
    </row>
    <row r="20">
      <c r="A20" s="260" t="s">
        <v>428</v>
      </c>
      <c r="B20" s="235" t="s">
        <v>402</v>
      </c>
      <c r="C20" s="271"/>
      <c r="D20" s="268"/>
      <c r="E20" s="273"/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0</v>
      </c>
      <c r="N20" s="268"/>
      <c r="O20" s="269"/>
    </row>
    <row r="21">
      <c r="A21" s="260" t="s">
        <v>429</v>
      </c>
      <c r="B21" s="235" t="s">
        <v>402</v>
      </c>
      <c r="C21" s="271"/>
      <c r="D21" s="272"/>
      <c r="E21" s="273"/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0</v>
      </c>
      <c r="N21" s="268"/>
      <c r="O21" s="269"/>
    </row>
    <row r="22">
      <c r="A22" s="260" t="s">
        <v>431</v>
      </c>
      <c r="B22" s="235" t="s">
        <v>402</v>
      </c>
      <c r="C22" s="267"/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60" t="s">
        <v>432</v>
      </c>
      <c r="B23" s="235" t="s">
        <v>402</v>
      </c>
      <c r="C23" s="271"/>
      <c r="D23" s="272"/>
      <c r="E23" s="273"/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0</v>
      </c>
      <c r="N23" s="268"/>
      <c r="O23" s="269"/>
    </row>
    <row r="24">
      <c r="A24" s="260" t="s">
        <v>433</v>
      </c>
      <c r="B24" s="235" t="s">
        <v>402</v>
      </c>
      <c r="C24" s="271"/>
      <c r="D24" s="272"/>
      <c r="E24" s="273"/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0</v>
      </c>
      <c r="N24" s="268"/>
      <c r="O24" s="269"/>
    </row>
    <row r="25">
      <c r="A25" s="260" t="s">
        <v>435</v>
      </c>
      <c r="B25" s="235" t="s">
        <v>402</v>
      </c>
      <c r="C25" s="271"/>
      <c r="D25" s="272"/>
      <c r="E25" s="273"/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0</v>
      </c>
      <c r="N25" s="268"/>
      <c r="O25" s="269"/>
    </row>
    <row r="26">
      <c r="A26" s="260" t="s">
        <v>438</v>
      </c>
      <c r="B26" s="235" t="s">
        <v>402</v>
      </c>
      <c r="C26" s="271"/>
      <c r="D26" s="268"/>
      <c r="E26" s="273"/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0</v>
      </c>
      <c r="N26" s="268"/>
      <c r="O26" s="269"/>
    </row>
    <row r="27">
      <c r="A27" s="260" t="s">
        <v>439</v>
      </c>
      <c r="B27" s="235" t="s">
        <v>402</v>
      </c>
      <c r="C27" s="267"/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260" t="s">
        <v>440</v>
      </c>
      <c r="B28" s="235" t="s">
        <v>402</v>
      </c>
      <c r="C28" s="271"/>
      <c r="D28" s="268"/>
      <c r="E28" s="273"/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0</v>
      </c>
      <c r="N28" s="268"/>
      <c r="O28" s="269"/>
    </row>
    <row r="29">
      <c r="A29" s="260" t="s">
        <v>441</v>
      </c>
      <c r="B29" s="235" t="s">
        <v>402</v>
      </c>
      <c r="C29" s="271"/>
      <c r="D29" s="268"/>
      <c r="E29" s="273"/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0</v>
      </c>
      <c r="N29" s="268"/>
      <c r="O29" s="269"/>
    </row>
    <row r="30">
      <c r="A30" s="260" t="s">
        <v>442</v>
      </c>
      <c r="B30" s="235" t="s">
        <v>402</v>
      </c>
      <c r="C30" s="271"/>
      <c r="D30" s="268"/>
      <c r="E30" s="273"/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0</v>
      </c>
      <c r="N30" s="268"/>
      <c r="O30" s="269"/>
    </row>
    <row r="31">
      <c r="A31" s="260" t="s">
        <v>444</v>
      </c>
      <c r="B31" s="235" t="s">
        <v>402</v>
      </c>
      <c r="C31" s="271"/>
      <c r="D31" s="268"/>
      <c r="E31" s="273"/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0</v>
      </c>
      <c r="N31" s="268"/>
      <c r="O31" s="269"/>
    </row>
    <row r="32">
      <c r="A32" s="260" t="s">
        <v>445</v>
      </c>
      <c r="B32" s="235" t="s">
        <v>402</v>
      </c>
      <c r="C32" s="271"/>
      <c r="D32" s="268"/>
      <c r="E32" s="273"/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0</v>
      </c>
      <c r="N32" s="268"/>
      <c r="O32" s="269"/>
    </row>
    <row r="33">
      <c r="A33" s="260" t="s">
        <v>446</v>
      </c>
      <c r="B33" s="235" t="s">
        <v>402</v>
      </c>
      <c r="C33" s="271"/>
      <c r="D33" s="268"/>
      <c r="E33" s="273"/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260" t="s">
        <v>447</v>
      </c>
      <c r="B34" s="235" t="s">
        <v>402</v>
      </c>
      <c r="C34" s="271"/>
      <c r="D34" s="272"/>
      <c r="E34" s="273"/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0</v>
      </c>
      <c r="N34" s="268"/>
      <c r="O34" s="269"/>
    </row>
    <row r="35">
      <c r="A35" s="260" t="s">
        <v>449</v>
      </c>
      <c r="B35" s="235" t="s">
        <v>402</v>
      </c>
      <c r="C35" s="271"/>
      <c r="D35" s="272"/>
      <c r="E35" s="273"/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268"/>
      <c r="O35" s="269"/>
    </row>
    <row r="36">
      <c r="A36" s="260" t="s">
        <v>451</v>
      </c>
      <c r="B36" s="235" t="s">
        <v>402</v>
      </c>
      <c r="C36" s="271"/>
      <c r="D36" s="272"/>
      <c r="E36" s="273"/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0</v>
      </c>
      <c r="N36" s="268"/>
      <c r="O36" s="269"/>
    </row>
    <row r="37">
      <c r="A37" s="275" t="s">
        <v>452</v>
      </c>
      <c r="B37" s="235" t="s">
        <v>402</v>
      </c>
      <c r="C37" s="271"/>
      <c r="D37" s="268"/>
      <c r="E37" s="273"/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0</v>
      </c>
      <c r="N37" s="268"/>
      <c r="O37" s="269"/>
    </row>
    <row r="38">
      <c r="A38" s="275" t="s">
        <v>454</v>
      </c>
      <c r="B38" s="235" t="s">
        <v>402</v>
      </c>
      <c r="C38" s="271"/>
      <c r="D38" s="268"/>
      <c r="E38" s="273"/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76" t="s">
        <v>455</v>
      </c>
      <c r="B39" s="235" t="s">
        <v>402</v>
      </c>
      <c r="C39" s="271"/>
      <c r="D39" s="268"/>
      <c r="E39" s="269"/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0</v>
      </c>
      <c r="N39" s="268"/>
      <c r="O39" s="269"/>
    </row>
    <row r="40">
      <c r="A40" s="276" t="s">
        <v>456</v>
      </c>
      <c r="B40" s="235" t="s">
        <v>402</v>
      </c>
      <c r="C40" s="271"/>
      <c r="D40" s="272"/>
      <c r="E40" s="273"/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0</v>
      </c>
      <c r="N40" s="268"/>
      <c r="O40" s="269"/>
    </row>
    <row r="41">
      <c r="A41" s="276" t="s">
        <v>457</v>
      </c>
      <c r="B41" s="235" t="s">
        <v>402</v>
      </c>
      <c r="C41" s="267"/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277" t="s">
        <v>762</v>
      </c>
      <c r="B42" s="235"/>
      <c r="C42" s="267"/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67"/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/>
      <c r="D44" s="227"/>
      <c r="E44" s="280"/>
      <c r="F44" s="235" t="s">
        <v>14</v>
      </c>
      <c r="G44" s="235"/>
      <c r="H44" s="272"/>
      <c r="I44" s="281"/>
      <c r="J44" s="282"/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0</v>
      </c>
      <c r="N44" s="191"/>
      <c r="O44" s="247"/>
    </row>
    <row r="45">
      <c r="A45" s="12" t="s">
        <v>16</v>
      </c>
      <c r="B45" s="13" t="s">
        <v>17</v>
      </c>
      <c r="C45" s="271"/>
      <c r="D45" s="227"/>
      <c r="E45" s="280"/>
      <c r="F45" s="235" t="s">
        <v>17</v>
      </c>
      <c r="G45" s="235"/>
      <c r="H45" s="268"/>
      <c r="I45" s="281"/>
      <c r="J45" s="284"/>
      <c r="K45" s="283"/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0</v>
      </c>
      <c r="N45" s="191"/>
      <c r="O45" s="247"/>
    </row>
    <row r="46">
      <c r="A46" s="15" t="s">
        <v>19</v>
      </c>
      <c r="B46" s="13" t="s">
        <v>17</v>
      </c>
      <c r="C46" s="271"/>
      <c r="D46" s="227"/>
      <c r="E46" s="280"/>
      <c r="F46" s="235" t="s">
        <v>17</v>
      </c>
      <c r="G46" s="235"/>
      <c r="H46" s="268"/>
      <c r="I46" s="281"/>
      <c r="J46" s="284"/>
      <c r="K46" s="283"/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0</v>
      </c>
      <c r="N46" s="191"/>
      <c r="O46" s="247"/>
    </row>
    <row r="47">
      <c r="A47" s="12" t="s">
        <v>20</v>
      </c>
      <c r="B47" s="13" t="s">
        <v>17</v>
      </c>
      <c r="C47" s="271"/>
      <c r="D47" s="191"/>
      <c r="E47" s="280"/>
      <c r="F47" s="235" t="s">
        <v>17</v>
      </c>
      <c r="G47" s="235"/>
      <c r="H47" s="268"/>
      <c r="I47" s="281"/>
      <c r="J47" s="284"/>
      <c r="K47" s="283"/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0</v>
      </c>
      <c r="N47" s="191"/>
      <c r="O47" s="247"/>
    </row>
    <row r="48">
      <c r="A48" s="12" t="s">
        <v>21</v>
      </c>
      <c r="B48" s="13" t="s">
        <v>17</v>
      </c>
      <c r="C48" s="271"/>
      <c r="D48" s="227"/>
      <c r="E48" s="280"/>
      <c r="F48" s="235" t="s">
        <v>17</v>
      </c>
      <c r="G48" s="235"/>
      <c r="H48" s="268"/>
      <c r="I48" s="281"/>
      <c r="J48" s="284"/>
      <c r="K48" s="283"/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0</v>
      </c>
      <c r="N48" s="191"/>
      <c r="O48" s="247"/>
    </row>
    <row r="49">
      <c r="A49" s="12" t="s">
        <v>22</v>
      </c>
      <c r="B49" s="13" t="s">
        <v>17</v>
      </c>
      <c r="C49" s="267"/>
      <c r="D49" s="191"/>
      <c r="E49" s="247"/>
      <c r="F49" s="235" t="s">
        <v>17</v>
      </c>
      <c r="G49" s="235"/>
      <c r="H49" s="268"/>
      <c r="I49" s="281"/>
      <c r="J49" s="284"/>
      <c r="K49" s="283"/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/>
      <c r="D50" s="227"/>
      <c r="E50" s="247"/>
      <c r="F50" s="235" t="s">
        <v>25</v>
      </c>
      <c r="G50" s="235"/>
      <c r="H50" s="272"/>
      <c r="I50" s="281"/>
      <c r="J50" s="282"/>
      <c r="K50" s="283"/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</v>
      </c>
      <c r="N50" s="191"/>
      <c r="O50" s="247"/>
    </row>
    <row r="51">
      <c r="A51" s="12" t="s">
        <v>27</v>
      </c>
      <c r="B51" s="12" t="s">
        <v>24</v>
      </c>
      <c r="C51" s="267"/>
      <c r="D51" s="191"/>
      <c r="E51" s="247"/>
      <c r="F51" s="235" t="s">
        <v>24</v>
      </c>
      <c r="G51" s="235"/>
      <c r="H51" s="268"/>
      <c r="I51" s="281"/>
      <c r="J51" s="284"/>
      <c r="K51" s="283"/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67"/>
      <c r="D52" s="191"/>
      <c r="E52" s="280"/>
      <c r="F52" s="235" t="s">
        <v>14</v>
      </c>
      <c r="G52" s="285"/>
      <c r="H52" s="272"/>
      <c r="I52" s="281"/>
      <c r="J52" s="284"/>
      <c r="K52" s="283"/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286" t="s">
        <v>30</v>
      </c>
      <c r="B53" s="12" t="s">
        <v>24</v>
      </c>
      <c r="C53" s="271"/>
      <c r="D53" s="227"/>
      <c r="E53" s="280"/>
      <c r="F53" s="235" t="s">
        <v>35</v>
      </c>
      <c r="G53" s="235"/>
      <c r="H53" s="272"/>
      <c r="I53" s="281"/>
      <c r="J53" s="284"/>
      <c r="K53" s="283"/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</v>
      </c>
      <c r="N53" s="191"/>
      <c r="O53" s="247"/>
    </row>
    <row r="54">
      <c r="A54" s="12" t="s">
        <v>33</v>
      </c>
      <c r="B54" s="12" t="s">
        <v>34</v>
      </c>
      <c r="C54" s="271"/>
      <c r="D54" s="227"/>
      <c r="E54" s="247"/>
      <c r="F54" s="235" t="s">
        <v>35</v>
      </c>
      <c r="G54" s="235"/>
      <c r="H54" s="272"/>
      <c r="I54" s="281"/>
      <c r="J54" s="284"/>
      <c r="K54" s="283"/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</v>
      </c>
      <c r="N54" s="191"/>
      <c r="O54" s="247"/>
    </row>
    <row r="55">
      <c r="A55" s="12" t="s">
        <v>37</v>
      </c>
      <c r="B55" s="12" t="s">
        <v>17</v>
      </c>
      <c r="C55" s="267"/>
      <c r="D55" s="191"/>
      <c r="E55" s="247"/>
      <c r="F55" s="235" t="s">
        <v>752</v>
      </c>
      <c r="G55" s="235"/>
      <c r="H55" s="268"/>
      <c r="I55" s="281"/>
      <c r="J55" s="284"/>
      <c r="K55" s="283"/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67"/>
      <c r="D56" s="191"/>
      <c r="E56" s="247"/>
      <c r="F56" s="235" t="s">
        <v>17</v>
      </c>
      <c r="G56" s="235"/>
      <c r="H56" s="268"/>
      <c r="I56" s="281"/>
      <c r="J56" s="284"/>
      <c r="K56" s="283"/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0</v>
      </c>
      <c r="N56" s="191"/>
      <c r="O56" s="247"/>
    </row>
    <row r="57">
      <c r="A57" s="12" t="s">
        <v>42</v>
      </c>
      <c r="B57" s="12" t="s">
        <v>24</v>
      </c>
      <c r="C57" s="271"/>
      <c r="D57" s="191"/>
      <c r="E57" s="280"/>
      <c r="F57" s="235" t="s">
        <v>35</v>
      </c>
      <c r="G57" s="235"/>
      <c r="H57" s="272"/>
      <c r="I57" s="281"/>
      <c r="J57" s="282"/>
      <c r="K57" s="283"/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</v>
      </c>
      <c r="N57" s="191"/>
      <c r="O57" s="247"/>
    </row>
    <row r="58">
      <c r="A58" s="12" t="s">
        <v>44</v>
      </c>
      <c r="B58" s="12" t="s">
        <v>24</v>
      </c>
      <c r="C58" s="267"/>
      <c r="D58" s="191"/>
      <c r="E58" s="247"/>
      <c r="F58" s="235" t="s">
        <v>25</v>
      </c>
      <c r="G58" s="235"/>
      <c r="H58" s="272"/>
      <c r="I58" s="281"/>
      <c r="J58" s="282"/>
      <c r="K58" s="283"/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</v>
      </c>
      <c r="N58" s="191"/>
      <c r="O58" s="247"/>
    </row>
    <row r="59">
      <c r="A59" s="12" t="s">
        <v>45</v>
      </c>
      <c r="B59" s="12" t="s">
        <v>24</v>
      </c>
      <c r="C59" s="267"/>
      <c r="D59" s="191"/>
      <c r="E59" s="247"/>
      <c r="F59" s="235" t="s">
        <v>25</v>
      </c>
      <c r="G59" s="235"/>
      <c r="H59" s="272"/>
      <c r="I59" s="281"/>
      <c r="J59" s="282"/>
      <c r="K59" s="283"/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</v>
      </c>
      <c r="N59" s="191"/>
      <c r="O59" s="247"/>
    </row>
    <row r="60">
      <c r="A60" s="17" t="s">
        <v>46</v>
      </c>
      <c r="B60" s="12" t="s">
        <v>47</v>
      </c>
      <c r="C60" s="267"/>
      <c r="D60" s="191"/>
      <c r="E60" s="247"/>
      <c r="F60" s="235" t="s">
        <v>51</v>
      </c>
      <c r="G60" s="235"/>
      <c r="H60" s="268"/>
      <c r="I60" s="281"/>
      <c r="J60" s="284"/>
      <c r="K60" s="283"/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67"/>
      <c r="D61" s="191"/>
      <c r="E61" s="247"/>
      <c r="F61" s="235" t="s">
        <v>51</v>
      </c>
      <c r="G61" s="235"/>
      <c r="H61" s="268"/>
      <c r="I61" s="281"/>
      <c r="J61" s="284"/>
      <c r="K61" s="283"/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67"/>
      <c r="D62" s="191"/>
      <c r="E62" s="247"/>
      <c r="F62" s="235" t="s">
        <v>51</v>
      </c>
      <c r="G62" s="235"/>
      <c r="H62" s="272"/>
      <c r="I62" s="281"/>
      <c r="J62" s="282"/>
      <c r="K62" s="283"/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</v>
      </c>
      <c r="N62" s="191"/>
      <c r="O62" s="247"/>
    </row>
    <row r="63">
      <c r="A63" s="12" t="s">
        <v>53</v>
      </c>
      <c r="B63" s="12" t="s">
        <v>35</v>
      </c>
      <c r="C63" s="267"/>
      <c r="D63" s="191"/>
      <c r="E63" s="247"/>
      <c r="F63" s="235" t="s">
        <v>35</v>
      </c>
      <c r="G63" s="235"/>
      <c r="H63" s="272"/>
      <c r="I63" s="281"/>
      <c r="J63" s="282"/>
      <c r="K63" s="283"/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</v>
      </c>
      <c r="N63" s="191"/>
      <c r="O63" s="247"/>
    </row>
    <row r="64">
      <c r="A64" s="11" t="s">
        <v>55</v>
      </c>
      <c r="B64" s="11" t="s">
        <v>56</v>
      </c>
      <c r="C64" s="267"/>
      <c r="D64" s="191"/>
      <c r="E64" s="247"/>
      <c r="F64" s="235" t="s">
        <v>14</v>
      </c>
      <c r="G64" s="235"/>
      <c r="H64" s="272"/>
      <c r="I64" s="281"/>
      <c r="J64" s="284"/>
      <c r="K64" s="283"/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</v>
      </c>
      <c r="N64" s="191"/>
      <c r="O64" s="247"/>
    </row>
    <row r="65">
      <c r="A65" s="10" t="s">
        <v>57</v>
      </c>
      <c r="B65" s="11"/>
      <c r="C65" s="267"/>
      <c r="D65" s="191"/>
      <c r="E65" s="247"/>
      <c r="F65" s="235"/>
      <c r="G65" s="235"/>
      <c r="H65" s="268"/>
      <c r="I65" s="281"/>
      <c r="J65" s="284"/>
      <c r="K65" s="283"/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/>
      <c r="D66" s="227"/>
      <c r="E66" s="280"/>
      <c r="F66" s="235" t="s">
        <v>35</v>
      </c>
      <c r="G66" s="235"/>
      <c r="H66" s="272"/>
      <c r="I66" s="281"/>
      <c r="J66" s="282"/>
      <c r="K66" s="283"/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0</v>
      </c>
      <c r="N66" s="191"/>
      <c r="O66" s="247"/>
    </row>
    <row r="67">
      <c r="A67" s="12" t="s">
        <v>61</v>
      </c>
      <c r="B67" s="12" t="s">
        <v>59</v>
      </c>
      <c r="C67" s="271"/>
      <c r="D67" s="191"/>
      <c r="E67" s="247"/>
      <c r="F67" s="235" t="s">
        <v>35</v>
      </c>
      <c r="G67" s="235"/>
      <c r="H67" s="272"/>
      <c r="I67" s="281"/>
      <c r="J67" s="282"/>
      <c r="K67" s="283"/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</v>
      </c>
      <c r="N67" s="191"/>
      <c r="O67" s="247"/>
    </row>
    <row r="68">
      <c r="A68" s="12" t="s">
        <v>62</v>
      </c>
      <c r="B68" s="12" t="s">
        <v>35</v>
      </c>
      <c r="C68" s="267"/>
      <c r="D68" s="227"/>
      <c r="E68" s="280"/>
      <c r="F68" s="235" t="s">
        <v>35</v>
      </c>
      <c r="G68" s="235"/>
      <c r="H68" s="272"/>
      <c r="I68" s="281"/>
      <c r="J68" s="284"/>
      <c r="K68" s="283"/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0</v>
      </c>
      <c r="N68" s="191"/>
      <c r="O68" s="247"/>
    </row>
    <row r="69">
      <c r="A69" s="12" t="s">
        <v>64</v>
      </c>
      <c r="B69" s="12" t="s">
        <v>59</v>
      </c>
      <c r="C69" s="267"/>
      <c r="D69" s="227"/>
      <c r="E69" s="247"/>
      <c r="F69" s="235" t="s">
        <v>35</v>
      </c>
      <c r="G69" s="235"/>
      <c r="H69" s="272"/>
      <c r="I69" s="281"/>
      <c r="J69" s="282"/>
      <c r="K69" s="283"/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</v>
      </c>
      <c r="N69" s="191"/>
      <c r="O69" s="247"/>
    </row>
    <row r="70">
      <c r="A70" s="10" t="s">
        <v>65</v>
      </c>
      <c r="B70" s="11"/>
      <c r="C70" s="267"/>
      <c r="D70" s="191"/>
      <c r="E70" s="247"/>
      <c r="F70" s="235"/>
      <c r="G70" s="235"/>
      <c r="H70" s="268"/>
      <c r="I70" s="281"/>
      <c r="J70" s="284"/>
      <c r="K70" s="283"/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67"/>
      <c r="D71" s="191"/>
      <c r="E71" s="247"/>
      <c r="F71" s="235" t="s">
        <v>25</v>
      </c>
      <c r="G71" s="285"/>
      <c r="H71" s="268"/>
      <c r="I71" s="281"/>
      <c r="J71" s="282"/>
      <c r="K71" s="283"/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0</v>
      </c>
      <c r="N71" s="191"/>
      <c r="O71" s="247"/>
    </row>
    <row r="72">
      <c r="A72" s="12" t="s">
        <v>68</v>
      </c>
      <c r="B72" s="12" t="s">
        <v>35</v>
      </c>
      <c r="C72" s="267"/>
      <c r="D72" s="227"/>
      <c r="E72" s="247"/>
      <c r="F72" s="235" t="s">
        <v>35</v>
      </c>
      <c r="G72" s="235"/>
      <c r="H72" s="272"/>
      <c r="I72" s="281"/>
      <c r="J72" s="284"/>
      <c r="K72" s="283"/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</v>
      </c>
      <c r="N72" s="191"/>
      <c r="O72" s="247"/>
    </row>
    <row r="73">
      <c r="A73" s="12" t="s">
        <v>70</v>
      </c>
      <c r="B73" s="12" t="s">
        <v>35</v>
      </c>
      <c r="C73" s="267"/>
      <c r="D73" s="191"/>
      <c r="E73" s="247"/>
      <c r="F73" s="235" t="s">
        <v>35</v>
      </c>
      <c r="G73" s="235"/>
      <c r="H73" s="268"/>
      <c r="I73" s="281"/>
      <c r="J73" s="284"/>
      <c r="K73" s="283"/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67"/>
      <c r="D74" s="227"/>
      <c r="E74" s="247"/>
      <c r="F74" s="235" t="s">
        <v>25</v>
      </c>
      <c r="G74" s="235"/>
      <c r="H74" s="272"/>
      <c r="I74" s="281"/>
      <c r="J74" s="282"/>
      <c r="K74" s="283"/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0</v>
      </c>
      <c r="N74" s="191"/>
      <c r="O74" s="247"/>
    </row>
    <row r="75">
      <c r="A75" s="12" t="s">
        <v>74</v>
      </c>
      <c r="B75" s="12" t="s">
        <v>17</v>
      </c>
      <c r="C75" s="267"/>
      <c r="D75" s="191"/>
      <c r="E75" s="247"/>
      <c r="F75" s="235" t="s">
        <v>25</v>
      </c>
      <c r="G75" s="235"/>
      <c r="H75" s="272"/>
      <c r="I75" s="281"/>
      <c r="J75" s="284"/>
      <c r="K75" s="283"/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</v>
      </c>
      <c r="N75" s="191"/>
      <c r="O75" s="247"/>
    </row>
    <row r="76">
      <c r="A76" s="12" t="s">
        <v>76</v>
      </c>
      <c r="B76" s="12" t="s">
        <v>72</v>
      </c>
      <c r="C76" s="267"/>
      <c r="D76" s="191"/>
      <c r="E76" s="247"/>
      <c r="F76" s="235" t="s">
        <v>35</v>
      </c>
      <c r="G76" s="235"/>
      <c r="H76" s="272"/>
      <c r="I76" s="281"/>
      <c r="J76" s="284"/>
      <c r="K76" s="283"/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67"/>
      <c r="D77" s="191"/>
      <c r="E77" s="247"/>
      <c r="F77" s="235" t="s">
        <v>25</v>
      </c>
      <c r="G77" s="235"/>
      <c r="H77" s="272"/>
      <c r="I77" s="281"/>
      <c r="J77" s="284"/>
      <c r="K77" s="283"/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</v>
      </c>
      <c r="N77" s="191"/>
      <c r="O77" s="247"/>
    </row>
    <row r="78">
      <c r="A78" s="12" t="s">
        <v>80</v>
      </c>
      <c r="B78" s="12" t="s">
        <v>56</v>
      </c>
      <c r="C78" s="267"/>
      <c r="D78" s="191"/>
      <c r="E78" s="247"/>
      <c r="F78" s="235" t="s">
        <v>35</v>
      </c>
      <c r="G78" s="235"/>
      <c r="H78" s="268"/>
      <c r="I78" s="281"/>
      <c r="J78" s="284"/>
      <c r="K78" s="283"/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67"/>
      <c r="D79" s="191"/>
      <c r="E79" s="247"/>
      <c r="F79" s="235" t="s">
        <v>35</v>
      </c>
      <c r="G79" s="235"/>
      <c r="H79" s="272"/>
      <c r="I79" s="281"/>
      <c r="J79" s="282"/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</v>
      </c>
      <c r="N79" s="191"/>
      <c r="O79" s="247"/>
    </row>
    <row r="80">
      <c r="A80" s="10" t="s">
        <v>85</v>
      </c>
      <c r="B80" s="11"/>
      <c r="C80" s="267"/>
      <c r="D80" s="191"/>
      <c r="E80" s="247"/>
      <c r="F80" s="235"/>
      <c r="G80" s="235"/>
      <c r="H80" s="268"/>
      <c r="I80" s="281"/>
      <c r="J80" s="284"/>
      <c r="K80" s="283"/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/>
      <c r="D81" s="191"/>
      <c r="E81" s="247"/>
      <c r="F81" s="235" t="s">
        <v>25</v>
      </c>
      <c r="G81" s="235"/>
      <c r="H81" s="272"/>
      <c r="I81" s="281"/>
      <c r="J81" s="282"/>
      <c r="K81" s="283"/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</v>
      </c>
      <c r="N81" s="191"/>
      <c r="O81" s="247"/>
    </row>
    <row r="82">
      <c r="A82" s="12" t="s">
        <v>87</v>
      </c>
      <c r="B82" s="12" t="s">
        <v>83</v>
      </c>
      <c r="C82" s="267"/>
      <c r="D82" s="227"/>
      <c r="E82" s="280"/>
      <c r="F82" s="235" t="s">
        <v>25</v>
      </c>
      <c r="G82" s="235"/>
      <c r="H82" s="272"/>
      <c r="I82" s="281"/>
      <c r="J82" s="282"/>
      <c r="K82" s="283"/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</v>
      </c>
      <c r="N82" s="191"/>
      <c r="O82" s="247"/>
    </row>
    <row r="83">
      <c r="A83" s="12" t="s">
        <v>88</v>
      </c>
      <c r="B83" s="12" t="s">
        <v>83</v>
      </c>
      <c r="C83" s="267"/>
      <c r="D83" s="191"/>
      <c r="E83" s="247"/>
      <c r="F83" s="235" t="s">
        <v>25</v>
      </c>
      <c r="G83" s="235"/>
      <c r="H83" s="272"/>
      <c r="I83" s="281"/>
      <c r="J83" s="282"/>
      <c r="K83" s="283"/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</v>
      </c>
      <c r="N83" s="191"/>
      <c r="O83" s="247"/>
    </row>
    <row r="84">
      <c r="A84" s="12" t="s">
        <v>89</v>
      </c>
      <c r="B84" s="12" t="s">
        <v>83</v>
      </c>
      <c r="C84" s="271"/>
      <c r="D84" s="191"/>
      <c r="E84" s="280"/>
      <c r="F84" s="235" t="s">
        <v>25</v>
      </c>
      <c r="G84" s="235"/>
      <c r="H84" s="272"/>
      <c r="I84" s="281"/>
      <c r="J84" s="284"/>
      <c r="K84" s="283"/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</v>
      </c>
      <c r="N84" s="191"/>
      <c r="O84" s="247"/>
    </row>
    <row r="85">
      <c r="A85" s="12" t="s">
        <v>90</v>
      </c>
      <c r="B85" s="12" t="s">
        <v>24</v>
      </c>
      <c r="C85" s="271"/>
      <c r="D85" s="191"/>
      <c r="E85" s="280"/>
      <c r="F85" s="235" t="s">
        <v>25</v>
      </c>
      <c r="G85" s="235"/>
      <c r="H85" s="272"/>
      <c r="I85" s="281"/>
      <c r="J85" s="284"/>
      <c r="K85" s="283"/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</v>
      </c>
      <c r="N85" s="191"/>
      <c r="O85" s="247"/>
    </row>
    <row r="86">
      <c r="A86" s="12" t="s">
        <v>91</v>
      </c>
      <c r="B86" s="12" t="s">
        <v>56</v>
      </c>
      <c r="C86" s="267"/>
      <c r="D86" s="227"/>
      <c r="E86" s="280"/>
      <c r="F86" s="235" t="s">
        <v>25</v>
      </c>
      <c r="G86" s="235"/>
      <c r="H86" s="272"/>
      <c r="I86" s="281"/>
      <c r="J86" s="284"/>
      <c r="K86" s="283"/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0</v>
      </c>
      <c r="N86" s="191"/>
      <c r="O86" s="247"/>
    </row>
    <row r="87">
      <c r="A87" s="12" t="s">
        <v>92</v>
      </c>
      <c r="B87" s="12" t="s">
        <v>83</v>
      </c>
      <c r="C87" s="267"/>
      <c r="D87" s="191"/>
      <c r="E87" s="247"/>
      <c r="F87" s="235" t="s">
        <v>25</v>
      </c>
      <c r="G87" s="235"/>
      <c r="H87" s="272"/>
      <c r="I87" s="281"/>
      <c r="J87" s="284"/>
      <c r="K87" s="283"/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</v>
      </c>
      <c r="N87" s="191"/>
      <c r="O87" s="247"/>
    </row>
    <row r="88">
      <c r="A88" s="12" t="s">
        <v>93</v>
      </c>
      <c r="B88" s="12" t="s">
        <v>83</v>
      </c>
      <c r="C88" s="267"/>
      <c r="D88" s="191"/>
      <c r="E88" s="247"/>
      <c r="F88" s="235" t="s">
        <v>25</v>
      </c>
      <c r="G88" s="235"/>
      <c r="H88" s="272"/>
      <c r="I88" s="281"/>
      <c r="J88" s="282"/>
      <c r="K88" s="283"/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</v>
      </c>
      <c r="N88" s="191"/>
      <c r="O88" s="247"/>
    </row>
    <row r="89">
      <c r="A89" s="12" t="s">
        <v>95</v>
      </c>
      <c r="B89" s="12" t="s">
        <v>83</v>
      </c>
      <c r="C89" s="267"/>
      <c r="D89" s="191"/>
      <c r="E89" s="247"/>
      <c r="F89" s="235" t="s">
        <v>25</v>
      </c>
      <c r="G89" s="235"/>
      <c r="H89" s="268"/>
      <c r="I89" s="281"/>
      <c r="J89" s="284"/>
      <c r="K89" s="283"/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</v>
      </c>
      <c r="N89" s="191"/>
      <c r="O89" s="247"/>
    </row>
    <row r="90">
      <c r="A90" s="10" t="s">
        <v>96</v>
      </c>
      <c r="B90" s="11"/>
      <c r="C90" s="267"/>
      <c r="D90" s="191"/>
      <c r="E90" s="247"/>
      <c r="F90" s="235"/>
      <c r="G90" s="235"/>
      <c r="H90" s="268"/>
      <c r="I90" s="281"/>
      <c r="J90" s="284"/>
      <c r="K90" s="283"/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67"/>
      <c r="D91" s="191"/>
      <c r="E91" s="247"/>
      <c r="F91" s="235" t="s">
        <v>35</v>
      </c>
      <c r="G91" s="235"/>
      <c r="H91" s="268"/>
      <c r="I91" s="281"/>
      <c r="J91" s="284"/>
      <c r="K91" s="283"/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67"/>
      <c r="D92" s="191"/>
      <c r="E92" s="247"/>
      <c r="F92" s="235" t="s">
        <v>35</v>
      </c>
      <c r="G92" s="235"/>
      <c r="H92" s="272"/>
      <c r="I92" s="281"/>
      <c r="J92" s="282"/>
      <c r="K92" s="283"/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</v>
      </c>
      <c r="N92" s="191"/>
      <c r="O92" s="247"/>
    </row>
    <row r="93">
      <c r="A93" s="12" t="s">
        <v>100</v>
      </c>
      <c r="B93" s="12" t="s">
        <v>40</v>
      </c>
      <c r="C93" s="267"/>
      <c r="D93" s="191"/>
      <c r="E93" s="247"/>
      <c r="F93" s="235" t="s">
        <v>35</v>
      </c>
      <c r="G93" s="235"/>
      <c r="H93" s="272"/>
      <c r="I93" s="281"/>
      <c r="J93" s="282"/>
      <c r="K93" s="283"/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</v>
      </c>
      <c r="N93" s="191"/>
      <c r="O93" s="247"/>
    </row>
    <row r="94">
      <c r="A94" s="12" t="s">
        <v>101</v>
      </c>
      <c r="B94" s="12" t="s">
        <v>40</v>
      </c>
      <c r="C94" s="267"/>
      <c r="D94" s="191"/>
      <c r="E94" s="247"/>
      <c r="F94" s="235" t="s">
        <v>35</v>
      </c>
      <c r="G94" s="235"/>
      <c r="H94" s="272"/>
      <c r="I94" s="281"/>
      <c r="J94" s="284"/>
      <c r="K94" s="283"/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67"/>
      <c r="D95" s="191"/>
      <c r="E95" s="247"/>
      <c r="F95" s="235" t="s">
        <v>35</v>
      </c>
      <c r="G95" s="235"/>
      <c r="H95" s="272"/>
      <c r="I95" s="281"/>
      <c r="J95" s="282"/>
      <c r="K95" s="283"/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</v>
      </c>
      <c r="N95" s="191"/>
      <c r="O95" s="247"/>
    </row>
    <row r="96">
      <c r="A96" s="12" t="s">
        <v>103</v>
      </c>
      <c r="B96" s="12" t="s">
        <v>40</v>
      </c>
      <c r="C96" s="267"/>
      <c r="D96" s="191"/>
      <c r="E96" s="247"/>
      <c r="F96" s="235" t="s">
        <v>35</v>
      </c>
      <c r="G96" s="235"/>
      <c r="H96" s="272"/>
      <c r="I96" s="281"/>
      <c r="J96" s="282"/>
      <c r="K96" s="283"/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67"/>
      <c r="D97" s="191"/>
      <c r="E97" s="247"/>
      <c r="F97" s="235" t="s">
        <v>35</v>
      </c>
      <c r="G97" s="235"/>
      <c r="H97" s="272"/>
      <c r="I97" s="281"/>
      <c r="J97" s="284"/>
      <c r="K97" s="283"/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67"/>
      <c r="D98" s="191"/>
      <c r="E98" s="247"/>
      <c r="F98" s="235" t="s">
        <v>35</v>
      </c>
      <c r="G98" s="235"/>
      <c r="H98" s="272"/>
      <c r="I98" s="281"/>
      <c r="J98" s="282"/>
      <c r="K98" s="283"/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</v>
      </c>
      <c r="N98" s="191"/>
      <c r="O98" s="247"/>
    </row>
    <row r="99">
      <c r="A99" s="12" t="s">
        <v>108</v>
      </c>
      <c r="B99" s="12" t="s">
        <v>40</v>
      </c>
      <c r="C99" s="267"/>
      <c r="D99" s="191"/>
      <c r="E99" s="247"/>
      <c r="F99" s="235" t="s">
        <v>35</v>
      </c>
      <c r="G99" s="235"/>
      <c r="H99" s="272"/>
      <c r="I99" s="281"/>
      <c r="J99" s="284"/>
      <c r="K99" s="283"/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</v>
      </c>
      <c r="N99" s="191"/>
      <c r="O99" s="247"/>
    </row>
    <row r="100">
      <c r="A100" s="12" t="s">
        <v>109</v>
      </c>
      <c r="B100" s="12" t="s">
        <v>40</v>
      </c>
      <c r="C100" s="267"/>
      <c r="D100" s="191"/>
      <c r="E100" s="247"/>
      <c r="F100" s="235" t="s">
        <v>35</v>
      </c>
      <c r="G100" s="235"/>
      <c r="H100" s="272"/>
      <c r="I100" s="281"/>
      <c r="J100" s="282"/>
      <c r="K100" s="283"/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</v>
      </c>
      <c r="N100" s="191"/>
      <c r="O100" s="247"/>
    </row>
    <row r="101">
      <c r="A101" s="12" t="s">
        <v>110</v>
      </c>
      <c r="B101" s="12" t="s">
        <v>40</v>
      </c>
      <c r="C101" s="267"/>
      <c r="D101" s="191"/>
      <c r="E101" s="247"/>
      <c r="F101" s="235" t="s">
        <v>35</v>
      </c>
      <c r="G101" s="235"/>
      <c r="H101" s="272"/>
      <c r="I101" s="281"/>
      <c r="J101" s="282"/>
      <c r="K101" s="283"/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</v>
      </c>
      <c r="N101" s="191"/>
      <c r="O101" s="247"/>
    </row>
    <row r="102">
      <c r="A102" s="12" t="s">
        <v>111</v>
      </c>
      <c r="B102" s="12" t="s">
        <v>40</v>
      </c>
      <c r="C102" s="267"/>
      <c r="D102" s="191"/>
      <c r="E102" s="247"/>
      <c r="F102" s="235" t="s">
        <v>35</v>
      </c>
      <c r="G102" s="235"/>
      <c r="H102" s="268"/>
      <c r="I102" s="281"/>
      <c r="J102" s="284"/>
      <c r="K102" s="283"/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67"/>
      <c r="D103" s="191"/>
      <c r="E103" s="247"/>
      <c r="F103" s="235" t="s">
        <v>35</v>
      </c>
      <c r="G103" s="235"/>
      <c r="H103" s="272"/>
      <c r="I103" s="281"/>
      <c r="J103" s="282"/>
      <c r="K103" s="283"/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</v>
      </c>
      <c r="N103" s="191"/>
      <c r="O103" s="247"/>
    </row>
    <row r="104">
      <c r="A104" s="12" t="s">
        <v>114</v>
      </c>
      <c r="B104" s="12" t="s">
        <v>40</v>
      </c>
      <c r="C104" s="267"/>
      <c r="D104" s="191"/>
      <c r="E104" s="247"/>
      <c r="F104" s="235" t="s">
        <v>35</v>
      </c>
      <c r="G104" s="285"/>
      <c r="H104" s="272"/>
      <c r="I104" s="281"/>
      <c r="J104" s="282"/>
      <c r="K104" s="283"/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</v>
      </c>
      <c r="N104" s="191"/>
      <c r="O104" s="247"/>
    </row>
    <row r="105">
      <c r="A105" s="12" t="s">
        <v>116</v>
      </c>
      <c r="B105" s="12" t="s">
        <v>40</v>
      </c>
      <c r="C105" s="267"/>
      <c r="D105" s="191"/>
      <c r="E105" s="247"/>
      <c r="F105" s="235" t="s">
        <v>35</v>
      </c>
      <c r="G105" s="235"/>
      <c r="H105" s="268"/>
      <c r="I105" s="281"/>
      <c r="J105" s="284"/>
      <c r="K105" s="283"/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67"/>
      <c r="D106" s="191"/>
      <c r="E106" s="247"/>
      <c r="F106" s="235" t="s">
        <v>35</v>
      </c>
      <c r="G106" s="285"/>
      <c r="H106" s="272"/>
      <c r="I106" s="281"/>
      <c r="J106" s="282"/>
      <c r="K106" s="283"/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</v>
      </c>
      <c r="N106" s="191"/>
      <c r="O106" s="247"/>
    </row>
    <row r="107">
      <c r="A107" s="12" t="s">
        <v>118</v>
      </c>
      <c r="B107" s="12" t="s">
        <v>40</v>
      </c>
      <c r="C107" s="267"/>
      <c r="D107" s="191"/>
      <c r="E107" s="247"/>
      <c r="F107" s="235" t="s">
        <v>35</v>
      </c>
      <c r="G107" s="235"/>
      <c r="H107" s="272"/>
      <c r="I107" s="281"/>
      <c r="J107" s="284"/>
      <c r="K107" s="283"/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</v>
      </c>
      <c r="N107" s="191"/>
      <c r="O107" s="247"/>
    </row>
    <row r="108">
      <c r="A108" s="12" t="s">
        <v>119</v>
      </c>
      <c r="B108" s="12" t="s">
        <v>40</v>
      </c>
      <c r="C108" s="267"/>
      <c r="D108" s="191"/>
      <c r="E108" s="247"/>
      <c r="F108" s="235" t="s">
        <v>35</v>
      </c>
      <c r="G108" s="235"/>
      <c r="H108" s="272"/>
      <c r="I108" s="281"/>
      <c r="J108" s="284"/>
      <c r="K108" s="283"/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</v>
      </c>
      <c r="N108" s="191"/>
      <c r="O108" s="247"/>
    </row>
    <row r="109">
      <c r="A109" s="12" t="s">
        <v>120</v>
      </c>
      <c r="B109" s="12" t="s">
        <v>40</v>
      </c>
      <c r="C109" s="267"/>
      <c r="D109" s="191"/>
      <c r="E109" s="247"/>
      <c r="F109" s="235" t="s">
        <v>35</v>
      </c>
      <c r="G109" s="235"/>
      <c r="H109" s="272"/>
      <c r="I109" s="281"/>
      <c r="J109" s="282"/>
      <c r="K109" s="283"/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</v>
      </c>
      <c r="N109" s="191"/>
      <c r="O109" s="247"/>
    </row>
    <row r="110">
      <c r="A110" s="12" t="s">
        <v>121</v>
      </c>
      <c r="B110" s="12" t="s">
        <v>40</v>
      </c>
      <c r="C110" s="267"/>
      <c r="D110" s="191"/>
      <c r="E110" s="247"/>
      <c r="F110" s="235" t="s">
        <v>35</v>
      </c>
      <c r="G110" s="235"/>
      <c r="H110" s="272"/>
      <c r="I110" s="281"/>
      <c r="J110" s="284"/>
      <c r="K110" s="283"/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</v>
      </c>
      <c r="N110" s="191"/>
      <c r="O110" s="247"/>
    </row>
    <row r="111">
      <c r="A111" s="12" t="s">
        <v>122</v>
      </c>
      <c r="B111" s="12" t="s">
        <v>40</v>
      </c>
      <c r="C111" s="267"/>
      <c r="D111" s="191"/>
      <c r="E111" s="247"/>
      <c r="F111" s="235" t="s">
        <v>35</v>
      </c>
      <c r="G111" s="235"/>
      <c r="H111" s="268"/>
      <c r="I111" s="281"/>
      <c r="J111" s="284"/>
      <c r="K111" s="283"/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67"/>
      <c r="D112" s="191"/>
      <c r="E112" s="247"/>
      <c r="F112" s="235" t="s">
        <v>35</v>
      </c>
      <c r="G112" s="235"/>
      <c r="H112" s="272"/>
      <c r="I112" s="281"/>
      <c r="J112" s="282"/>
      <c r="K112" s="283"/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</v>
      </c>
      <c r="N112" s="191"/>
      <c r="O112" s="247"/>
    </row>
    <row r="113">
      <c r="A113" s="12" t="s">
        <v>124</v>
      </c>
      <c r="B113" s="12" t="s">
        <v>40</v>
      </c>
      <c r="C113" s="267"/>
      <c r="D113" s="191"/>
      <c r="E113" s="247"/>
      <c r="F113" s="235" t="s">
        <v>35</v>
      </c>
      <c r="G113" s="235"/>
      <c r="H113" s="272"/>
      <c r="I113" s="281"/>
      <c r="J113" s="282"/>
      <c r="K113" s="283"/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</v>
      </c>
      <c r="N113" s="191"/>
      <c r="O113" s="247"/>
    </row>
    <row r="114">
      <c r="A114" s="12" t="s">
        <v>125</v>
      </c>
      <c r="B114" s="12" t="s">
        <v>40</v>
      </c>
      <c r="C114" s="267"/>
      <c r="D114" s="191"/>
      <c r="E114" s="247"/>
      <c r="F114" s="235" t="s">
        <v>35</v>
      </c>
      <c r="G114" s="235"/>
      <c r="H114" s="268"/>
      <c r="I114" s="281"/>
      <c r="J114" s="284"/>
      <c r="K114" s="283"/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67"/>
      <c r="D115" s="191"/>
      <c r="E115" s="247"/>
      <c r="F115" s="235" t="s">
        <v>35</v>
      </c>
      <c r="G115" s="235"/>
      <c r="H115" s="272"/>
      <c r="I115" s="281"/>
      <c r="J115" s="282"/>
      <c r="K115" s="283"/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</v>
      </c>
      <c r="N115" s="191"/>
      <c r="O115" s="247"/>
    </row>
    <row r="116">
      <c r="A116" s="12" t="s">
        <v>127</v>
      </c>
      <c r="B116" s="12" t="s">
        <v>40</v>
      </c>
      <c r="C116" s="271"/>
      <c r="D116" s="191"/>
      <c r="E116" s="247"/>
      <c r="F116" s="235" t="s">
        <v>35</v>
      </c>
      <c r="G116" s="235"/>
      <c r="H116" s="272"/>
      <c r="I116" s="281"/>
      <c r="J116" s="282"/>
      <c r="K116" s="283"/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</v>
      </c>
      <c r="N116" s="191"/>
      <c r="O116" s="247"/>
    </row>
    <row r="117">
      <c r="A117" s="12" t="s">
        <v>128</v>
      </c>
      <c r="B117" s="12" t="s">
        <v>40</v>
      </c>
      <c r="C117" s="271"/>
      <c r="D117" s="191"/>
      <c r="E117" s="247"/>
      <c r="F117" s="235" t="s">
        <v>35</v>
      </c>
      <c r="G117" s="235"/>
      <c r="H117" s="272"/>
      <c r="I117" s="281"/>
      <c r="J117" s="282"/>
      <c r="K117" s="283"/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</v>
      </c>
      <c r="N117" s="191"/>
      <c r="O117" s="247"/>
    </row>
    <row r="118">
      <c r="A118" s="12" t="s">
        <v>129</v>
      </c>
      <c r="B118" s="12" t="s">
        <v>40</v>
      </c>
      <c r="C118" s="267"/>
      <c r="D118" s="191"/>
      <c r="E118" s="247"/>
      <c r="F118" s="235" t="s">
        <v>35</v>
      </c>
      <c r="G118" s="235"/>
      <c r="H118" s="272"/>
      <c r="I118" s="281"/>
      <c r="J118" s="282"/>
      <c r="K118" s="283"/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67"/>
      <c r="D119" s="191"/>
      <c r="E119" s="247"/>
      <c r="F119" s="235" t="s">
        <v>35</v>
      </c>
      <c r="G119" s="235"/>
      <c r="H119" s="272"/>
      <c r="I119" s="281"/>
      <c r="J119" s="282"/>
      <c r="K119" s="283"/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</v>
      </c>
      <c r="N119" s="191"/>
      <c r="O119" s="247"/>
    </row>
    <row r="120">
      <c r="A120" s="12" t="s">
        <v>131</v>
      </c>
      <c r="B120" s="12" t="s">
        <v>40</v>
      </c>
      <c r="C120" s="267"/>
      <c r="D120" s="191"/>
      <c r="E120" s="247"/>
      <c r="F120" s="235" t="s">
        <v>35</v>
      </c>
      <c r="G120" s="235"/>
      <c r="H120" s="272"/>
      <c r="I120" s="281"/>
      <c r="J120" s="282"/>
      <c r="K120" s="283"/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247"/>
    </row>
    <row r="121">
      <c r="A121" s="12" t="s">
        <v>132</v>
      </c>
      <c r="B121" s="12" t="s">
        <v>40</v>
      </c>
      <c r="C121" s="267"/>
      <c r="D121" s="191"/>
      <c r="E121" s="247"/>
      <c r="F121" s="235" t="s">
        <v>35</v>
      </c>
      <c r="G121" s="235"/>
      <c r="H121" s="272"/>
      <c r="I121" s="281"/>
      <c r="J121" s="282"/>
      <c r="K121" s="283"/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</v>
      </c>
      <c r="N121" s="191"/>
      <c r="O121" s="247"/>
    </row>
    <row r="122">
      <c r="A122" s="12" t="s">
        <v>133</v>
      </c>
      <c r="B122" s="12" t="s">
        <v>40</v>
      </c>
      <c r="C122" s="267"/>
      <c r="D122" s="191"/>
      <c r="E122" s="247"/>
      <c r="F122" s="235" t="s">
        <v>35</v>
      </c>
      <c r="G122" s="235"/>
      <c r="H122" s="272"/>
      <c r="I122" s="281"/>
      <c r="J122" s="282"/>
      <c r="K122" s="283"/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</v>
      </c>
      <c r="N122" s="191"/>
      <c r="O122" s="247"/>
    </row>
    <row r="123">
      <c r="A123" s="12" t="s">
        <v>134</v>
      </c>
      <c r="B123" s="12" t="s">
        <v>40</v>
      </c>
      <c r="C123" s="267"/>
      <c r="D123" s="191"/>
      <c r="E123" s="247"/>
      <c r="F123" s="235" t="s">
        <v>35</v>
      </c>
      <c r="G123" s="235"/>
      <c r="H123" s="268"/>
      <c r="I123" s="281"/>
      <c r="J123" s="284"/>
      <c r="K123" s="283"/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67"/>
      <c r="D124" s="191"/>
      <c r="E124" s="247"/>
      <c r="F124" s="235" t="s">
        <v>35</v>
      </c>
      <c r="G124" s="235"/>
      <c r="H124" s="268"/>
      <c r="I124" s="281"/>
      <c r="J124" s="284"/>
      <c r="K124" s="283"/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67"/>
      <c r="D125" s="191"/>
      <c r="E125" s="247"/>
      <c r="F125" s="285" t="s">
        <v>35</v>
      </c>
      <c r="G125" s="235"/>
      <c r="H125" s="268"/>
      <c r="I125" s="281"/>
      <c r="J125" s="284"/>
      <c r="K125" s="283"/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247"/>
    </row>
    <row r="126">
      <c r="A126" s="21" t="s">
        <v>143</v>
      </c>
      <c r="B126" s="15" t="s">
        <v>40</v>
      </c>
      <c r="C126" s="267"/>
      <c r="D126" s="191"/>
      <c r="E126" s="247"/>
      <c r="F126" s="285" t="s">
        <v>35</v>
      </c>
      <c r="G126" s="235"/>
      <c r="H126" s="268"/>
      <c r="I126" s="281"/>
      <c r="J126" s="284"/>
      <c r="K126" s="283"/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</v>
      </c>
      <c r="N126" s="191"/>
      <c r="O126" s="247"/>
    </row>
    <row r="127">
      <c r="A127" s="10" t="s">
        <v>146</v>
      </c>
      <c r="B127" s="11"/>
      <c r="C127" s="267"/>
      <c r="D127" s="191"/>
      <c r="E127" s="247"/>
      <c r="F127" s="235"/>
      <c r="G127" s="235"/>
      <c r="H127" s="268"/>
      <c r="I127" s="281"/>
      <c r="J127" s="284"/>
      <c r="K127" s="283"/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67"/>
      <c r="D128" s="191"/>
      <c r="E128" s="247"/>
      <c r="F128" s="235" t="s">
        <v>35</v>
      </c>
      <c r="G128" s="235"/>
      <c r="H128" s="268"/>
      <c r="I128" s="281"/>
      <c r="J128" s="284"/>
      <c r="K128" s="283"/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/>
      <c r="D129" s="191"/>
      <c r="E129" s="247"/>
      <c r="F129" s="235" t="s">
        <v>35</v>
      </c>
      <c r="G129" s="235"/>
      <c r="H129" s="272"/>
      <c r="I129" s="281"/>
      <c r="J129" s="282"/>
      <c r="K129" s="283"/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</v>
      </c>
      <c r="N129" s="191"/>
      <c r="O129" s="247"/>
    </row>
    <row r="130">
      <c r="A130" s="12" t="s">
        <v>149</v>
      </c>
      <c r="B130" s="12" t="s">
        <v>40</v>
      </c>
      <c r="C130" s="267"/>
      <c r="D130" s="191"/>
      <c r="E130" s="247"/>
      <c r="F130" s="235" t="s">
        <v>35</v>
      </c>
      <c r="G130" s="235"/>
      <c r="H130" s="272"/>
      <c r="I130" s="281"/>
      <c r="J130" s="282"/>
      <c r="K130" s="283"/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</v>
      </c>
      <c r="N130" s="191"/>
      <c r="O130" s="247"/>
    </row>
    <row r="131">
      <c r="A131" s="12" t="s">
        <v>150</v>
      </c>
      <c r="B131" s="12" t="s">
        <v>24</v>
      </c>
      <c r="C131" s="267"/>
      <c r="D131" s="191"/>
      <c r="E131" s="247"/>
      <c r="F131" s="235" t="s">
        <v>25</v>
      </c>
      <c r="G131" s="235"/>
      <c r="H131" s="268"/>
      <c r="I131" s="281"/>
      <c r="J131" s="284"/>
      <c r="K131" s="283"/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67"/>
      <c r="D132" s="191"/>
      <c r="E132" s="247"/>
      <c r="F132" s="235"/>
      <c r="G132" s="235"/>
      <c r="H132" s="268"/>
      <c r="I132" s="281"/>
      <c r="J132" s="284"/>
      <c r="K132" s="283"/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67"/>
      <c r="D133" s="227"/>
      <c r="E133" s="247"/>
      <c r="F133" s="235" t="s">
        <v>35</v>
      </c>
      <c r="G133" s="235"/>
      <c r="H133" s="272"/>
      <c r="I133" s="281"/>
      <c r="J133" s="284"/>
      <c r="K133" s="283"/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</v>
      </c>
      <c r="N133" s="191"/>
      <c r="O133" s="247"/>
    </row>
    <row r="134">
      <c r="A134" s="12" t="s">
        <v>154</v>
      </c>
      <c r="B134" s="12" t="s">
        <v>155</v>
      </c>
      <c r="C134" s="267"/>
      <c r="D134" s="191"/>
      <c r="E134" s="247"/>
      <c r="F134" s="235" t="s">
        <v>35</v>
      </c>
      <c r="G134" s="235"/>
      <c r="H134" s="268"/>
      <c r="I134" s="281"/>
      <c r="J134" s="284"/>
      <c r="K134" s="283"/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/>
      <c r="D135" s="227"/>
      <c r="E135" s="280"/>
      <c r="F135" s="235" t="s">
        <v>35</v>
      </c>
      <c r="G135" s="235"/>
      <c r="H135" s="272"/>
      <c r="I135" s="281"/>
      <c r="J135" s="282"/>
      <c r="K135" s="283"/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</v>
      </c>
      <c r="N135" s="191"/>
      <c r="O135" s="247"/>
    </row>
    <row r="136">
      <c r="A136" s="12" t="s">
        <v>158</v>
      </c>
      <c r="B136" s="12" t="s">
        <v>34</v>
      </c>
      <c r="C136" s="271"/>
      <c r="D136" s="191"/>
      <c r="E136" s="247"/>
      <c r="F136" s="235" t="s">
        <v>35</v>
      </c>
      <c r="G136" s="235"/>
      <c r="H136" s="272"/>
      <c r="I136" s="281"/>
      <c r="J136" s="284"/>
      <c r="K136" s="283"/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</v>
      </c>
      <c r="N136" s="191"/>
      <c r="O136" s="247"/>
    </row>
    <row r="137">
      <c r="A137" s="12" t="s">
        <v>159</v>
      </c>
      <c r="B137" s="12" t="s">
        <v>34</v>
      </c>
      <c r="C137" s="267"/>
      <c r="D137" s="191"/>
      <c r="E137" s="247"/>
      <c r="F137" s="235" t="s">
        <v>35</v>
      </c>
      <c r="G137" s="235"/>
      <c r="H137" s="268"/>
      <c r="I137" s="281"/>
      <c r="J137" s="284"/>
      <c r="K137" s="283"/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67"/>
      <c r="D138" s="191"/>
      <c r="E138" s="247"/>
      <c r="F138" s="235" t="s">
        <v>35</v>
      </c>
      <c r="G138" s="235"/>
      <c r="H138" s="272"/>
      <c r="I138" s="281"/>
      <c r="J138" s="282"/>
      <c r="K138" s="283"/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</v>
      </c>
      <c r="N138" s="191"/>
      <c r="O138" s="247"/>
    </row>
    <row r="139">
      <c r="A139" s="12" t="s">
        <v>161</v>
      </c>
      <c r="B139" s="12" t="s">
        <v>34</v>
      </c>
      <c r="C139" s="267"/>
      <c r="D139" s="191"/>
      <c r="E139" s="247"/>
      <c r="F139" s="235" t="s">
        <v>35</v>
      </c>
      <c r="G139" s="235"/>
      <c r="H139" s="272"/>
      <c r="I139" s="281"/>
      <c r="J139" s="282"/>
      <c r="K139" s="283"/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</v>
      </c>
      <c r="N139" s="191"/>
      <c r="O139" s="247"/>
    </row>
    <row r="140">
      <c r="A140" s="12" t="s">
        <v>162</v>
      </c>
      <c r="B140" s="12" t="s">
        <v>34</v>
      </c>
      <c r="C140" s="267"/>
      <c r="D140" s="191"/>
      <c r="E140" s="247"/>
      <c r="F140" s="235" t="s">
        <v>35</v>
      </c>
      <c r="G140" s="235"/>
      <c r="H140" s="272"/>
      <c r="I140" s="281"/>
      <c r="J140" s="282"/>
      <c r="K140" s="283"/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67"/>
      <c r="D141" s="191"/>
      <c r="E141" s="247"/>
      <c r="F141" s="235" t="s">
        <v>35</v>
      </c>
      <c r="G141" s="235"/>
      <c r="H141" s="272"/>
      <c r="I141" s="281"/>
      <c r="J141" s="282"/>
      <c r="K141" s="283"/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</v>
      </c>
      <c r="N141" s="191"/>
      <c r="O141" s="247"/>
    </row>
    <row r="142">
      <c r="A142" s="12" t="s">
        <v>164</v>
      </c>
      <c r="B142" s="12" t="s">
        <v>155</v>
      </c>
      <c r="C142" s="271"/>
      <c r="D142" s="191"/>
      <c r="E142" s="247"/>
      <c r="F142" s="235" t="s">
        <v>35</v>
      </c>
      <c r="G142" s="235"/>
      <c r="H142" s="272"/>
      <c r="I142" s="281"/>
      <c r="J142" s="282"/>
      <c r="K142" s="283"/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</v>
      </c>
      <c r="N142" s="191"/>
      <c r="O142" s="247"/>
    </row>
    <row r="143">
      <c r="A143" s="12" t="s">
        <v>165</v>
      </c>
      <c r="B143" s="12" t="s">
        <v>155</v>
      </c>
      <c r="C143" s="267"/>
      <c r="D143" s="191"/>
      <c r="E143" s="247"/>
      <c r="F143" s="235" t="s">
        <v>35</v>
      </c>
      <c r="G143" s="235"/>
      <c r="H143" s="268"/>
      <c r="I143" s="281"/>
      <c r="J143" s="284"/>
      <c r="K143" s="283"/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67"/>
      <c r="D144" s="191"/>
      <c r="E144" s="247"/>
      <c r="F144" s="235" t="s">
        <v>35</v>
      </c>
      <c r="G144" s="235"/>
      <c r="H144" s="272"/>
      <c r="I144" s="281"/>
      <c r="J144" s="284"/>
      <c r="K144" s="283"/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</v>
      </c>
      <c r="N144" s="191"/>
      <c r="O144" s="247"/>
    </row>
    <row r="145">
      <c r="A145" s="12" t="s">
        <v>167</v>
      </c>
      <c r="B145" s="12" t="s">
        <v>106</v>
      </c>
      <c r="C145" s="267"/>
      <c r="D145" s="191"/>
      <c r="E145" s="247"/>
      <c r="F145" s="235" t="s">
        <v>35</v>
      </c>
      <c r="G145" s="235"/>
      <c r="H145" s="272"/>
      <c r="I145" s="281"/>
      <c r="J145" s="282"/>
      <c r="K145" s="283"/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</v>
      </c>
      <c r="N145" s="191"/>
      <c r="O145" s="247"/>
    </row>
    <row r="146">
      <c r="A146" s="12" t="s">
        <v>168</v>
      </c>
      <c r="B146" s="12" t="s">
        <v>17</v>
      </c>
      <c r="C146" s="267"/>
      <c r="D146" s="227"/>
      <c r="E146" s="247"/>
      <c r="F146" s="235" t="s">
        <v>35</v>
      </c>
      <c r="G146" s="235"/>
      <c r="H146" s="272"/>
      <c r="I146" s="281"/>
      <c r="J146" s="284"/>
      <c r="K146" s="283"/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</v>
      </c>
      <c r="N146" s="191"/>
      <c r="O146" s="247"/>
    </row>
    <row r="147">
      <c r="A147" s="12" t="s">
        <v>169</v>
      </c>
      <c r="B147" s="12" t="s">
        <v>106</v>
      </c>
      <c r="C147" s="267"/>
      <c r="D147" s="191"/>
      <c r="E147" s="247"/>
      <c r="F147" s="235" t="s">
        <v>35</v>
      </c>
      <c r="G147" s="235"/>
      <c r="H147" s="268"/>
      <c r="I147" s="281"/>
      <c r="J147" s="284"/>
      <c r="K147" s="283"/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67"/>
      <c r="D148" s="191"/>
      <c r="E148" s="247"/>
      <c r="F148" s="235" t="s">
        <v>35</v>
      </c>
      <c r="G148" s="235"/>
      <c r="H148" s="268"/>
      <c r="I148" s="281"/>
      <c r="J148" s="284"/>
      <c r="K148" s="283"/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67"/>
      <c r="D149" s="191"/>
      <c r="E149" s="247"/>
      <c r="F149" s="235" t="s">
        <v>14</v>
      </c>
      <c r="G149" s="235"/>
      <c r="H149" s="272"/>
      <c r="I149" s="281"/>
      <c r="J149" s="282"/>
      <c r="K149" s="283"/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</v>
      </c>
      <c r="N149" s="191"/>
      <c r="O149" s="247"/>
    </row>
    <row r="150">
      <c r="A150" s="11" t="s">
        <v>173</v>
      </c>
      <c r="B150" s="11" t="s">
        <v>106</v>
      </c>
      <c r="C150" s="267"/>
      <c r="D150" s="287"/>
      <c r="E150" s="288"/>
      <c r="F150" s="235" t="s">
        <v>14</v>
      </c>
      <c r="G150" s="289"/>
      <c r="H150" s="290"/>
      <c r="I150" s="281"/>
      <c r="J150" s="291"/>
      <c r="K150" s="283"/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</v>
      </c>
      <c r="N150" s="216"/>
      <c r="O150" s="292"/>
    </row>
    <row r="151">
      <c r="A151" s="22" t="s">
        <v>174</v>
      </c>
      <c r="B151" s="23" t="s">
        <v>106</v>
      </c>
      <c r="C151" s="267"/>
      <c r="D151" s="216"/>
      <c r="E151" s="288"/>
      <c r="F151" s="235" t="s">
        <v>14</v>
      </c>
      <c r="G151" s="289"/>
      <c r="H151" s="290"/>
      <c r="I151" s="281"/>
      <c r="J151" s="291"/>
      <c r="K151" s="283"/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</v>
      </c>
      <c r="N151" s="216"/>
      <c r="O151" s="292"/>
    </row>
    <row r="152">
      <c r="A152" s="10" t="s">
        <v>175</v>
      </c>
      <c r="B152" s="11"/>
      <c r="C152" s="267"/>
      <c r="D152" s="191"/>
      <c r="E152" s="247"/>
      <c r="F152" s="235"/>
      <c r="G152" s="235"/>
      <c r="H152" s="268"/>
      <c r="I152" s="281"/>
      <c r="J152" s="284"/>
      <c r="K152" s="283"/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67"/>
      <c r="D153" s="227"/>
      <c r="E153" s="247"/>
      <c r="F153" s="235" t="s">
        <v>25</v>
      </c>
      <c r="G153" s="235"/>
      <c r="H153" s="272"/>
      <c r="I153" s="281"/>
      <c r="J153" s="284"/>
      <c r="K153" s="283"/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0</v>
      </c>
      <c r="N153" s="191"/>
      <c r="O153" s="247"/>
    </row>
    <row r="154">
      <c r="A154" s="12" t="s">
        <v>178</v>
      </c>
      <c r="B154" s="12" t="s">
        <v>35</v>
      </c>
      <c r="C154" s="271"/>
      <c r="D154" s="227"/>
      <c r="E154" s="280"/>
      <c r="F154" s="235" t="s">
        <v>35</v>
      </c>
      <c r="G154" s="235"/>
      <c r="H154" s="272"/>
      <c r="I154" s="281"/>
      <c r="J154" s="284"/>
      <c r="K154" s="283"/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0</v>
      </c>
      <c r="N154" s="191"/>
      <c r="O154" s="247"/>
    </row>
    <row r="155">
      <c r="A155" s="12" t="s">
        <v>180</v>
      </c>
      <c r="B155" s="12" t="s">
        <v>35</v>
      </c>
      <c r="C155" s="267"/>
      <c r="D155" s="191"/>
      <c r="E155" s="247"/>
      <c r="F155" s="235" t="s">
        <v>35</v>
      </c>
      <c r="G155" s="235"/>
      <c r="H155" s="272"/>
      <c r="I155" s="281"/>
      <c r="J155" s="284"/>
      <c r="K155" s="283"/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</v>
      </c>
      <c r="N155" s="191"/>
      <c r="O155" s="247"/>
    </row>
    <row r="156">
      <c r="A156" s="12" t="s">
        <v>181</v>
      </c>
      <c r="B156" s="12" t="s">
        <v>35</v>
      </c>
      <c r="C156" s="267"/>
      <c r="D156" s="191"/>
      <c r="E156" s="280"/>
      <c r="F156" s="235" t="s">
        <v>35</v>
      </c>
      <c r="G156" s="235"/>
      <c r="H156" s="272"/>
      <c r="I156" s="281"/>
      <c r="J156" s="282"/>
      <c r="K156" s="283"/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</v>
      </c>
      <c r="N156" s="191"/>
      <c r="O156" s="247"/>
    </row>
    <row r="157">
      <c r="A157" s="12" t="s">
        <v>182</v>
      </c>
      <c r="B157" s="12" t="s">
        <v>35</v>
      </c>
      <c r="C157" s="271"/>
      <c r="D157" s="191"/>
      <c r="E157" s="247"/>
      <c r="F157" s="235" t="s">
        <v>35</v>
      </c>
      <c r="G157" s="285"/>
      <c r="H157" s="272"/>
      <c r="I157" s="281"/>
      <c r="J157" s="282"/>
      <c r="K157" s="283"/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67"/>
      <c r="D158" s="191"/>
      <c r="E158" s="247"/>
      <c r="F158" s="235" t="s">
        <v>14</v>
      </c>
      <c r="G158" s="235"/>
      <c r="H158" s="268"/>
      <c r="I158" s="281"/>
      <c r="J158" s="284"/>
      <c r="K158" s="283"/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67"/>
      <c r="D159" s="191"/>
      <c r="E159" s="247"/>
      <c r="F159" s="235"/>
      <c r="G159" s="235"/>
      <c r="H159" s="268"/>
      <c r="I159" s="281"/>
      <c r="J159" s="284"/>
      <c r="K159" s="283"/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67"/>
      <c r="D160" s="191"/>
      <c r="E160" s="247"/>
      <c r="F160" s="235" t="s">
        <v>17</v>
      </c>
      <c r="G160" s="235"/>
      <c r="H160" s="272"/>
      <c r="I160" s="281"/>
      <c r="J160" s="284"/>
      <c r="K160" s="283"/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0</v>
      </c>
      <c r="N160" s="191"/>
      <c r="O160" s="247"/>
    </row>
    <row r="161">
      <c r="A161" s="12" t="s">
        <v>187</v>
      </c>
      <c r="B161" s="12" t="s">
        <v>17</v>
      </c>
      <c r="C161" s="267"/>
      <c r="D161" s="227"/>
      <c r="E161" s="247"/>
      <c r="F161" s="235" t="s">
        <v>17</v>
      </c>
      <c r="G161" s="235"/>
      <c r="H161" s="272"/>
      <c r="I161" s="281"/>
      <c r="J161" s="282"/>
      <c r="K161" s="283"/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0</v>
      </c>
      <c r="N161" s="191"/>
      <c r="O161" s="247"/>
    </row>
    <row r="162">
      <c r="A162" s="12" t="s">
        <v>188</v>
      </c>
      <c r="B162" s="12" t="s">
        <v>35</v>
      </c>
      <c r="C162" s="267"/>
      <c r="D162" s="227"/>
      <c r="E162" s="247"/>
      <c r="F162" s="235" t="s">
        <v>35</v>
      </c>
      <c r="G162" s="235"/>
      <c r="H162" s="272"/>
      <c r="I162" s="281"/>
      <c r="J162" s="284"/>
      <c r="K162" s="283"/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0</v>
      </c>
      <c r="N162" s="191"/>
      <c r="O162" s="247"/>
    </row>
    <row r="163">
      <c r="A163" s="12" t="s">
        <v>189</v>
      </c>
      <c r="B163" s="12" t="s">
        <v>17</v>
      </c>
      <c r="C163" s="267"/>
      <c r="D163" s="227"/>
      <c r="E163" s="280"/>
      <c r="F163" s="235" t="s">
        <v>17</v>
      </c>
      <c r="G163" s="235"/>
      <c r="H163" s="272"/>
      <c r="I163" s="281"/>
      <c r="J163" s="282"/>
      <c r="K163" s="283"/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0</v>
      </c>
      <c r="N163" s="191"/>
      <c r="O163" s="247"/>
    </row>
    <row r="164">
      <c r="A164" s="12" t="s">
        <v>190</v>
      </c>
      <c r="B164" s="12" t="s">
        <v>17</v>
      </c>
      <c r="C164" s="267"/>
      <c r="D164" s="191"/>
      <c r="E164" s="247"/>
      <c r="F164" s="235" t="s">
        <v>17</v>
      </c>
      <c r="G164" s="235"/>
      <c r="H164" s="268"/>
      <c r="I164" s="281"/>
      <c r="J164" s="284"/>
      <c r="K164" s="283"/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67"/>
      <c r="D165" s="227"/>
      <c r="E165" s="247"/>
      <c r="F165" s="235" t="s">
        <v>35</v>
      </c>
      <c r="G165" s="235"/>
      <c r="H165" s="272"/>
      <c r="I165" s="281"/>
      <c r="J165" s="284"/>
      <c r="K165" s="283"/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0</v>
      </c>
      <c r="N165" s="191"/>
      <c r="O165" s="247"/>
    </row>
    <row r="166">
      <c r="A166" s="12" t="s">
        <v>192</v>
      </c>
      <c r="B166" s="12" t="s">
        <v>35</v>
      </c>
      <c r="C166" s="267"/>
      <c r="D166" s="191"/>
      <c r="E166" s="247"/>
      <c r="F166" s="235" t="s">
        <v>35</v>
      </c>
      <c r="G166" s="285"/>
      <c r="H166" s="272"/>
      <c r="I166" s="281"/>
      <c r="J166" s="282"/>
      <c r="K166" s="283"/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0</v>
      </c>
      <c r="N166" s="191"/>
      <c r="O166" s="247"/>
    </row>
    <row r="167">
      <c r="A167" s="12" t="s">
        <v>193</v>
      </c>
      <c r="B167" s="12" t="s">
        <v>35</v>
      </c>
      <c r="C167" s="267"/>
      <c r="D167" s="227"/>
      <c r="E167" s="247"/>
      <c r="F167" s="235" t="s">
        <v>35</v>
      </c>
      <c r="G167" s="235"/>
      <c r="H167" s="272"/>
      <c r="I167" s="281"/>
      <c r="J167" s="282"/>
      <c r="K167" s="283"/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0</v>
      </c>
      <c r="N167" s="191"/>
      <c r="O167" s="247"/>
    </row>
    <row r="168">
      <c r="A168" s="12" t="s">
        <v>194</v>
      </c>
      <c r="B168" s="12" t="s">
        <v>17</v>
      </c>
      <c r="C168" s="267"/>
      <c r="D168" s="227"/>
      <c r="E168" s="247"/>
      <c r="F168" s="235" t="s">
        <v>17</v>
      </c>
      <c r="G168" s="235"/>
      <c r="H168" s="268"/>
      <c r="I168" s="281"/>
      <c r="J168" s="284"/>
      <c r="K168" s="283"/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0</v>
      </c>
      <c r="N168" s="191"/>
      <c r="O168" s="247"/>
    </row>
    <row r="169">
      <c r="A169" s="12" t="s">
        <v>195</v>
      </c>
      <c r="B169" s="12" t="s">
        <v>35</v>
      </c>
      <c r="C169" s="267"/>
      <c r="D169" s="191"/>
      <c r="E169" s="247"/>
      <c r="F169" s="235" t="s">
        <v>35</v>
      </c>
      <c r="G169" s="235"/>
      <c r="H169" s="272"/>
      <c r="I169" s="281"/>
      <c r="J169" s="282"/>
      <c r="K169" s="283"/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</v>
      </c>
      <c r="N169" s="191"/>
      <c r="O169" s="247"/>
    </row>
    <row r="170">
      <c r="A170" s="12" t="s">
        <v>196</v>
      </c>
      <c r="B170" s="12" t="s">
        <v>35</v>
      </c>
      <c r="C170" s="267"/>
      <c r="D170" s="191"/>
      <c r="E170" s="247"/>
      <c r="F170" s="235" t="s">
        <v>35</v>
      </c>
      <c r="G170" s="235"/>
      <c r="H170" s="272"/>
      <c r="I170" s="281"/>
      <c r="J170" s="282"/>
      <c r="K170" s="283"/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</v>
      </c>
      <c r="N170" s="191"/>
      <c r="O170" s="247"/>
    </row>
    <row r="171">
      <c r="A171" s="12" t="s">
        <v>197</v>
      </c>
      <c r="B171" s="12" t="s">
        <v>35</v>
      </c>
      <c r="C171" s="267"/>
      <c r="D171" s="191"/>
      <c r="E171" s="247"/>
      <c r="F171" s="235" t="s">
        <v>35</v>
      </c>
      <c r="G171" s="285"/>
      <c r="H171" s="272"/>
      <c r="I171" s="281"/>
      <c r="J171" s="282"/>
      <c r="K171" s="283"/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0</v>
      </c>
      <c r="N171" s="191"/>
      <c r="O171" s="247"/>
    </row>
    <row r="172">
      <c r="A172" s="12" t="s">
        <v>198</v>
      </c>
      <c r="B172" s="12" t="s">
        <v>35</v>
      </c>
      <c r="C172" s="267"/>
      <c r="D172" s="227"/>
      <c r="E172" s="247"/>
      <c r="F172" s="235" t="s">
        <v>35</v>
      </c>
      <c r="G172" s="235"/>
      <c r="H172" s="272"/>
      <c r="I172" s="281"/>
      <c r="J172" s="282"/>
      <c r="K172" s="283"/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0</v>
      </c>
      <c r="N172" s="191"/>
      <c r="O172" s="247"/>
    </row>
    <row r="173">
      <c r="A173" s="12" t="s">
        <v>199</v>
      </c>
      <c r="B173" s="12" t="s">
        <v>35</v>
      </c>
      <c r="C173" s="267"/>
      <c r="D173" s="191"/>
      <c r="E173" s="247"/>
      <c r="F173" s="235" t="s">
        <v>35</v>
      </c>
      <c r="G173" s="235"/>
      <c r="H173" s="272"/>
      <c r="I173" s="281"/>
      <c r="J173" s="284"/>
      <c r="K173" s="283"/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0</v>
      </c>
      <c r="N173" s="191"/>
      <c r="O173" s="247"/>
    </row>
    <row r="174">
      <c r="A174" s="12" t="s">
        <v>200</v>
      </c>
      <c r="B174" s="12" t="s">
        <v>35</v>
      </c>
      <c r="C174" s="267"/>
      <c r="D174" s="191"/>
      <c r="E174" s="247"/>
      <c r="F174" s="235" t="s">
        <v>35</v>
      </c>
      <c r="G174" s="235"/>
      <c r="H174" s="272"/>
      <c r="I174" s="281"/>
      <c r="J174" s="284"/>
      <c r="K174" s="283"/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0</v>
      </c>
      <c r="N174" s="191"/>
      <c r="O174" s="247"/>
    </row>
    <row r="175">
      <c r="A175" s="12" t="s">
        <v>201</v>
      </c>
      <c r="B175" s="12" t="s">
        <v>202</v>
      </c>
      <c r="C175" s="267"/>
      <c r="D175" s="191"/>
      <c r="E175" s="247"/>
      <c r="F175" s="235" t="s">
        <v>202</v>
      </c>
      <c r="G175" s="235"/>
      <c r="H175" s="268"/>
      <c r="I175" s="281"/>
      <c r="J175" s="284"/>
      <c r="K175" s="283"/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67"/>
      <c r="D176" s="191"/>
      <c r="E176" s="247"/>
      <c r="F176" s="235" t="s">
        <v>202</v>
      </c>
      <c r="G176" s="235"/>
      <c r="H176" s="272"/>
      <c r="I176" s="281"/>
      <c r="J176" s="282"/>
      <c r="K176" s="283"/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0</v>
      </c>
      <c r="N176" s="191"/>
      <c r="O176" s="247"/>
    </row>
    <row r="177">
      <c r="A177" s="12" t="s">
        <v>205</v>
      </c>
      <c r="B177" s="12" t="s">
        <v>202</v>
      </c>
      <c r="C177" s="267"/>
      <c r="D177" s="191"/>
      <c r="E177" s="247"/>
      <c r="F177" s="235" t="s">
        <v>202</v>
      </c>
      <c r="G177" s="235"/>
      <c r="H177" s="268"/>
      <c r="I177" s="281"/>
      <c r="J177" s="284"/>
      <c r="K177" s="283"/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0</v>
      </c>
      <c r="N177" s="191"/>
      <c r="O177" s="247"/>
    </row>
    <row r="178">
      <c r="A178" s="12" t="s">
        <v>206</v>
      </c>
      <c r="B178" s="12" t="s">
        <v>207</v>
      </c>
      <c r="C178" s="267"/>
      <c r="D178" s="227"/>
      <c r="E178" s="247"/>
      <c r="F178" s="235" t="s">
        <v>17</v>
      </c>
      <c r="G178" s="235"/>
      <c r="H178" s="272"/>
      <c r="I178" s="281"/>
      <c r="J178" s="282"/>
      <c r="K178" s="283"/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0</v>
      </c>
      <c r="N178" s="191"/>
      <c r="O178" s="247"/>
    </row>
    <row r="179">
      <c r="A179" s="12" t="s">
        <v>209</v>
      </c>
      <c r="B179" s="12" t="s">
        <v>17</v>
      </c>
      <c r="C179" s="267"/>
      <c r="D179" s="191"/>
      <c r="E179" s="247"/>
      <c r="F179" s="235" t="s">
        <v>17</v>
      </c>
      <c r="G179" s="235"/>
      <c r="H179" s="268"/>
      <c r="I179" s="281"/>
      <c r="J179" s="284"/>
      <c r="K179" s="283"/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67"/>
      <c r="D180" s="191"/>
      <c r="E180" s="247"/>
      <c r="F180" s="235" t="s">
        <v>202</v>
      </c>
      <c r="G180" s="285"/>
      <c r="H180" s="268"/>
      <c r="I180" s="281"/>
      <c r="J180" s="282"/>
      <c r="K180" s="283"/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0</v>
      </c>
      <c r="N180" s="191"/>
      <c r="O180" s="247"/>
    </row>
    <row r="181">
      <c r="A181" s="12" t="s">
        <v>211</v>
      </c>
      <c r="B181" s="12" t="s">
        <v>202</v>
      </c>
      <c r="C181" s="267"/>
      <c r="D181" s="227"/>
      <c r="E181" s="247"/>
      <c r="F181" s="235" t="s">
        <v>202</v>
      </c>
      <c r="G181" s="235"/>
      <c r="H181" s="272"/>
      <c r="I181" s="281"/>
      <c r="J181" s="282"/>
      <c r="K181" s="283"/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67"/>
      <c r="D182" s="191"/>
      <c r="E182" s="247"/>
      <c r="F182" s="235" t="s">
        <v>202</v>
      </c>
      <c r="G182" s="235"/>
      <c r="H182" s="272"/>
      <c r="I182" s="281"/>
      <c r="J182" s="284"/>
      <c r="K182" s="283"/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</v>
      </c>
      <c r="N182" s="191"/>
      <c r="O182" s="247"/>
    </row>
    <row r="183">
      <c r="A183" s="12" t="s">
        <v>213</v>
      </c>
      <c r="B183" s="12" t="s">
        <v>35</v>
      </c>
      <c r="C183" s="267"/>
      <c r="D183" s="191"/>
      <c r="E183" s="247"/>
      <c r="F183" s="235" t="s">
        <v>35</v>
      </c>
      <c r="G183" s="235"/>
      <c r="H183" s="268"/>
      <c r="I183" s="281"/>
      <c r="J183" s="284"/>
      <c r="K183" s="283"/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67"/>
      <c r="D184" s="191"/>
      <c r="E184" s="247"/>
      <c r="F184" s="235" t="s">
        <v>35</v>
      </c>
      <c r="G184" s="235"/>
      <c r="H184" s="272"/>
      <c r="I184" s="281"/>
      <c r="J184" s="282"/>
      <c r="K184" s="283"/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</v>
      </c>
      <c r="N184" s="191"/>
      <c r="O184" s="247"/>
    </row>
    <row r="185">
      <c r="A185" s="12" t="s">
        <v>215</v>
      </c>
      <c r="B185" s="12" t="s">
        <v>35</v>
      </c>
      <c r="C185" s="267"/>
      <c r="D185" s="191"/>
      <c r="E185" s="247"/>
      <c r="F185" s="235" t="s">
        <v>35</v>
      </c>
      <c r="G185" s="235"/>
      <c r="H185" s="268"/>
      <c r="I185" s="281"/>
      <c r="J185" s="284"/>
      <c r="K185" s="283"/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</v>
      </c>
      <c r="N185" s="191"/>
      <c r="O185" s="247"/>
    </row>
    <row r="186">
      <c r="A186" s="12" t="s">
        <v>216</v>
      </c>
      <c r="B186" s="12" t="s">
        <v>17</v>
      </c>
      <c r="C186" s="267"/>
      <c r="D186" s="191"/>
      <c r="E186" s="247"/>
      <c r="F186" s="235" t="s">
        <v>17</v>
      </c>
      <c r="G186" s="235"/>
      <c r="H186" s="272"/>
      <c r="I186" s="281"/>
      <c r="J186" s="282"/>
      <c r="K186" s="283"/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</v>
      </c>
      <c r="N186" s="191"/>
      <c r="O186" s="247"/>
    </row>
    <row r="187">
      <c r="A187" s="12" t="s">
        <v>217</v>
      </c>
      <c r="B187" s="12" t="s">
        <v>35</v>
      </c>
      <c r="C187" s="267"/>
      <c r="D187" s="191"/>
      <c r="E187" s="247"/>
      <c r="F187" s="235" t="s">
        <v>35</v>
      </c>
      <c r="G187" s="235"/>
      <c r="H187" s="272"/>
      <c r="I187" s="281"/>
      <c r="J187" s="282"/>
      <c r="K187" s="283"/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</v>
      </c>
      <c r="N187" s="191"/>
      <c r="O187" s="247"/>
    </row>
    <row r="188">
      <c r="A188" s="12" t="s">
        <v>218</v>
      </c>
      <c r="B188" s="12" t="s">
        <v>17</v>
      </c>
      <c r="C188" s="267"/>
      <c r="D188" s="227"/>
      <c r="E188" s="247"/>
      <c r="F188" s="235" t="s">
        <v>17</v>
      </c>
      <c r="G188" s="235"/>
      <c r="H188" s="272"/>
      <c r="I188" s="281"/>
      <c r="J188" s="282"/>
      <c r="K188" s="283"/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0</v>
      </c>
      <c r="N188" s="191"/>
      <c r="O188" s="247"/>
    </row>
    <row r="189">
      <c r="A189" s="12" t="s">
        <v>220</v>
      </c>
      <c r="B189" s="12" t="s">
        <v>35</v>
      </c>
      <c r="C189" s="267"/>
      <c r="D189" s="191"/>
      <c r="E189" s="247"/>
      <c r="F189" s="235" t="s">
        <v>35</v>
      </c>
      <c r="G189" s="235"/>
      <c r="H189" s="272"/>
      <c r="I189" s="281"/>
      <c r="J189" s="284"/>
      <c r="K189" s="283"/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67"/>
      <c r="D190" s="227"/>
      <c r="E190" s="247"/>
      <c r="F190" s="235" t="s">
        <v>17</v>
      </c>
      <c r="G190" s="235"/>
      <c r="H190" s="272"/>
      <c r="I190" s="281"/>
      <c r="J190" s="282"/>
      <c r="K190" s="283"/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0</v>
      </c>
      <c r="N190" s="191"/>
      <c r="O190" s="247"/>
    </row>
    <row r="191">
      <c r="A191" s="12" t="s">
        <v>222</v>
      </c>
      <c r="B191" s="12" t="s">
        <v>17</v>
      </c>
      <c r="C191" s="267"/>
      <c r="D191" s="191"/>
      <c r="E191" s="247"/>
      <c r="F191" s="235" t="s">
        <v>17</v>
      </c>
      <c r="G191" s="235"/>
      <c r="H191" s="268"/>
      <c r="I191" s="281"/>
      <c r="J191" s="284"/>
      <c r="K191" s="283"/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67"/>
      <c r="D192" s="227"/>
      <c r="E192" s="247"/>
      <c r="F192" s="235" t="s">
        <v>17</v>
      </c>
      <c r="G192" s="235"/>
      <c r="H192" s="272"/>
      <c r="I192" s="281"/>
      <c r="J192" s="284"/>
      <c r="K192" s="283"/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0</v>
      </c>
      <c r="N192" s="191"/>
      <c r="O192" s="247"/>
    </row>
    <row r="193">
      <c r="A193" s="12" t="s">
        <v>224</v>
      </c>
      <c r="B193" s="12" t="s">
        <v>202</v>
      </c>
      <c r="C193" s="267"/>
      <c r="D193" s="227"/>
      <c r="E193" s="247"/>
      <c r="F193" s="235" t="s">
        <v>202</v>
      </c>
      <c r="G193" s="235"/>
      <c r="H193" s="272"/>
      <c r="I193" s="281"/>
      <c r="J193" s="282"/>
      <c r="K193" s="283"/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</v>
      </c>
      <c r="N193" s="191"/>
      <c r="O193" s="247"/>
    </row>
    <row r="194">
      <c r="A194" s="12" t="s">
        <v>225</v>
      </c>
      <c r="B194" s="12" t="s">
        <v>35</v>
      </c>
      <c r="C194" s="267"/>
      <c r="D194" s="191"/>
      <c r="E194" s="247"/>
      <c r="F194" s="235" t="s">
        <v>35</v>
      </c>
      <c r="G194" s="235"/>
      <c r="H194" s="272"/>
      <c r="I194" s="281"/>
      <c r="J194" s="282"/>
      <c r="K194" s="283"/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</v>
      </c>
      <c r="N194" s="191"/>
      <c r="O194" s="247"/>
    </row>
    <row r="195">
      <c r="A195" s="12" t="s">
        <v>227</v>
      </c>
      <c r="B195" s="12" t="s">
        <v>35</v>
      </c>
      <c r="C195" s="267"/>
      <c r="D195" s="191"/>
      <c r="E195" s="247"/>
      <c r="F195" s="235" t="s">
        <v>35</v>
      </c>
      <c r="G195" s="285"/>
      <c r="H195" s="272"/>
      <c r="I195" s="281"/>
      <c r="J195" s="282"/>
      <c r="K195" s="283"/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</v>
      </c>
      <c r="N195" s="191"/>
      <c r="O195" s="247"/>
    </row>
    <row r="196">
      <c r="A196" s="12" t="s">
        <v>228</v>
      </c>
      <c r="B196" s="12" t="s">
        <v>155</v>
      </c>
      <c r="C196" s="267"/>
      <c r="D196" s="191"/>
      <c r="E196" s="247"/>
      <c r="F196" s="235" t="s">
        <v>35</v>
      </c>
      <c r="G196" s="235"/>
      <c r="H196" s="272"/>
      <c r="I196" s="281"/>
      <c r="J196" s="284"/>
      <c r="K196" s="283"/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</v>
      </c>
      <c r="N196" s="191"/>
      <c r="O196" s="247"/>
    </row>
    <row r="197">
      <c r="A197" s="12" t="s">
        <v>229</v>
      </c>
      <c r="B197" s="12" t="s">
        <v>17</v>
      </c>
      <c r="C197" s="267"/>
      <c r="D197" s="191"/>
      <c r="E197" s="247"/>
      <c r="F197" s="235" t="s">
        <v>17</v>
      </c>
      <c r="G197" s="235"/>
      <c r="H197" s="272"/>
      <c r="I197" s="281"/>
      <c r="J197" s="282"/>
      <c r="K197" s="283"/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0</v>
      </c>
      <c r="N197" s="191"/>
      <c r="O197" s="247"/>
    </row>
    <row r="198">
      <c r="A198" s="12" t="s">
        <v>231</v>
      </c>
      <c r="B198" s="12" t="s">
        <v>35</v>
      </c>
      <c r="C198" s="267"/>
      <c r="D198" s="191"/>
      <c r="E198" s="247"/>
      <c r="F198" s="235" t="s">
        <v>35</v>
      </c>
      <c r="G198" s="235"/>
      <c r="H198" s="272"/>
      <c r="I198" s="281"/>
      <c r="J198" s="282"/>
      <c r="K198" s="283"/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</v>
      </c>
      <c r="N198" s="191"/>
      <c r="O198" s="247"/>
    </row>
    <row r="199">
      <c r="A199" s="12" t="s">
        <v>232</v>
      </c>
      <c r="B199" s="12" t="s">
        <v>202</v>
      </c>
      <c r="C199" s="267"/>
      <c r="D199" s="191"/>
      <c r="E199" s="247"/>
      <c r="F199" s="235" t="s">
        <v>202</v>
      </c>
      <c r="G199" s="285"/>
      <c r="H199" s="272"/>
      <c r="I199" s="281"/>
      <c r="J199" s="282"/>
      <c r="K199" s="283"/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</v>
      </c>
      <c r="N199" s="191"/>
      <c r="O199" s="247"/>
    </row>
    <row r="200">
      <c r="A200" s="12" t="s">
        <v>233</v>
      </c>
      <c r="B200" s="12" t="s">
        <v>17</v>
      </c>
      <c r="C200" s="267"/>
      <c r="D200" s="227"/>
      <c r="E200" s="280"/>
      <c r="F200" s="235" t="s">
        <v>234</v>
      </c>
      <c r="G200" s="285"/>
      <c r="H200" s="272"/>
      <c r="I200" s="281"/>
      <c r="J200" s="282"/>
      <c r="K200" s="283"/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0</v>
      </c>
      <c r="N200" s="191"/>
      <c r="O200" s="247"/>
    </row>
    <row r="201">
      <c r="A201" s="25" t="s">
        <v>235</v>
      </c>
      <c r="B201" s="26" t="s">
        <v>202</v>
      </c>
      <c r="C201" s="267"/>
      <c r="D201" s="227"/>
      <c r="E201" s="247"/>
      <c r="F201" s="235" t="s">
        <v>202</v>
      </c>
      <c r="G201" s="235"/>
      <c r="H201" s="272"/>
      <c r="I201" s="281"/>
      <c r="J201" s="284"/>
      <c r="K201" s="283"/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</v>
      </c>
      <c r="N201" s="191"/>
      <c r="O201" s="247"/>
    </row>
    <row r="202">
      <c r="A202" s="25" t="s">
        <v>236</v>
      </c>
      <c r="B202" s="26" t="s">
        <v>237</v>
      </c>
      <c r="C202" s="267"/>
      <c r="D202" s="191"/>
      <c r="E202" s="247"/>
      <c r="F202" s="235" t="s">
        <v>35</v>
      </c>
      <c r="G202" s="235"/>
      <c r="H202" s="272"/>
      <c r="I202" s="281"/>
      <c r="J202" s="282"/>
      <c r="K202" s="283"/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</v>
      </c>
      <c r="N202" s="191"/>
      <c r="O202" s="247"/>
    </row>
    <row r="203">
      <c r="A203" s="25" t="s">
        <v>238</v>
      </c>
      <c r="B203" s="26" t="s">
        <v>202</v>
      </c>
      <c r="C203" s="267"/>
      <c r="D203" s="227"/>
      <c r="E203" s="247"/>
      <c r="F203" s="235" t="s">
        <v>202</v>
      </c>
      <c r="G203" s="235"/>
      <c r="H203" s="268"/>
      <c r="I203" s="281"/>
      <c r="J203" s="282"/>
      <c r="K203" s="283"/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67"/>
      <c r="D204" s="191"/>
      <c r="E204" s="247"/>
      <c r="F204" s="235" t="s">
        <v>35</v>
      </c>
      <c r="G204" s="235"/>
      <c r="H204" s="268"/>
      <c r="I204" s="281"/>
      <c r="J204" s="284"/>
      <c r="K204" s="283"/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67"/>
      <c r="D205" s="227"/>
      <c r="E205" s="247"/>
      <c r="F205" s="235" t="s">
        <v>17</v>
      </c>
      <c r="G205" s="235"/>
      <c r="H205" s="272"/>
      <c r="I205" s="281"/>
      <c r="J205" s="282"/>
      <c r="K205" s="283"/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0</v>
      </c>
      <c r="N205" s="191"/>
      <c r="O205" s="247"/>
    </row>
    <row r="206">
      <c r="A206" s="12" t="s">
        <v>242</v>
      </c>
      <c r="B206" s="12" t="s">
        <v>35</v>
      </c>
      <c r="C206" s="267"/>
      <c r="D206" s="227"/>
      <c r="E206" s="247"/>
      <c r="F206" s="235" t="s">
        <v>35</v>
      </c>
      <c r="G206" s="235"/>
      <c r="H206" s="272"/>
      <c r="I206" s="281"/>
      <c r="J206" s="282"/>
      <c r="K206" s="283"/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0</v>
      </c>
      <c r="N206" s="191"/>
      <c r="O206" s="247"/>
    </row>
    <row r="207">
      <c r="A207" s="12" t="s">
        <v>243</v>
      </c>
      <c r="B207" s="12" t="s">
        <v>241</v>
      </c>
      <c r="C207" s="267"/>
      <c r="D207" s="191"/>
      <c r="E207" s="247"/>
      <c r="F207" s="235" t="s">
        <v>17</v>
      </c>
      <c r="G207" s="285"/>
      <c r="H207" s="272"/>
      <c r="I207" s="281"/>
      <c r="J207" s="282"/>
      <c r="K207" s="283"/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0</v>
      </c>
      <c r="N207" s="191"/>
      <c r="O207" s="247"/>
    </row>
    <row r="208">
      <c r="A208" s="10" t="s">
        <v>245</v>
      </c>
      <c r="B208" s="11"/>
      <c r="C208" s="267"/>
      <c r="D208" s="191"/>
      <c r="E208" s="247"/>
      <c r="F208" s="235"/>
      <c r="G208" s="235"/>
      <c r="H208" s="268"/>
      <c r="I208" s="281"/>
      <c r="J208" s="284"/>
      <c r="K208" s="283"/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67"/>
      <c r="D209" s="227"/>
      <c r="E209" s="247"/>
      <c r="F209" s="235" t="s">
        <v>155</v>
      </c>
      <c r="G209" s="285"/>
      <c r="H209" s="272"/>
      <c r="I209" s="281"/>
      <c r="J209" s="282"/>
      <c r="K209" s="283"/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</v>
      </c>
      <c r="N209" s="191"/>
      <c r="O209" s="247"/>
    </row>
    <row r="210">
      <c r="A210" s="12" t="s">
        <v>247</v>
      </c>
      <c r="B210" s="13" t="s">
        <v>59</v>
      </c>
      <c r="C210" s="271"/>
      <c r="D210" s="191"/>
      <c r="E210" s="280"/>
      <c r="F210" s="235" t="s">
        <v>35</v>
      </c>
      <c r="G210" s="235"/>
      <c r="H210" s="272"/>
      <c r="I210" s="281"/>
      <c r="J210" s="282"/>
      <c r="K210" s="283"/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</v>
      </c>
      <c r="N210" s="191"/>
      <c r="O210" s="247"/>
    </row>
    <row r="211">
      <c r="A211" s="12" t="s">
        <v>248</v>
      </c>
      <c r="B211" s="13" t="s">
        <v>59</v>
      </c>
      <c r="C211" s="271"/>
      <c r="D211" s="191"/>
      <c r="E211" s="280"/>
      <c r="F211" s="235" t="s">
        <v>35</v>
      </c>
      <c r="G211" s="235"/>
      <c r="H211" s="272"/>
      <c r="I211" s="281"/>
      <c r="J211" s="284"/>
      <c r="K211" s="283"/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247"/>
    </row>
    <row r="212">
      <c r="A212" s="12" t="s">
        <v>250</v>
      </c>
      <c r="B212" s="13" t="s">
        <v>59</v>
      </c>
      <c r="C212" s="271"/>
      <c r="D212" s="191"/>
      <c r="E212" s="280"/>
      <c r="F212" s="235" t="s">
        <v>35</v>
      </c>
      <c r="G212" s="235"/>
      <c r="H212" s="272"/>
      <c r="I212" s="281"/>
      <c r="J212" s="284"/>
      <c r="K212" s="283"/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</v>
      </c>
      <c r="N212" s="191"/>
      <c r="O212" s="247"/>
    </row>
    <row r="213">
      <c r="A213" s="12" t="s">
        <v>251</v>
      </c>
      <c r="B213" s="13" t="s">
        <v>34</v>
      </c>
      <c r="C213" s="267"/>
      <c r="D213" s="191"/>
      <c r="E213" s="247"/>
      <c r="F213" s="235" t="s">
        <v>35</v>
      </c>
      <c r="G213" s="235"/>
      <c r="H213" s="268"/>
      <c r="I213" s="281"/>
      <c r="J213" s="284"/>
      <c r="K213" s="283"/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67"/>
      <c r="D214" s="191"/>
      <c r="E214" s="247"/>
      <c r="F214" s="235"/>
      <c r="G214" s="235"/>
      <c r="H214" s="268"/>
      <c r="I214" s="281"/>
      <c r="J214" s="284"/>
      <c r="K214" s="283"/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67"/>
      <c r="D215" s="191"/>
      <c r="E215" s="247"/>
      <c r="F215" s="235" t="s">
        <v>254</v>
      </c>
      <c r="G215" s="235"/>
      <c r="H215" s="268"/>
      <c r="I215" s="281"/>
      <c r="J215" s="284"/>
      <c r="K215" s="283"/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67"/>
      <c r="D216" s="191"/>
      <c r="E216" s="247"/>
      <c r="F216" s="235" t="s">
        <v>234</v>
      </c>
      <c r="G216" s="235"/>
      <c r="H216" s="268"/>
      <c r="I216" s="281"/>
      <c r="J216" s="284"/>
      <c r="K216" s="283"/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67"/>
      <c r="D217" s="227"/>
      <c r="E217" s="247"/>
      <c r="F217" s="235" t="s">
        <v>17</v>
      </c>
      <c r="G217" s="235"/>
      <c r="H217" s="272"/>
      <c r="I217" s="281"/>
      <c r="J217" s="282"/>
      <c r="K217" s="283"/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0</v>
      </c>
      <c r="N217" s="191"/>
      <c r="O217" s="247"/>
    </row>
    <row r="218">
      <c r="A218" s="12" t="s">
        <v>260</v>
      </c>
      <c r="B218" s="12" t="s">
        <v>261</v>
      </c>
      <c r="C218" s="267"/>
      <c r="D218" s="191"/>
      <c r="E218" s="247"/>
      <c r="F218" s="235" t="s">
        <v>35</v>
      </c>
      <c r="G218" s="235"/>
      <c r="H218" s="272"/>
      <c r="I218" s="281"/>
      <c r="J218" s="282"/>
      <c r="K218" s="283"/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</v>
      </c>
      <c r="N218" s="191"/>
      <c r="O218" s="247"/>
    </row>
    <row r="219">
      <c r="A219" s="12" t="s">
        <v>263</v>
      </c>
      <c r="B219" s="12" t="s">
        <v>17</v>
      </c>
      <c r="C219" s="267"/>
      <c r="D219" s="227"/>
      <c r="E219" s="247"/>
      <c r="F219" s="235" t="s">
        <v>17</v>
      </c>
      <c r="G219" s="235"/>
      <c r="H219" s="272"/>
      <c r="I219" s="281"/>
      <c r="J219" s="282"/>
      <c r="K219" s="283"/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0</v>
      </c>
      <c r="N219" s="191"/>
      <c r="O219" s="247"/>
    </row>
    <row r="220">
      <c r="A220" s="12" t="s">
        <v>264</v>
      </c>
      <c r="B220" s="12" t="s">
        <v>261</v>
      </c>
      <c r="C220" s="267"/>
      <c r="D220" s="191"/>
      <c r="E220" s="247"/>
      <c r="F220" s="235" t="s">
        <v>35</v>
      </c>
      <c r="G220" s="235"/>
      <c r="H220" s="272"/>
      <c r="I220" s="281"/>
      <c r="J220" s="284"/>
      <c r="K220" s="283"/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</v>
      </c>
      <c r="N220" s="191"/>
      <c r="O220" s="247"/>
    </row>
    <row r="221">
      <c r="A221" s="12" t="s">
        <v>265</v>
      </c>
      <c r="B221" s="12" t="s">
        <v>40</v>
      </c>
      <c r="C221" s="271"/>
      <c r="D221" s="191"/>
      <c r="E221" s="247"/>
      <c r="F221" s="235" t="s">
        <v>17</v>
      </c>
      <c r="G221" s="235"/>
      <c r="H221" s="272"/>
      <c r="I221" s="281"/>
      <c r="J221" s="282"/>
      <c r="K221" s="283"/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0</v>
      </c>
      <c r="N221" s="191"/>
      <c r="O221" s="247"/>
    </row>
    <row r="222">
      <c r="A222" s="12" t="s">
        <v>266</v>
      </c>
      <c r="B222" s="12" t="s">
        <v>267</v>
      </c>
      <c r="C222" s="271"/>
      <c r="D222" s="191"/>
      <c r="E222" s="247"/>
      <c r="F222" s="235" t="s">
        <v>17</v>
      </c>
      <c r="G222" s="235"/>
      <c r="H222" s="272"/>
      <c r="I222" s="281"/>
      <c r="J222" s="282"/>
      <c r="K222" s="283"/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0</v>
      </c>
      <c r="N222" s="191"/>
      <c r="O222" s="247"/>
    </row>
    <row r="223">
      <c r="A223" s="12" t="s">
        <v>268</v>
      </c>
      <c r="B223" s="12" t="s">
        <v>40</v>
      </c>
      <c r="C223" s="267"/>
      <c r="D223" s="191"/>
      <c r="E223" s="247"/>
      <c r="F223" s="235" t="s">
        <v>17</v>
      </c>
      <c r="G223" s="235"/>
      <c r="H223" s="272"/>
      <c r="I223" s="281"/>
      <c r="J223" s="284"/>
      <c r="K223" s="283"/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0</v>
      </c>
      <c r="N223" s="191"/>
      <c r="O223" s="247"/>
    </row>
    <row r="224">
      <c r="A224" s="12" t="s">
        <v>269</v>
      </c>
      <c r="B224" s="294" t="s">
        <v>40</v>
      </c>
      <c r="C224" s="227"/>
      <c r="D224" s="191"/>
      <c r="E224" s="191"/>
      <c r="F224" s="191" t="s">
        <v>17</v>
      </c>
      <c r="G224" s="191"/>
      <c r="H224" s="227"/>
      <c r="I224" s="281"/>
      <c r="J224" s="227"/>
      <c r="K224" s="283"/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0</v>
      </c>
      <c r="N224" s="191"/>
      <c r="O224" s="247"/>
    </row>
    <row r="225">
      <c r="A225" s="12" t="s">
        <v>270</v>
      </c>
      <c r="B225" s="294" t="s">
        <v>40</v>
      </c>
      <c r="C225" s="227"/>
      <c r="D225" s="191"/>
      <c r="E225" s="191"/>
      <c r="F225" s="191" t="s">
        <v>17</v>
      </c>
      <c r="G225" s="191"/>
      <c r="H225" s="227"/>
      <c r="I225" s="281"/>
      <c r="J225" s="227"/>
      <c r="K225" s="283"/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0</v>
      </c>
      <c r="N225" s="191"/>
      <c r="O225" s="247"/>
    </row>
    <row r="226">
      <c r="A226" s="12" t="s">
        <v>271</v>
      </c>
      <c r="B226" s="294" t="s">
        <v>40</v>
      </c>
      <c r="C226" s="227"/>
      <c r="D226" s="227"/>
      <c r="E226" s="191"/>
      <c r="F226" s="191" t="s">
        <v>17</v>
      </c>
      <c r="G226" s="191"/>
      <c r="H226" s="227"/>
      <c r="I226" s="281"/>
      <c r="J226" s="227"/>
      <c r="K226" s="283"/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0</v>
      </c>
      <c r="N226" s="191"/>
      <c r="O226" s="247"/>
    </row>
    <row r="227">
      <c r="A227" s="12" t="s">
        <v>272</v>
      </c>
      <c r="B227" s="294" t="s">
        <v>40</v>
      </c>
      <c r="C227" s="296"/>
      <c r="D227" s="297"/>
      <c r="E227" s="296"/>
      <c r="F227" s="296" t="s">
        <v>17</v>
      </c>
      <c r="G227" s="296"/>
      <c r="H227" s="297"/>
      <c r="I227" s="281"/>
      <c r="J227" s="297"/>
      <c r="K227" s="283"/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0</v>
      </c>
      <c r="N227" s="296"/>
      <c r="O227" s="299"/>
    </row>
    <row r="228">
      <c r="A228" s="23"/>
      <c r="B228" s="23"/>
      <c r="C228" s="296"/>
      <c r="D228" s="297"/>
      <c r="E228" s="296"/>
      <c r="F228" s="11"/>
      <c r="G228" s="296"/>
      <c r="H228" s="297"/>
      <c r="I228" s="281"/>
      <c r="J228" s="297"/>
      <c r="K228" s="283"/>
      <c r="L228" s="11"/>
      <c r="M228" s="298"/>
      <c r="N228" s="296"/>
      <c r="O228" s="299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11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11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11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11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11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11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11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11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11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11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11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11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11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11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11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11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11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11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11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11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11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11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11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11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11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11"/>
      <c r="B292" s="235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11"/>
      <c r="B293" s="235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11"/>
      <c r="B294" s="235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11"/>
      <c r="B295" s="235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11"/>
      <c r="B296" s="235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11"/>
      <c r="B297" s="235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11"/>
      <c r="B298" s="235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11"/>
      <c r="B299" s="235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11"/>
      <c r="B300" s="235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11"/>
      <c r="B301" s="235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11"/>
      <c r="B302" s="235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11"/>
      <c r="B303" s="235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11"/>
      <c r="B304" s="235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11"/>
      <c r="B305" s="235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11"/>
      <c r="B306" s="235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11"/>
      <c r="B307" s="235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11"/>
      <c r="B308" s="235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11"/>
      <c r="B309" s="235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11"/>
      <c r="B310" s="235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11"/>
      <c r="B311" s="235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11"/>
      <c r="B312" s="235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11"/>
      <c r="B313" s="235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11"/>
      <c r="B314" s="235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11"/>
      <c r="B315" s="235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11"/>
      <c r="B316" s="235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11"/>
      <c r="B317" s="235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11"/>
      <c r="B318" s="235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11"/>
      <c r="B319" s="235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11"/>
      <c r="B320" s="235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11"/>
      <c r="B321" s="235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11"/>
      <c r="B322" s="235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11"/>
      <c r="B323" s="235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11"/>
      <c r="B324" s="235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11"/>
      <c r="B325" s="235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11"/>
      <c r="B326" s="235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11"/>
      <c r="B327" s="235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11"/>
      <c r="B328" s="235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11"/>
      <c r="B329" s="235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11"/>
      <c r="B330" s="235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11"/>
      <c r="B331" s="235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11"/>
      <c r="B332" s="235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11"/>
      <c r="B333" s="235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11"/>
      <c r="B334" s="235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11"/>
      <c r="B335" s="235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11"/>
      <c r="B336" s="235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A337" s="300"/>
    </row>
    <row r="338">
      <c r="A338" s="300"/>
    </row>
    <row r="339">
      <c r="A339" s="300"/>
    </row>
    <row r="340">
      <c r="A340" s="300"/>
    </row>
    <row r="341">
      <c r="A341" s="300"/>
    </row>
    <row r="342">
      <c r="A342" s="300"/>
    </row>
    <row r="343">
      <c r="A343" s="300"/>
    </row>
    <row r="344">
      <c r="A344" s="300"/>
    </row>
    <row r="345">
      <c r="A345" s="300"/>
    </row>
    <row r="346">
      <c r="A346" s="300"/>
    </row>
    <row r="347">
      <c r="A347" s="300"/>
    </row>
    <row r="348">
      <c r="A348" s="300"/>
    </row>
    <row r="349">
      <c r="A349" s="300"/>
    </row>
    <row r="350">
      <c r="A350" s="300"/>
    </row>
    <row r="351">
      <c r="A351" s="300"/>
    </row>
    <row r="352">
      <c r="A352" s="300"/>
    </row>
    <row r="353">
      <c r="A353" s="300"/>
    </row>
    <row r="354">
      <c r="A354" s="300"/>
    </row>
    <row r="355">
      <c r="A355" s="300"/>
    </row>
    <row r="356">
      <c r="A356" s="300"/>
    </row>
    <row r="357">
      <c r="A357" s="300"/>
    </row>
    <row r="358">
      <c r="A358" s="300"/>
    </row>
    <row r="359">
      <c r="A359" s="300"/>
    </row>
    <row r="360">
      <c r="A360" s="300"/>
    </row>
    <row r="361">
      <c r="A361" s="300"/>
    </row>
    <row r="362">
      <c r="A362" s="300"/>
    </row>
    <row r="363">
      <c r="A363" s="300"/>
    </row>
    <row r="364">
      <c r="A364" s="300"/>
    </row>
    <row r="365">
      <c r="A365" s="300"/>
    </row>
    <row r="366">
      <c r="A366" s="300"/>
    </row>
    <row r="367">
      <c r="A367" s="300"/>
    </row>
    <row r="368">
      <c r="A368" s="300"/>
    </row>
    <row r="369">
      <c r="A369" s="300"/>
    </row>
    <row r="370">
      <c r="A370" s="300"/>
    </row>
    <row r="371">
      <c r="A371" s="300"/>
    </row>
    <row r="372">
      <c r="A372" s="300"/>
    </row>
    <row r="373">
      <c r="A373" s="300"/>
    </row>
    <row r="374">
      <c r="A374" s="300"/>
    </row>
    <row r="375">
      <c r="A375" s="300"/>
    </row>
    <row r="376">
      <c r="A376" s="300"/>
    </row>
    <row r="377">
      <c r="A377" s="300"/>
    </row>
    <row r="378">
      <c r="A378" s="300"/>
    </row>
    <row r="379">
      <c r="A379" s="300"/>
    </row>
    <row r="380">
      <c r="A380" s="300"/>
    </row>
    <row r="381">
      <c r="A381" s="300"/>
    </row>
    <row r="382">
      <c r="A382" s="300"/>
    </row>
    <row r="383">
      <c r="A383" s="300"/>
    </row>
    <row r="384">
      <c r="A384" s="300"/>
    </row>
    <row r="385">
      <c r="A385" s="300"/>
    </row>
    <row r="386">
      <c r="A386" s="300"/>
    </row>
    <row r="387">
      <c r="A387" s="300"/>
    </row>
    <row r="388">
      <c r="A388" s="300"/>
    </row>
    <row r="389">
      <c r="A389" s="300"/>
    </row>
    <row r="390">
      <c r="A390" s="300"/>
    </row>
    <row r="391">
      <c r="A391" s="300"/>
    </row>
    <row r="392">
      <c r="A392" s="300"/>
    </row>
    <row r="393">
      <c r="A393" s="300"/>
    </row>
    <row r="394">
      <c r="A394" s="300"/>
    </row>
    <row r="395">
      <c r="A395" s="300"/>
    </row>
    <row r="396">
      <c r="A396" s="300"/>
    </row>
    <row r="397">
      <c r="A397" s="300"/>
    </row>
    <row r="398">
      <c r="A398" s="300"/>
    </row>
    <row r="399">
      <c r="A399" s="300"/>
    </row>
    <row r="400">
      <c r="A400" s="300"/>
    </row>
    <row r="401">
      <c r="A401" s="300"/>
    </row>
    <row r="402">
      <c r="A402" s="300"/>
    </row>
    <row r="403">
      <c r="A403" s="300"/>
    </row>
    <row r="404">
      <c r="A404" s="300"/>
    </row>
    <row r="405">
      <c r="A405" s="300"/>
    </row>
    <row r="406">
      <c r="A406" s="300"/>
    </row>
    <row r="407">
      <c r="A407" s="300"/>
    </row>
    <row r="408">
      <c r="A408" s="300"/>
    </row>
    <row r="409">
      <c r="A409" s="300"/>
    </row>
    <row r="410">
      <c r="A410" s="300"/>
    </row>
    <row r="411">
      <c r="A411" s="300"/>
    </row>
    <row r="412">
      <c r="A412" s="300"/>
    </row>
    <row r="413">
      <c r="A413" s="300"/>
    </row>
    <row r="414">
      <c r="A414" s="300"/>
    </row>
    <row r="415">
      <c r="A415" s="300"/>
    </row>
    <row r="416">
      <c r="A416" s="300"/>
    </row>
    <row r="417">
      <c r="A417" s="300"/>
    </row>
    <row r="418">
      <c r="A418" s="300"/>
    </row>
    <row r="419">
      <c r="A419" s="300"/>
    </row>
    <row r="420">
      <c r="A420" s="300"/>
    </row>
    <row r="421">
      <c r="A421" s="300"/>
    </row>
    <row r="422">
      <c r="A422" s="300"/>
    </row>
    <row r="423">
      <c r="A423" s="300"/>
    </row>
    <row r="424">
      <c r="A424" s="300"/>
    </row>
    <row r="425">
      <c r="A425" s="300"/>
    </row>
    <row r="426">
      <c r="A426" s="300"/>
    </row>
    <row r="427">
      <c r="A427" s="300"/>
    </row>
    <row r="428">
      <c r="A428" s="300"/>
    </row>
    <row r="429">
      <c r="A429" s="300"/>
    </row>
    <row r="430">
      <c r="A430" s="300"/>
    </row>
    <row r="431">
      <c r="A431" s="300"/>
    </row>
    <row r="432">
      <c r="A432" s="300"/>
    </row>
    <row r="433">
      <c r="A433" s="300"/>
    </row>
    <row r="434">
      <c r="A434" s="300"/>
    </row>
    <row r="435">
      <c r="A435" s="300"/>
    </row>
    <row r="436">
      <c r="A436" s="300"/>
    </row>
    <row r="437">
      <c r="A437" s="300"/>
    </row>
    <row r="438">
      <c r="A438" s="300"/>
    </row>
    <row r="439">
      <c r="A439" s="300"/>
    </row>
    <row r="440">
      <c r="A440" s="300"/>
    </row>
    <row r="441">
      <c r="A441" s="300"/>
    </row>
    <row r="442">
      <c r="A442" s="300"/>
    </row>
    <row r="443">
      <c r="A443" s="300"/>
    </row>
    <row r="444">
      <c r="A444" s="300"/>
    </row>
    <row r="445">
      <c r="A445" s="300"/>
    </row>
    <row r="446">
      <c r="A446" s="300"/>
    </row>
    <row r="447">
      <c r="A447" s="300"/>
    </row>
    <row r="448">
      <c r="A448" s="300"/>
    </row>
    <row r="449">
      <c r="A449" s="300"/>
    </row>
    <row r="450">
      <c r="A450" s="300"/>
    </row>
    <row r="451">
      <c r="A451" s="300"/>
    </row>
    <row r="452">
      <c r="A452" s="300"/>
    </row>
    <row r="453">
      <c r="A453" s="300"/>
    </row>
    <row r="454">
      <c r="A454" s="300"/>
    </row>
    <row r="455">
      <c r="A455" s="300"/>
    </row>
    <row r="456">
      <c r="A456" s="300"/>
    </row>
    <row r="457">
      <c r="A457" s="300"/>
    </row>
    <row r="458">
      <c r="A458" s="300"/>
    </row>
    <row r="459">
      <c r="A459" s="300"/>
    </row>
    <row r="460">
      <c r="A460" s="300"/>
    </row>
    <row r="461">
      <c r="A461" s="300"/>
    </row>
    <row r="462">
      <c r="A462" s="300"/>
    </row>
    <row r="463">
      <c r="A463" s="300"/>
    </row>
    <row r="464">
      <c r="A464" s="300"/>
    </row>
    <row r="465">
      <c r="A465" s="300"/>
    </row>
    <row r="466">
      <c r="A466" s="300"/>
    </row>
    <row r="467">
      <c r="A467" s="300"/>
    </row>
    <row r="468">
      <c r="A468" s="300"/>
    </row>
    <row r="469">
      <c r="A469" s="300"/>
    </row>
    <row r="470">
      <c r="A470" s="300"/>
    </row>
    <row r="471">
      <c r="A471" s="300"/>
    </row>
    <row r="472">
      <c r="A472" s="300"/>
    </row>
    <row r="473">
      <c r="A473" s="300"/>
    </row>
    <row r="474">
      <c r="A474" s="300"/>
    </row>
    <row r="475">
      <c r="A475" s="300"/>
    </row>
    <row r="476">
      <c r="A476" s="300"/>
    </row>
    <row r="477">
      <c r="A477" s="300"/>
    </row>
    <row r="478">
      <c r="A478" s="300"/>
    </row>
    <row r="479">
      <c r="A479" s="300"/>
    </row>
    <row r="480">
      <c r="A480" s="300"/>
    </row>
    <row r="481">
      <c r="A481" s="300"/>
    </row>
    <row r="482">
      <c r="A482" s="300"/>
    </row>
    <row r="483">
      <c r="A483" s="300"/>
    </row>
    <row r="484">
      <c r="A484" s="300"/>
    </row>
    <row r="485">
      <c r="A485" s="300"/>
    </row>
    <row r="486">
      <c r="A486" s="300"/>
    </row>
    <row r="487">
      <c r="A487" s="300"/>
    </row>
    <row r="488">
      <c r="A488" s="300"/>
    </row>
    <row r="489">
      <c r="A489" s="300"/>
    </row>
    <row r="490">
      <c r="A490" s="300"/>
    </row>
    <row r="491">
      <c r="A491" s="300"/>
    </row>
    <row r="492">
      <c r="A492" s="300"/>
    </row>
    <row r="493">
      <c r="A493" s="300"/>
    </row>
    <row r="494">
      <c r="A494" s="300"/>
    </row>
    <row r="495">
      <c r="A495" s="300"/>
    </row>
    <row r="496">
      <c r="A496" s="300"/>
    </row>
    <row r="497">
      <c r="A497" s="300"/>
    </row>
    <row r="498">
      <c r="A498" s="300"/>
    </row>
    <row r="499">
      <c r="A499" s="300"/>
    </row>
    <row r="500">
      <c r="A500" s="300"/>
    </row>
    <row r="501">
      <c r="A501" s="300"/>
    </row>
    <row r="502">
      <c r="A502" s="300"/>
    </row>
    <row r="503">
      <c r="A503" s="300"/>
    </row>
    <row r="504">
      <c r="A504" s="300"/>
    </row>
    <row r="505">
      <c r="A505" s="300"/>
    </row>
    <row r="506">
      <c r="A506" s="300"/>
    </row>
    <row r="507">
      <c r="A507" s="300"/>
    </row>
    <row r="508">
      <c r="A508" s="300"/>
    </row>
    <row r="509">
      <c r="A509" s="300"/>
    </row>
    <row r="510">
      <c r="A510" s="300"/>
    </row>
    <row r="511">
      <c r="A511" s="300"/>
    </row>
    <row r="512">
      <c r="A512" s="300"/>
    </row>
    <row r="513">
      <c r="A513" s="300"/>
    </row>
    <row r="514">
      <c r="A514" s="300"/>
    </row>
    <row r="515">
      <c r="A515" s="300"/>
    </row>
    <row r="516">
      <c r="A516" s="300"/>
    </row>
    <row r="517">
      <c r="A517" s="300"/>
    </row>
    <row r="518">
      <c r="A518" s="300"/>
    </row>
    <row r="519">
      <c r="A519" s="300"/>
    </row>
    <row r="520">
      <c r="A520" s="300"/>
    </row>
    <row r="521">
      <c r="A521" s="300"/>
    </row>
    <row r="522">
      <c r="A522" s="300"/>
    </row>
    <row r="523">
      <c r="A523" s="300"/>
    </row>
    <row r="524">
      <c r="A524" s="300"/>
    </row>
    <row r="525">
      <c r="A525" s="300"/>
    </row>
    <row r="526">
      <c r="A526" s="300"/>
    </row>
    <row r="527">
      <c r="A527" s="300"/>
    </row>
    <row r="528">
      <c r="A528" s="300"/>
    </row>
    <row r="529">
      <c r="A529" s="300"/>
    </row>
    <row r="530">
      <c r="A530" s="300"/>
    </row>
    <row r="531">
      <c r="A531" s="300"/>
    </row>
    <row r="532">
      <c r="A532" s="300"/>
    </row>
    <row r="533">
      <c r="A533" s="300"/>
    </row>
    <row r="534">
      <c r="A534" s="300"/>
    </row>
    <row r="535">
      <c r="A535" s="300"/>
    </row>
    <row r="536">
      <c r="A536" s="300"/>
    </row>
    <row r="537">
      <c r="A537" s="300"/>
    </row>
    <row r="538">
      <c r="A538" s="300"/>
    </row>
    <row r="539">
      <c r="A539" s="300"/>
    </row>
    <row r="540">
      <c r="A540" s="300"/>
    </row>
    <row r="541">
      <c r="A541" s="300"/>
    </row>
    <row r="542">
      <c r="A542" s="300"/>
    </row>
    <row r="543">
      <c r="A543" s="300"/>
    </row>
    <row r="544">
      <c r="A544" s="300"/>
    </row>
    <row r="545">
      <c r="A545" s="300"/>
    </row>
    <row r="546">
      <c r="A546" s="300"/>
    </row>
    <row r="547">
      <c r="A547" s="300"/>
    </row>
    <row r="548">
      <c r="A548" s="300"/>
    </row>
    <row r="549">
      <c r="A549" s="300"/>
    </row>
    <row r="550">
      <c r="A550" s="300"/>
    </row>
    <row r="551">
      <c r="A551" s="300"/>
    </row>
    <row r="552">
      <c r="A552" s="300"/>
    </row>
    <row r="553">
      <c r="A553" s="300"/>
    </row>
    <row r="554">
      <c r="A554" s="300"/>
    </row>
    <row r="555">
      <c r="A555" s="300"/>
    </row>
    <row r="556">
      <c r="A556" s="300"/>
    </row>
    <row r="557">
      <c r="A557" s="300"/>
    </row>
    <row r="558">
      <c r="A558" s="300"/>
    </row>
    <row r="559">
      <c r="A559" s="300"/>
    </row>
    <row r="560">
      <c r="A560" s="300"/>
    </row>
    <row r="561">
      <c r="A561" s="300"/>
    </row>
    <row r="562">
      <c r="A562" s="300"/>
    </row>
    <row r="563">
      <c r="A563" s="300"/>
    </row>
    <row r="564">
      <c r="A564" s="300"/>
    </row>
    <row r="565">
      <c r="A565" s="300"/>
    </row>
    <row r="566">
      <c r="A566" s="300"/>
    </row>
    <row r="567">
      <c r="A567" s="300"/>
    </row>
    <row r="568">
      <c r="A568" s="300"/>
    </row>
    <row r="569">
      <c r="A569" s="300"/>
    </row>
    <row r="570">
      <c r="A570" s="300"/>
    </row>
    <row r="571">
      <c r="A571" s="300"/>
    </row>
    <row r="572">
      <c r="A572" s="300"/>
    </row>
    <row r="573">
      <c r="A573" s="300"/>
    </row>
    <row r="574">
      <c r="A574" s="300"/>
    </row>
    <row r="575">
      <c r="A575" s="300"/>
    </row>
    <row r="576">
      <c r="A576" s="300"/>
    </row>
    <row r="577">
      <c r="A577" s="300"/>
    </row>
    <row r="578">
      <c r="A578" s="300"/>
    </row>
    <row r="579">
      <c r="A579" s="300"/>
    </row>
    <row r="580">
      <c r="A580" s="300"/>
    </row>
    <row r="581">
      <c r="A581" s="300"/>
    </row>
    <row r="582">
      <c r="A582" s="300"/>
    </row>
    <row r="583">
      <c r="A583" s="300"/>
    </row>
    <row r="584">
      <c r="A584" s="300"/>
    </row>
    <row r="585">
      <c r="A585" s="300"/>
    </row>
    <row r="586">
      <c r="A586" s="300"/>
    </row>
    <row r="587">
      <c r="A587" s="300"/>
    </row>
    <row r="588">
      <c r="A588" s="300"/>
    </row>
    <row r="589">
      <c r="A589" s="300"/>
    </row>
    <row r="590">
      <c r="A590" s="300"/>
    </row>
    <row r="591">
      <c r="A591" s="300"/>
    </row>
    <row r="592">
      <c r="A592" s="300"/>
    </row>
    <row r="593">
      <c r="A593" s="300"/>
    </row>
    <row r="594">
      <c r="A594" s="300"/>
    </row>
    <row r="595">
      <c r="A595" s="300"/>
    </row>
    <row r="596">
      <c r="A596" s="300"/>
    </row>
    <row r="597">
      <c r="A597" s="300"/>
    </row>
    <row r="598">
      <c r="A598" s="300"/>
    </row>
    <row r="599">
      <c r="A599" s="300"/>
    </row>
    <row r="600">
      <c r="A600" s="300"/>
    </row>
    <row r="601">
      <c r="A601" s="300"/>
    </row>
    <row r="602">
      <c r="A602" s="300"/>
    </row>
    <row r="603">
      <c r="A603" s="300"/>
    </row>
    <row r="604">
      <c r="A604" s="300"/>
    </row>
    <row r="605">
      <c r="A605" s="300"/>
    </row>
    <row r="606">
      <c r="A606" s="300"/>
    </row>
    <row r="607">
      <c r="A607" s="300"/>
    </row>
    <row r="608">
      <c r="A608" s="300"/>
    </row>
    <row r="609">
      <c r="A609" s="300"/>
    </row>
    <row r="610">
      <c r="A610" s="300"/>
    </row>
    <row r="611">
      <c r="A611" s="300"/>
    </row>
    <row r="612">
      <c r="A612" s="300"/>
    </row>
    <row r="613">
      <c r="A613" s="300"/>
    </row>
    <row r="614">
      <c r="A614" s="300"/>
    </row>
    <row r="615">
      <c r="A615" s="300"/>
    </row>
    <row r="616">
      <c r="A616" s="300"/>
    </row>
    <row r="617">
      <c r="A617" s="300"/>
    </row>
    <row r="618">
      <c r="A618" s="300"/>
    </row>
    <row r="619">
      <c r="A619" s="300"/>
    </row>
    <row r="620">
      <c r="A620" s="300"/>
    </row>
    <row r="621">
      <c r="A621" s="300"/>
    </row>
    <row r="622">
      <c r="A622" s="300"/>
    </row>
    <row r="623">
      <c r="A623" s="300"/>
    </row>
    <row r="624">
      <c r="A624" s="300"/>
    </row>
    <row r="625">
      <c r="A625" s="300"/>
    </row>
    <row r="626">
      <c r="A626" s="300"/>
    </row>
    <row r="627">
      <c r="A627" s="300"/>
    </row>
    <row r="628">
      <c r="A628" s="300"/>
    </row>
    <row r="629">
      <c r="A629" s="300"/>
    </row>
    <row r="630">
      <c r="A630" s="300"/>
    </row>
    <row r="631">
      <c r="A631" s="300"/>
    </row>
    <row r="632">
      <c r="A632" s="300"/>
    </row>
    <row r="633">
      <c r="A633" s="300"/>
    </row>
    <row r="634">
      <c r="A634" s="300"/>
    </row>
    <row r="635">
      <c r="A635" s="300"/>
    </row>
    <row r="636">
      <c r="A636" s="300"/>
    </row>
    <row r="637">
      <c r="A637" s="300"/>
    </row>
    <row r="638">
      <c r="A638" s="300"/>
    </row>
    <row r="639">
      <c r="A639" s="300"/>
    </row>
    <row r="640">
      <c r="A640" s="300"/>
    </row>
    <row r="641">
      <c r="A641" s="300"/>
    </row>
    <row r="642">
      <c r="A642" s="300"/>
    </row>
    <row r="643">
      <c r="A643" s="300"/>
    </row>
    <row r="644">
      <c r="A644" s="300"/>
    </row>
    <row r="645">
      <c r="A645" s="300"/>
    </row>
    <row r="646">
      <c r="A646" s="300"/>
    </row>
    <row r="647">
      <c r="A647" s="300"/>
    </row>
    <row r="648">
      <c r="A648" s="300"/>
    </row>
    <row r="649">
      <c r="A649" s="300"/>
    </row>
    <row r="650">
      <c r="A650" s="300"/>
    </row>
    <row r="651">
      <c r="A651" s="300"/>
    </row>
    <row r="652">
      <c r="A652" s="300"/>
    </row>
    <row r="653">
      <c r="A653" s="300"/>
    </row>
    <row r="654">
      <c r="A654" s="300"/>
    </row>
    <row r="655">
      <c r="A655" s="300"/>
    </row>
    <row r="656">
      <c r="A656" s="300"/>
    </row>
    <row r="657">
      <c r="A657" s="300"/>
    </row>
    <row r="658">
      <c r="A658" s="300"/>
    </row>
    <row r="659">
      <c r="A659" s="300"/>
    </row>
    <row r="660">
      <c r="A660" s="300"/>
    </row>
    <row r="661">
      <c r="A661" s="300"/>
    </row>
    <row r="662">
      <c r="A662" s="300"/>
    </row>
    <row r="663">
      <c r="A663" s="300"/>
    </row>
    <row r="664">
      <c r="A664" s="300"/>
    </row>
    <row r="665">
      <c r="A665" s="300"/>
    </row>
    <row r="666">
      <c r="A666" s="300"/>
    </row>
    <row r="667">
      <c r="A667" s="300"/>
    </row>
    <row r="668">
      <c r="A668" s="300"/>
    </row>
    <row r="669">
      <c r="A669" s="300"/>
    </row>
    <row r="670">
      <c r="A670" s="300"/>
    </row>
    <row r="671">
      <c r="A671" s="300"/>
    </row>
    <row r="672">
      <c r="A672" s="300"/>
    </row>
    <row r="673">
      <c r="A673" s="300"/>
    </row>
    <row r="674">
      <c r="A674" s="300"/>
    </row>
    <row r="675">
      <c r="A675" s="300"/>
    </row>
    <row r="676">
      <c r="A676" s="300"/>
    </row>
    <row r="677">
      <c r="A677" s="300"/>
    </row>
    <row r="678">
      <c r="A678" s="300"/>
    </row>
    <row r="679">
      <c r="A679" s="300"/>
    </row>
    <row r="680">
      <c r="A680" s="300"/>
    </row>
    <row r="681">
      <c r="A681" s="300"/>
    </row>
    <row r="682">
      <c r="A682" s="300"/>
    </row>
    <row r="683">
      <c r="A683" s="300"/>
    </row>
    <row r="684">
      <c r="A684" s="300"/>
    </row>
    <row r="685">
      <c r="A685" s="300"/>
    </row>
    <row r="686">
      <c r="A686" s="300"/>
    </row>
    <row r="687">
      <c r="A687" s="300"/>
    </row>
    <row r="688">
      <c r="A688" s="300"/>
    </row>
    <row r="689">
      <c r="A689" s="300"/>
    </row>
    <row r="690">
      <c r="A690" s="300"/>
    </row>
    <row r="691">
      <c r="A691" s="300"/>
    </row>
    <row r="692">
      <c r="A692" s="300"/>
    </row>
    <row r="693">
      <c r="A693" s="300"/>
    </row>
    <row r="694">
      <c r="A694" s="300"/>
    </row>
    <row r="695">
      <c r="A695" s="300"/>
    </row>
    <row r="696">
      <c r="A696" s="300"/>
    </row>
    <row r="697">
      <c r="A697" s="300"/>
    </row>
    <row r="698">
      <c r="A698" s="300"/>
    </row>
    <row r="699">
      <c r="A699" s="300"/>
    </row>
    <row r="700">
      <c r="A700" s="300"/>
    </row>
    <row r="701">
      <c r="A701" s="300"/>
    </row>
    <row r="702">
      <c r="A702" s="300"/>
    </row>
    <row r="703">
      <c r="A703" s="300"/>
    </row>
    <row r="704">
      <c r="A704" s="300"/>
    </row>
    <row r="705">
      <c r="A705" s="300"/>
    </row>
    <row r="706">
      <c r="A706" s="300"/>
    </row>
    <row r="707">
      <c r="A707" s="300"/>
    </row>
    <row r="708">
      <c r="A708" s="300"/>
    </row>
    <row r="709">
      <c r="A709" s="300"/>
    </row>
    <row r="710">
      <c r="A710" s="300"/>
    </row>
    <row r="711">
      <c r="A711" s="300"/>
    </row>
    <row r="712">
      <c r="A712" s="300"/>
    </row>
    <row r="713">
      <c r="A713" s="300"/>
    </row>
    <row r="714">
      <c r="A714" s="300"/>
    </row>
    <row r="715">
      <c r="A715" s="300"/>
    </row>
    <row r="716">
      <c r="A716" s="300"/>
    </row>
    <row r="717">
      <c r="A717" s="300"/>
    </row>
    <row r="718">
      <c r="A718" s="300"/>
    </row>
    <row r="719">
      <c r="A719" s="300"/>
    </row>
    <row r="720">
      <c r="A720" s="300"/>
    </row>
    <row r="721">
      <c r="A721" s="300"/>
    </row>
    <row r="722">
      <c r="A722" s="300"/>
    </row>
    <row r="723">
      <c r="A723" s="300"/>
    </row>
    <row r="724">
      <c r="A724" s="300"/>
    </row>
    <row r="725">
      <c r="A725" s="300"/>
    </row>
    <row r="726">
      <c r="A726" s="300"/>
    </row>
    <row r="727">
      <c r="A727" s="300"/>
    </row>
    <row r="728">
      <c r="A728" s="300"/>
    </row>
    <row r="729">
      <c r="A729" s="300"/>
    </row>
    <row r="730">
      <c r="A730" s="300"/>
    </row>
    <row r="731">
      <c r="A731" s="300"/>
    </row>
    <row r="732">
      <c r="A732" s="300"/>
    </row>
    <row r="733">
      <c r="A733" s="300"/>
    </row>
    <row r="734">
      <c r="A734" s="300"/>
    </row>
    <row r="735">
      <c r="A735" s="300"/>
    </row>
    <row r="736">
      <c r="A736" s="300"/>
    </row>
    <row r="737">
      <c r="A737" s="300"/>
    </row>
    <row r="738">
      <c r="A738" s="300"/>
    </row>
    <row r="739">
      <c r="A739" s="300"/>
    </row>
    <row r="740">
      <c r="A740" s="300"/>
    </row>
    <row r="741">
      <c r="A741" s="300"/>
    </row>
    <row r="742">
      <c r="A742" s="300"/>
    </row>
    <row r="743">
      <c r="A743" s="300"/>
    </row>
    <row r="744">
      <c r="A744" s="300"/>
    </row>
    <row r="745">
      <c r="A745" s="300"/>
    </row>
    <row r="746">
      <c r="A746" s="300"/>
    </row>
    <row r="747">
      <c r="A747" s="300"/>
    </row>
    <row r="748">
      <c r="A748" s="300"/>
    </row>
    <row r="749">
      <c r="A749" s="300"/>
    </row>
    <row r="750">
      <c r="A750" s="300"/>
    </row>
    <row r="751">
      <c r="A751" s="300"/>
    </row>
    <row r="752">
      <c r="A752" s="300"/>
    </row>
    <row r="753">
      <c r="A753" s="300"/>
    </row>
    <row r="754">
      <c r="A754" s="300"/>
    </row>
    <row r="755">
      <c r="A755" s="300"/>
    </row>
    <row r="756">
      <c r="A756" s="300"/>
    </row>
    <row r="757">
      <c r="A757" s="300"/>
    </row>
    <row r="758">
      <c r="A758" s="300"/>
    </row>
    <row r="759">
      <c r="A759" s="300"/>
    </row>
    <row r="760">
      <c r="A760" s="300"/>
    </row>
    <row r="761">
      <c r="A761" s="300"/>
    </row>
    <row r="762">
      <c r="A762" s="300"/>
    </row>
    <row r="763">
      <c r="A763" s="300"/>
    </row>
    <row r="764">
      <c r="A764" s="300"/>
    </row>
    <row r="765">
      <c r="A765" s="300"/>
    </row>
    <row r="766">
      <c r="A766" s="300"/>
    </row>
    <row r="767">
      <c r="A767" s="300"/>
    </row>
    <row r="768">
      <c r="A768" s="300"/>
    </row>
    <row r="769">
      <c r="A769" s="300"/>
    </row>
    <row r="770">
      <c r="A770" s="300"/>
    </row>
    <row r="771">
      <c r="A771" s="300"/>
    </row>
    <row r="772">
      <c r="A772" s="300"/>
    </row>
    <row r="773">
      <c r="A773" s="300"/>
    </row>
    <row r="774">
      <c r="A774" s="300"/>
    </row>
    <row r="775">
      <c r="A775" s="300"/>
    </row>
    <row r="776">
      <c r="A776" s="300"/>
    </row>
    <row r="777">
      <c r="A777" s="300"/>
    </row>
    <row r="778">
      <c r="A778" s="300"/>
    </row>
    <row r="779">
      <c r="A779" s="300"/>
    </row>
    <row r="780">
      <c r="A780" s="300"/>
    </row>
    <row r="781">
      <c r="A781" s="300"/>
    </row>
    <row r="782">
      <c r="A782" s="300"/>
    </row>
    <row r="783">
      <c r="A783" s="300"/>
    </row>
    <row r="784">
      <c r="A784" s="300"/>
    </row>
    <row r="785">
      <c r="A785" s="300"/>
    </row>
    <row r="786">
      <c r="A786" s="300"/>
    </row>
    <row r="787">
      <c r="A787" s="300"/>
    </row>
    <row r="788">
      <c r="A788" s="300"/>
    </row>
    <row r="789">
      <c r="A789" s="300"/>
    </row>
    <row r="790">
      <c r="A790" s="300"/>
    </row>
    <row r="791">
      <c r="A791" s="300"/>
    </row>
    <row r="792">
      <c r="A792" s="300"/>
    </row>
    <row r="793">
      <c r="A793" s="300"/>
    </row>
    <row r="794">
      <c r="A794" s="300"/>
    </row>
    <row r="795">
      <c r="A795" s="300"/>
    </row>
    <row r="796">
      <c r="A796" s="300"/>
    </row>
    <row r="797">
      <c r="A797" s="300"/>
    </row>
    <row r="798">
      <c r="A798" s="300"/>
    </row>
    <row r="799">
      <c r="A799" s="300"/>
    </row>
    <row r="800">
      <c r="A800" s="300"/>
    </row>
    <row r="801">
      <c r="A801" s="300"/>
    </row>
    <row r="802">
      <c r="A802" s="300"/>
    </row>
    <row r="803">
      <c r="A803" s="300"/>
    </row>
    <row r="804">
      <c r="A804" s="300"/>
    </row>
    <row r="805">
      <c r="A805" s="300"/>
    </row>
    <row r="806">
      <c r="A806" s="300"/>
    </row>
    <row r="807">
      <c r="A807" s="300"/>
    </row>
    <row r="808">
      <c r="A808" s="300"/>
    </row>
    <row r="809">
      <c r="A809" s="300"/>
    </row>
    <row r="810">
      <c r="A810" s="300"/>
    </row>
    <row r="811">
      <c r="A811" s="300"/>
    </row>
    <row r="812">
      <c r="A812" s="300"/>
    </row>
    <row r="813">
      <c r="A813" s="300"/>
    </row>
    <row r="814">
      <c r="A814" s="300"/>
    </row>
    <row r="815">
      <c r="A815" s="300"/>
    </row>
    <row r="816">
      <c r="A816" s="300"/>
    </row>
    <row r="817">
      <c r="A817" s="300"/>
    </row>
    <row r="818">
      <c r="A818" s="300"/>
    </row>
    <row r="819">
      <c r="A819" s="300"/>
    </row>
    <row r="820">
      <c r="A820" s="300"/>
    </row>
    <row r="821">
      <c r="A821" s="300"/>
    </row>
    <row r="822">
      <c r="A822" s="300"/>
    </row>
    <row r="823">
      <c r="A823" s="300"/>
    </row>
    <row r="824">
      <c r="A824" s="300"/>
    </row>
    <row r="825">
      <c r="A825" s="300"/>
    </row>
    <row r="826">
      <c r="A826" s="300"/>
    </row>
    <row r="827">
      <c r="A827" s="300"/>
    </row>
    <row r="828">
      <c r="A828" s="300"/>
    </row>
    <row r="829">
      <c r="A829" s="300"/>
    </row>
    <row r="830">
      <c r="A830" s="300"/>
    </row>
    <row r="831">
      <c r="A831" s="300"/>
    </row>
    <row r="832">
      <c r="A832" s="300"/>
    </row>
    <row r="833">
      <c r="A833" s="300"/>
    </row>
    <row r="834">
      <c r="A834" s="300"/>
    </row>
    <row r="835">
      <c r="A835" s="300"/>
    </row>
    <row r="836">
      <c r="A836" s="300"/>
    </row>
    <row r="837">
      <c r="A837" s="300"/>
    </row>
    <row r="838">
      <c r="A838" s="300"/>
    </row>
    <row r="839">
      <c r="A839" s="300"/>
    </row>
    <row r="840">
      <c r="A840" s="300"/>
    </row>
    <row r="841">
      <c r="A841" s="300"/>
    </row>
    <row r="842">
      <c r="A842" s="300"/>
    </row>
    <row r="843">
      <c r="A843" s="300"/>
    </row>
    <row r="844">
      <c r="A844" s="300"/>
    </row>
    <row r="845">
      <c r="A845" s="300"/>
    </row>
    <row r="846">
      <c r="A846" s="300"/>
    </row>
    <row r="847">
      <c r="A847" s="300"/>
    </row>
    <row r="848">
      <c r="A848" s="300"/>
    </row>
    <row r="849">
      <c r="A849" s="300"/>
    </row>
    <row r="850">
      <c r="A850" s="300"/>
    </row>
    <row r="851">
      <c r="A851" s="300"/>
    </row>
    <row r="852">
      <c r="A852" s="300"/>
    </row>
    <row r="853">
      <c r="A853" s="300"/>
    </row>
    <row r="854">
      <c r="A854" s="300"/>
    </row>
    <row r="855">
      <c r="A855" s="300"/>
    </row>
    <row r="856">
      <c r="A856" s="300"/>
    </row>
    <row r="857">
      <c r="A857" s="300"/>
    </row>
    <row r="858">
      <c r="A858" s="300"/>
    </row>
    <row r="859">
      <c r="A859" s="300"/>
    </row>
    <row r="860">
      <c r="A860" s="300"/>
    </row>
    <row r="861">
      <c r="A861" s="300"/>
    </row>
    <row r="862">
      <c r="A862" s="300"/>
    </row>
    <row r="863">
      <c r="A863" s="300"/>
    </row>
    <row r="864">
      <c r="A864" s="300"/>
    </row>
    <row r="865">
      <c r="A865" s="300"/>
    </row>
    <row r="866">
      <c r="A866" s="300"/>
    </row>
    <row r="867">
      <c r="A867" s="300"/>
    </row>
    <row r="868">
      <c r="A868" s="300"/>
    </row>
    <row r="869">
      <c r="A869" s="300"/>
    </row>
    <row r="870">
      <c r="A870" s="300"/>
    </row>
    <row r="871">
      <c r="A871" s="300"/>
    </row>
    <row r="872">
      <c r="A872" s="300"/>
    </row>
    <row r="873">
      <c r="A873" s="300"/>
    </row>
    <row r="874">
      <c r="A874" s="300"/>
    </row>
    <row r="875">
      <c r="A875" s="300"/>
    </row>
    <row r="876">
      <c r="A876" s="300"/>
    </row>
    <row r="877">
      <c r="A877" s="300"/>
    </row>
    <row r="878">
      <c r="A878" s="300"/>
    </row>
    <row r="879">
      <c r="A879" s="300"/>
    </row>
    <row r="880">
      <c r="A880" s="300"/>
    </row>
    <row r="881">
      <c r="A881" s="300"/>
    </row>
    <row r="882">
      <c r="A882" s="300"/>
    </row>
    <row r="883">
      <c r="A883" s="300"/>
    </row>
    <row r="884">
      <c r="A884" s="300"/>
    </row>
    <row r="885">
      <c r="A885" s="300"/>
    </row>
    <row r="886">
      <c r="A886" s="300"/>
    </row>
    <row r="887">
      <c r="A887" s="300"/>
    </row>
    <row r="888">
      <c r="A888" s="300"/>
    </row>
    <row r="889">
      <c r="A889" s="300"/>
    </row>
    <row r="890">
      <c r="A890" s="300"/>
    </row>
    <row r="891">
      <c r="A891" s="300"/>
    </row>
    <row r="892">
      <c r="A892" s="300"/>
    </row>
    <row r="893">
      <c r="A893" s="300"/>
    </row>
    <row r="894">
      <c r="A894" s="300"/>
    </row>
    <row r="895">
      <c r="A895" s="300"/>
    </row>
    <row r="896">
      <c r="A896" s="300"/>
    </row>
    <row r="897">
      <c r="A897" s="300"/>
    </row>
    <row r="898">
      <c r="A898" s="300"/>
    </row>
    <row r="899">
      <c r="A899" s="300"/>
    </row>
    <row r="900">
      <c r="A900" s="300"/>
    </row>
    <row r="901">
      <c r="A901" s="300"/>
    </row>
    <row r="902">
      <c r="A902" s="300"/>
    </row>
    <row r="903">
      <c r="A903" s="300"/>
    </row>
    <row r="904">
      <c r="A904" s="300"/>
    </row>
    <row r="905">
      <c r="A905" s="300"/>
    </row>
    <row r="906">
      <c r="A906" s="300"/>
    </row>
    <row r="907">
      <c r="A907" s="300"/>
    </row>
    <row r="908">
      <c r="A908" s="300"/>
    </row>
    <row r="909">
      <c r="A909" s="300"/>
    </row>
    <row r="910">
      <c r="A910" s="300"/>
    </row>
    <row r="911">
      <c r="A911" s="300"/>
    </row>
    <row r="912">
      <c r="A912" s="300"/>
    </row>
    <row r="913">
      <c r="A913" s="300"/>
    </row>
    <row r="914">
      <c r="A914" s="300"/>
    </row>
    <row r="915">
      <c r="A915" s="300"/>
    </row>
    <row r="916">
      <c r="A916" s="300"/>
    </row>
    <row r="917">
      <c r="A917" s="300"/>
    </row>
    <row r="918">
      <c r="A918" s="300"/>
    </row>
    <row r="919">
      <c r="A919" s="300"/>
    </row>
    <row r="920">
      <c r="A920" s="300"/>
    </row>
    <row r="921">
      <c r="A921" s="300"/>
    </row>
    <row r="922">
      <c r="A922" s="300"/>
    </row>
    <row r="923">
      <c r="A923" s="300"/>
    </row>
    <row r="924">
      <c r="A924" s="300"/>
    </row>
    <row r="925">
      <c r="A925" s="300"/>
    </row>
    <row r="926">
      <c r="A926" s="300"/>
    </row>
    <row r="927">
      <c r="A927" s="300"/>
    </row>
    <row r="928">
      <c r="A928" s="300"/>
    </row>
    <row r="929">
      <c r="A929" s="300"/>
    </row>
    <row r="930">
      <c r="A930" s="300"/>
    </row>
    <row r="931">
      <c r="A931" s="300"/>
    </row>
    <row r="932">
      <c r="A932" s="300"/>
    </row>
    <row r="933">
      <c r="A933" s="300"/>
    </row>
    <row r="934">
      <c r="A934" s="300"/>
    </row>
    <row r="935">
      <c r="A935" s="300"/>
    </row>
    <row r="936">
      <c r="A936" s="300"/>
    </row>
    <row r="937">
      <c r="A937" s="300"/>
    </row>
    <row r="938">
      <c r="A938" s="300"/>
    </row>
    <row r="939">
      <c r="A939" s="300"/>
    </row>
    <row r="940">
      <c r="A940" s="300"/>
    </row>
    <row r="941">
      <c r="A941" s="300"/>
    </row>
    <row r="942">
      <c r="A942" s="300"/>
    </row>
    <row r="943">
      <c r="A943" s="300"/>
    </row>
    <row r="944">
      <c r="A944" s="300"/>
    </row>
    <row r="945">
      <c r="A945" s="300"/>
    </row>
    <row r="946">
      <c r="A946" s="300"/>
    </row>
    <row r="947">
      <c r="A947" s="300"/>
    </row>
    <row r="948">
      <c r="A948" s="300"/>
    </row>
    <row r="949">
      <c r="A949" s="300"/>
    </row>
    <row r="950">
      <c r="A950" s="300"/>
    </row>
    <row r="951">
      <c r="A951" s="300"/>
    </row>
    <row r="952">
      <c r="A952" s="300"/>
    </row>
    <row r="953">
      <c r="A953" s="300"/>
    </row>
    <row r="954">
      <c r="A954" s="300"/>
    </row>
    <row r="955">
      <c r="A955" s="300"/>
    </row>
    <row r="956">
      <c r="A956" s="300"/>
    </row>
    <row r="957">
      <c r="A957" s="300"/>
    </row>
    <row r="958">
      <c r="A958" s="300"/>
    </row>
    <row r="959">
      <c r="A959" s="300"/>
    </row>
    <row r="960">
      <c r="A960" s="300"/>
    </row>
    <row r="961">
      <c r="A961" s="300"/>
    </row>
    <row r="962">
      <c r="A962" s="300"/>
    </row>
    <row r="963">
      <c r="A963" s="300"/>
    </row>
    <row r="964">
      <c r="A964" s="300"/>
    </row>
    <row r="965">
      <c r="A965" s="300"/>
    </row>
    <row r="966">
      <c r="A966" s="300"/>
    </row>
    <row r="967">
      <c r="A967" s="300"/>
    </row>
    <row r="968">
      <c r="A968" s="300"/>
    </row>
    <row r="969">
      <c r="A969" s="300"/>
    </row>
    <row r="970">
      <c r="A970" s="300"/>
    </row>
    <row r="971">
      <c r="A971" s="300"/>
    </row>
    <row r="972">
      <c r="A972" s="300"/>
    </row>
    <row r="973">
      <c r="A973" s="300"/>
    </row>
    <row r="974">
      <c r="A974" s="300"/>
    </row>
    <row r="975">
      <c r="A975" s="300"/>
    </row>
    <row r="976">
      <c r="A976" s="300"/>
    </row>
    <row r="977">
      <c r="A977" s="300"/>
    </row>
    <row r="978">
      <c r="A978" s="300"/>
    </row>
    <row r="979">
      <c r="A979" s="300"/>
    </row>
    <row r="980">
      <c r="A980" s="300"/>
    </row>
    <row r="981">
      <c r="A981" s="300"/>
    </row>
    <row r="982">
      <c r="A982" s="300"/>
    </row>
    <row r="983">
      <c r="A983" s="300"/>
    </row>
    <row r="984">
      <c r="A984" s="300"/>
    </row>
    <row r="985">
      <c r="A985" s="300"/>
    </row>
    <row r="986">
      <c r="A986" s="300"/>
    </row>
    <row r="987">
      <c r="A987" s="300"/>
    </row>
    <row r="988">
      <c r="A988" s="300"/>
    </row>
    <row r="989">
      <c r="A989" s="300"/>
    </row>
    <row r="990">
      <c r="A990" s="300"/>
    </row>
    <row r="991">
      <c r="A991" s="300"/>
    </row>
    <row r="992">
      <c r="A992" s="300"/>
    </row>
    <row r="993">
      <c r="A993" s="300"/>
    </row>
    <row r="994">
      <c r="A994" s="300"/>
    </row>
    <row r="995">
      <c r="A995" s="300"/>
    </row>
    <row r="996">
      <c r="A996" s="300"/>
    </row>
    <row r="997">
      <c r="A997" s="300"/>
    </row>
    <row r="998">
      <c r="A998" s="300"/>
    </row>
    <row r="999">
      <c r="A999" s="300"/>
    </row>
    <row r="1000">
      <c r="A1000" s="300"/>
    </row>
    <row r="1001">
      <c r="A1001" s="300"/>
    </row>
    <row r="1002">
      <c r="A1002" s="300"/>
    </row>
    <row r="1003">
      <c r="A1003" s="300"/>
    </row>
  </sheetData>
  <mergeCells count="4">
    <mergeCell ref="A1:O1"/>
    <mergeCell ref="B2:E2"/>
    <mergeCell ref="F2:K2"/>
    <mergeCell ref="L2:O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25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253"/>
      <c r="B2" s="25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260" t="s">
        <v>754</v>
      </c>
      <c r="B3" s="232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266" t="s">
        <v>570</v>
      </c>
      <c r="B4" s="235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260" t="s">
        <v>397</v>
      </c>
      <c r="B5" s="235" t="s">
        <v>402</v>
      </c>
      <c r="C5" s="271">
        <f>'22ndMAY'!E5</f>
        <v>38.02</v>
      </c>
      <c r="D5" s="272"/>
      <c r="E5" s="273"/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114.06</v>
      </c>
      <c r="N5" s="268"/>
      <c r="O5" s="269"/>
    </row>
    <row r="6">
      <c r="A6" s="260" t="s">
        <v>401</v>
      </c>
      <c r="B6" s="235" t="s">
        <v>402</v>
      </c>
      <c r="C6" s="271">
        <f>'22ndMAY'!E6</f>
        <v>6</v>
      </c>
      <c r="D6" s="272"/>
      <c r="E6" s="273"/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12</v>
      </c>
      <c r="N6" s="268"/>
      <c r="O6" s="269"/>
    </row>
    <row r="7">
      <c r="A7" s="260" t="s">
        <v>404</v>
      </c>
      <c r="B7" s="235" t="s">
        <v>402</v>
      </c>
      <c r="C7" s="271">
        <f>'22ndMAY'!E7</f>
        <v>6</v>
      </c>
      <c r="D7" s="268"/>
      <c r="E7" s="273"/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30</v>
      </c>
      <c r="N7" s="268"/>
      <c r="O7" s="269"/>
    </row>
    <row r="8">
      <c r="A8" s="260" t="s">
        <v>406</v>
      </c>
      <c r="B8" s="235" t="s">
        <v>402</v>
      </c>
      <c r="C8" s="271">
        <f>'22ndMAY'!E8</f>
        <v>18</v>
      </c>
      <c r="D8" s="272"/>
      <c r="E8" s="273"/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18</v>
      </c>
      <c r="N8" s="268"/>
      <c r="O8" s="269"/>
    </row>
    <row r="9">
      <c r="A9" s="260" t="s">
        <v>409</v>
      </c>
      <c r="B9" s="235" t="s">
        <v>402</v>
      </c>
      <c r="C9" s="271" t="str">
        <f>'22ndMAY'!E9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260" t="s">
        <v>411</v>
      </c>
      <c r="B10" s="235" t="s">
        <v>402</v>
      </c>
      <c r="C10" s="271">
        <f>'22ndMAY'!E10</f>
        <v>3</v>
      </c>
      <c r="D10" s="268"/>
      <c r="E10" s="273"/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24</v>
      </c>
      <c r="N10" s="268"/>
      <c r="O10" s="269"/>
    </row>
    <row r="11">
      <c r="A11" s="260" t="s">
        <v>413</v>
      </c>
      <c r="B11" s="235" t="s">
        <v>402</v>
      </c>
      <c r="C11" s="271">
        <f>'22ndMAY'!E11</f>
        <v>13</v>
      </c>
      <c r="D11" s="272"/>
      <c r="E11" s="273"/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13</v>
      </c>
      <c r="N11" s="268"/>
      <c r="O11" s="269"/>
    </row>
    <row r="12">
      <c r="A12" s="260" t="s">
        <v>414</v>
      </c>
      <c r="B12" s="235" t="s">
        <v>402</v>
      </c>
      <c r="C12" s="271" t="str">
        <f>'22ndMAY'!E12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260" t="s">
        <v>416</v>
      </c>
      <c r="B13" s="235" t="s">
        <v>402</v>
      </c>
      <c r="C13" s="271">
        <f>'22ndMAY'!E13</f>
        <v>8.5</v>
      </c>
      <c r="D13" s="272"/>
      <c r="E13" s="273"/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76.5</v>
      </c>
      <c r="N13" s="268"/>
      <c r="O13" s="269"/>
    </row>
    <row r="14">
      <c r="A14" s="260" t="s">
        <v>418</v>
      </c>
      <c r="B14" s="235" t="s">
        <v>402</v>
      </c>
      <c r="C14" s="271">
        <f>'22ndMAY'!E14</f>
        <v>20.5</v>
      </c>
      <c r="D14" s="272"/>
      <c r="E14" s="273"/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20.5</v>
      </c>
      <c r="N14" s="268"/>
      <c r="O14" s="269"/>
    </row>
    <row r="15">
      <c r="A15" s="260" t="s">
        <v>420</v>
      </c>
      <c r="B15" s="235" t="s">
        <v>402</v>
      </c>
      <c r="C15" s="271">
        <f>'22ndMAY'!E15</f>
        <v>5</v>
      </c>
      <c r="D15" s="268"/>
      <c r="E15" s="273"/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20</v>
      </c>
      <c r="N15" s="268"/>
      <c r="O15" s="269"/>
    </row>
    <row r="16">
      <c r="A16" s="260" t="s">
        <v>422</v>
      </c>
      <c r="B16" s="235" t="s">
        <v>402</v>
      </c>
      <c r="C16" s="271">
        <f>'22ndMAY'!E16</f>
        <v>6</v>
      </c>
      <c r="D16" s="272"/>
      <c r="E16" s="273"/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24</v>
      </c>
      <c r="N16" s="268"/>
      <c r="O16" s="269"/>
    </row>
    <row r="17">
      <c r="A17" s="260" t="s">
        <v>423</v>
      </c>
      <c r="B17" s="235" t="s">
        <v>402</v>
      </c>
      <c r="C17" s="271">
        <f>'22ndMAY'!E17</f>
        <v>8</v>
      </c>
      <c r="D17" s="272"/>
      <c r="E17" s="273"/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16</v>
      </c>
      <c r="N17" s="268"/>
      <c r="O17" s="269"/>
    </row>
    <row r="18">
      <c r="A18" s="260" t="s">
        <v>425</v>
      </c>
      <c r="B18" s="235" t="s">
        <v>402</v>
      </c>
      <c r="C18" s="271" t="str">
        <f>'22ndMAY'!E18</f>
        <v/>
      </c>
      <c r="D18" s="268"/>
      <c r="E18" s="273"/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0</v>
      </c>
      <c r="N18" s="268"/>
      <c r="O18" s="269"/>
    </row>
    <row r="19">
      <c r="A19" s="260" t="s">
        <v>426</v>
      </c>
      <c r="B19" s="235" t="s">
        <v>402</v>
      </c>
      <c r="C19" s="271">
        <f>'22ndMAY'!E19</f>
        <v>6</v>
      </c>
      <c r="D19" s="268"/>
      <c r="E19" s="273"/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6</v>
      </c>
      <c r="N19" s="268"/>
      <c r="O19" s="269"/>
    </row>
    <row r="20">
      <c r="A20" s="260" t="s">
        <v>428</v>
      </c>
      <c r="B20" s="235" t="s">
        <v>402</v>
      </c>
      <c r="C20" s="271">
        <f>'22ndMAY'!E20</f>
        <v>5</v>
      </c>
      <c r="D20" s="268"/>
      <c r="E20" s="273"/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5</v>
      </c>
      <c r="N20" s="268"/>
      <c r="O20" s="269"/>
    </row>
    <row r="21">
      <c r="A21" s="260" t="s">
        <v>429</v>
      </c>
      <c r="B21" s="235" t="s">
        <v>402</v>
      </c>
      <c r="C21" s="271">
        <f>'22ndMAY'!E21</f>
        <v>9.5</v>
      </c>
      <c r="D21" s="272"/>
      <c r="E21" s="273"/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38</v>
      </c>
      <c r="N21" s="268"/>
      <c r="O21" s="269"/>
    </row>
    <row r="22">
      <c r="A22" s="260" t="s">
        <v>431</v>
      </c>
      <c r="B22" s="235" t="s">
        <v>402</v>
      </c>
      <c r="C22" s="271" t="str">
        <f>'22ndMAY'!E22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60" t="s">
        <v>432</v>
      </c>
      <c r="B23" s="235" t="s">
        <v>402</v>
      </c>
      <c r="C23" s="271" t="str">
        <f>'22ndMAY'!E23</f>
        <v/>
      </c>
      <c r="D23" s="272"/>
      <c r="E23" s="273"/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0</v>
      </c>
      <c r="N23" s="268"/>
      <c r="O23" s="269"/>
    </row>
    <row r="24">
      <c r="A24" s="260" t="s">
        <v>433</v>
      </c>
      <c r="B24" s="235" t="s">
        <v>402</v>
      </c>
      <c r="C24" s="271" t="str">
        <f>'22ndMAY'!E24</f>
        <v/>
      </c>
      <c r="D24" s="272"/>
      <c r="E24" s="273"/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0</v>
      </c>
      <c r="N24" s="268"/>
      <c r="O24" s="269"/>
    </row>
    <row r="25">
      <c r="A25" s="260" t="s">
        <v>435</v>
      </c>
      <c r="B25" s="235" t="s">
        <v>402</v>
      </c>
      <c r="C25" s="271">
        <f>'22ndMAY'!E25</f>
        <v>7</v>
      </c>
      <c r="D25" s="272"/>
      <c r="E25" s="273"/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7</v>
      </c>
      <c r="N25" s="268"/>
      <c r="O25" s="269"/>
    </row>
    <row r="26">
      <c r="A26" s="260" t="s">
        <v>438</v>
      </c>
      <c r="B26" s="235" t="s">
        <v>402</v>
      </c>
      <c r="C26" s="271">
        <f>'22ndMAY'!E26</f>
        <v>3</v>
      </c>
      <c r="D26" s="268"/>
      <c r="E26" s="273"/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3</v>
      </c>
      <c r="N26" s="268"/>
      <c r="O26" s="269"/>
    </row>
    <row r="27">
      <c r="A27" s="260" t="s">
        <v>439</v>
      </c>
      <c r="B27" s="235" t="s">
        <v>402</v>
      </c>
      <c r="C27" s="271" t="str">
        <f>'22ndMAY'!E27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260" t="s">
        <v>440</v>
      </c>
      <c r="B28" s="235" t="s">
        <v>402</v>
      </c>
      <c r="C28" s="271">
        <f>'22ndMAY'!E28</f>
        <v>17</v>
      </c>
      <c r="D28" s="268"/>
      <c r="E28" s="273"/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17</v>
      </c>
      <c r="N28" s="268"/>
      <c r="O28" s="269"/>
    </row>
    <row r="29">
      <c r="A29" s="260" t="s">
        <v>441</v>
      </c>
      <c r="B29" s="235" t="s">
        <v>402</v>
      </c>
      <c r="C29" s="271">
        <f>'22ndMAY'!E29</f>
        <v>14.1</v>
      </c>
      <c r="D29" s="268"/>
      <c r="E29" s="273"/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28.2</v>
      </c>
      <c r="N29" s="268"/>
      <c r="O29" s="269"/>
    </row>
    <row r="30">
      <c r="A30" s="260" t="s">
        <v>442</v>
      </c>
      <c r="B30" s="235" t="s">
        <v>402</v>
      </c>
      <c r="C30" s="271">
        <f>'22ndMAY'!E30</f>
        <v>4</v>
      </c>
      <c r="D30" s="268"/>
      <c r="E30" s="273"/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4</v>
      </c>
      <c r="N30" s="268"/>
      <c r="O30" s="269"/>
    </row>
    <row r="31">
      <c r="A31" s="260" t="s">
        <v>444</v>
      </c>
      <c r="B31" s="235" t="s">
        <v>402</v>
      </c>
      <c r="C31" s="271">
        <f>'22ndMAY'!E31</f>
        <v>13</v>
      </c>
      <c r="D31" s="268"/>
      <c r="E31" s="273"/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13</v>
      </c>
      <c r="N31" s="268"/>
      <c r="O31" s="269"/>
    </row>
    <row r="32">
      <c r="A32" s="260" t="s">
        <v>445</v>
      </c>
      <c r="B32" s="235" t="s">
        <v>402</v>
      </c>
      <c r="C32" s="271">
        <f>'22ndMAY'!E32</f>
        <v>2</v>
      </c>
      <c r="D32" s="272">
        <v>5.0</v>
      </c>
      <c r="E32" s="273"/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28</v>
      </c>
      <c r="N32" s="268"/>
      <c r="O32" s="269"/>
    </row>
    <row r="33">
      <c r="A33" s="260" t="s">
        <v>446</v>
      </c>
      <c r="B33" s="235" t="s">
        <v>402</v>
      </c>
      <c r="C33" s="271" t="str">
        <f>'22ndMAY'!E33</f>
        <v/>
      </c>
      <c r="D33" s="268"/>
      <c r="E33" s="273"/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260" t="s">
        <v>447</v>
      </c>
      <c r="B34" s="235" t="s">
        <v>402</v>
      </c>
      <c r="C34" s="271">
        <f>'22ndMAY'!E34</f>
        <v>7</v>
      </c>
      <c r="D34" s="272"/>
      <c r="E34" s="273"/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7</v>
      </c>
      <c r="N34" s="268"/>
      <c r="O34" s="269"/>
    </row>
    <row r="35">
      <c r="A35" s="260" t="s">
        <v>449</v>
      </c>
      <c r="B35" s="235" t="s">
        <v>402</v>
      </c>
      <c r="C35" s="271">
        <f>'22ndMAY'!E35</f>
        <v>5</v>
      </c>
      <c r="D35" s="272"/>
      <c r="E35" s="273"/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5</v>
      </c>
      <c r="N35" s="268"/>
      <c r="O35" s="269"/>
    </row>
    <row r="36">
      <c r="A36" s="260" t="s">
        <v>451</v>
      </c>
      <c r="B36" s="235" t="s">
        <v>402</v>
      </c>
      <c r="C36" s="271">
        <f>'22ndMAY'!E36</f>
        <v>4</v>
      </c>
      <c r="D36" s="272"/>
      <c r="E36" s="273"/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8</v>
      </c>
      <c r="N36" s="268"/>
      <c r="O36" s="269"/>
    </row>
    <row r="37">
      <c r="A37" s="275" t="s">
        <v>452</v>
      </c>
      <c r="B37" s="235" t="s">
        <v>402</v>
      </c>
      <c r="C37" s="271">
        <f>'22ndMAY'!E37</f>
        <v>14</v>
      </c>
      <c r="D37" s="268"/>
      <c r="E37" s="273"/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56</v>
      </c>
      <c r="N37" s="268"/>
      <c r="O37" s="269"/>
    </row>
    <row r="38">
      <c r="A38" s="275" t="s">
        <v>454</v>
      </c>
      <c r="B38" s="235" t="s">
        <v>402</v>
      </c>
      <c r="C38" s="271">
        <f>'22ndMAY'!E38</f>
        <v>1</v>
      </c>
      <c r="D38" s="272">
        <v>4.0</v>
      </c>
      <c r="E38" s="273"/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20</v>
      </c>
      <c r="N38" s="268"/>
      <c r="O38" s="269"/>
    </row>
    <row r="39">
      <c r="A39" s="276" t="s">
        <v>455</v>
      </c>
      <c r="B39" s="235" t="s">
        <v>402</v>
      </c>
      <c r="C39" s="271">
        <f>'22ndMAY'!E39</f>
        <v>4</v>
      </c>
      <c r="D39" s="268"/>
      <c r="E39" s="269"/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16</v>
      </c>
      <c r="N39" s="268"/>
      <c r="O39" s="269"/>
    </row>
    <row r="40">
      <c r="A40" s="276" t="s">
        <v>456</v>
      </c>
      <c r="B40" s="235" t="s">
        <v>402</v>
      </c>
      <c r="C40" s="271">
        <f>'22ndMAY'!E40</f>
        <v>4</v>
      </c>
      <c r="D40" s="272"/>
      <c r="E40" s="273"/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4</v>
      </c>
      <c r="N40" s="268"/>
      <c r="O40" s="269"/>
    </row>
    <row r="41">
      <c r="A41" s="276" t="s">
        <v>457</v>
      </c>
      <c r="B41" s="235" t="s">
        <v>402</v>
      </c>
      <c r="C41" s="271" t="str">
        <f>'22ndMAY'!E41</f>
        <v/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277" t="s">
        <v>762</v>
      </c>
      <c r="B42" s="235"/>
      <c r="C42" s="271" t="str">
        <f>'22ndMAY'!E42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'22ndMAY'!E43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'22ndMAY'!E44</f>
        <v/>
      </c>
      <c r="D44" s="227"/>
      <c r="E44" s="280"/>
      <c r="F44" s="235" t="s">
        <v>14</v>
      </c>
      <c r="G44" s="235"/>
      <c r="H44" s="272">
        <f>'22ndMAY'!J44</f>
        <v>1.5</v>
      </c>
      <c r="I44" s="281">
        <v>1.0</v>
      </c>
      <c r="J44" s="282"/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1.5</v>
      </c>
      <c r="N44" s="191"/>
      <c r="O44" s="247"/>
    </row>
    <row r="45">
      <c r="A45" s="12" t="s">
        <v>16</v>
      </c>
      <c r="B45" s="13" t="s">
        <v>17</v>
      </c>
      <c r="C45" s="271" t="str">
        <f>'22ndMAY'!E45</f>
        <v/>
      </c>
      <c r="D45" s="227"/>
      <c r="E45" s="280"/>
      <c r="F45" s="235" t="s">
        <v>17</v>
      </c>
      <c r="G45" s="235"/>
      <c r="H45" s="272">
        <f>'22ndMAY'!J45</f>
        <v>15</v>
      </c>
      <c r="I45" s="281">
        <v>1.0</v>
      </c>
      <c r="J45" s="284"/>
      <c r="K45" s="283"/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15</v>
      </c>
      <c r="N45" s="191"/>
      <c r="O45" s="247"/>
    </row>
    <row r="46">
      <c r="A46" s="15" t="s">
        <v>19</v>
      </c>
      <c r="B46" s="13" t="s">
        <v>17</v>
      </c>
      <c r="C46" s="271" t="str">
        <f>'22ndMAY'!E46</f>
        <v/>
      </c>
      <c r="D46" s="227"/>
      <c r="E46" s="280"/>
      <c r="F46" s="235" t="s">
        <v>17</v>
      </c>
      <c r="G46" s="235"/>
      <c r="H46" s="272">
        <f>'22ndMAY'!J46</f>
        <v>11</v>
      </c>
      <c r="I46" s="281">
        <v>1.0</v>
      </c>
      <c r="J46" s="284"/>
      <c r="K46" s="283"/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11</v>
      </c>
      <c r="N46" s="191"/>
      <c r="O46" s="247"/>
    </row>
    <row r="47">
      <c r="A47" s="12" t="s">
        <v>20</v>
      </c>
      <c r="B47" s="13" t="s">
        <v>17</v>
      </c>
      <c r="C47" s="271" t="str">
        <f>'22ndMAY'!E47</f>
        <v/>
      </c>
      <c r="D47" s="191"/>
      <c r="E47" s="280"/>
      <c r="F47" s="235" t="s">
        <v>17</v>
      </c>
      <c r="G47" s="235"/>
      <c r="H47" s="272">
        <f>'22ndMAY'!J47</f>
        <v>6</v>
      </c>
      <c r="I47" s="281">
        <v>1.0</v>
      </c>
      <c r="J47" s="284"/>
      <c r="K47" s="283"/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6</v>
      </c>
      <c r="N47" s="191"/>
      <c r="O47" s="247"/>
    </row>
    <row r="48">
      <c r="A48" s="12" t="s">
        <v>21</v>
      </c>
      <c r="B48" s="13" t="s">
        <v>17</v>
      </c>
      <c r="C48" s="271" t="str">
        <f>'22ndMAY'!E48</f>
        <v/>
      </c>
      <c r="D48" s="227"/>
      <c r="E48" s="280"/>
      <c r="F48" s="235" t="s">
        <v>17</v>
      </c>
      <c r="G48" s="235"/>
      <c r="H48" s="272">
        <f>'22ndMAY'!J48</f>
        <v>4</v>
      </c>
      <c r="I48" s="281">
        <v>1.0</v>
      </c>
      <c r="J48" s="284"/>
      <c r="K48" s="283"/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4</v>
      </c>
      <c r="N48" s="191"/>
      <c r="O48" s="247"/>
    </row>
    <row r="49">
      <c r="A49" s="12" t="s">
        <v>22</v>
      </c>
      <c r="B49" s="13" t="s">
        <v>17</v>
      </c>
      <c r="C49" s="271" t="str">
        <f>'22ndMAY'!E49</f>
        <v/>
      </c>
      <c r="D49" s="191"/>
      <c r="E49" s="247"/>
      <c r="F49" s="235" t="s">
        <v>17</v>
      </c>
      <c r="G49" s="235"/>
      <c r="H49" s="272" t="str">
        <f>'22ndMAY'!J49</f>
        <v/>
      </c>
      <c r="I49" s="281">
        <v>1.0</v>
      </c>
      <c r="J49" s="284"/>
      <c r="K49" s="283"/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'22ndMAY'!E50</f>
        <v/>
      </c>
      <c r="D50" s="227"/>
      <c r="E50" s="247"/>
      <c r="F50" s="235" t="s">
        <v>25</v>
      </c>
      <c r="G50" s="235"/>
      <c r="H50" s="272">
        <f>'22ndMAY'!J50</f>
        <v>0.51</v>
      </c>
      <c r="I50" s="281">
        <v>1.0</v>
      </c>
      <c r="J50" s="282"/>
      <c r="K50" s="283"/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0.504</v>
      </c>
      <c r="N50" s="191"/>
      <c r="O50" s="247"/>
    </row>
    <row r="51">
      <c r="A51" s="12" t="s">
        <v>27</v>
      </c>
      <c r="B51" s="12" t="s">
        <v>24</v>
      </c>
      <c r="C51" s="271" t="str">
        <f>'22ndMAY'!E51</f>
        <v/>
      </c>
      <c r="D51" s="191"/>
      <c r="E51" s="247"/>
      <c r="F51" s="235" t="s">
        <v>24</v>
      </c>
      <c r="G51" s="235"/>
      <c r="H51" s="272" t="str">
        <f>'22ndMAY'!J51</f>
        <v/>
      </c>
      <c r="I51" s="281">
        <v>1.0</v>
      </c>
      <c r="J51" s="284"/>
      <c r="K51" s="283"/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'22ndMAY'!E52</f>
        <v/>
      </c>
      <c r="D52" s="191"/>
      <c r="E52" s="280"/>
      <c r="F52" s="235" t="s">
        <v>14</v>
      </c>
      <c r="G52" s="285"/>
      <c r="H52" s="272">
        <f>'22ndMAY'!J52</f>
        <v>0.485</v>
      </c>
      <c r="I52" s="281">
        <v>1.0</v>
      </c>
      <c r="J52" s="284"/>
      <c r="K52" s="283"/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0.448</v>
      </c>
      <c r="N52" s="191"/>
      <c r="O52" s="247"/>
    </row>
    <row r="53">
      <c r="A53" s="286" t="s">
        <v>30</v>
      </c>
      <c r="B53" s="12" t="s">
        <v>24</v>
      </c>
      <c r="C53" s="271" t="str">
        <f>'22ndMAY'!E53</f>
        <v/>
      </c>
      <c r="D53" s="227"/>
      <c r="E53" s="280"/>
      <c r="F53" s="235" t="s">
        <v>35</v>
      </c>
      <c r="G53" s="235"/>
      <c r="H53" s="272">
        <f>'22ndMAY'!J53</f>
        <v>0.713</v>
      </c>
      <c r="I53" s="281">
        <v>1.0</v>
      </c>
      <c r="J53" s="284"/>
      <c r="K53" s="283"/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0.313</v>
      </c>
      <c r="N53" s="191"/>
      <c r="O53" s="247"/>
    </row>
    <row r="54">
      <c r="A54" s="12" t="s">
        <v>33</v>
      </c>
      <c r="B54" s="12" t="s">
        <v>34</v>
      </c>
      <c r="C54" s="271" t="str">
        <f>'22ndMAY'!E54</f>
        <v/>
      </c>
      <c r="D54" s="227"/>
      <c r="E54" s="247"/>
      <c r="F54" s="235" t="s">
        <v>35</v>
      </c>
      <c r="G54" s="235"/>
      <c r="H54" s="272">
        <f>'22ndMAY'!J54</f>
        <v>0.278</v>
      </c>
      <c r="I54" s="281">
        <v>1.0</v>
      </c>
      <c r="J54" s="284"/>
      <c r="K54" s="283"/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0.215</v>
      </c>
      <c r="N54" s="191"/>
      <c r="O54" s="247"/>
    </row>
    <row r="55">
      <c r="A55" s="12" t="s">
        <v>37</v>
      </c>
      <c r="B55" s="12" t="s">
        <v>17</v>
      </c>
      <c r="C55" s="271" t="str">
        <f>'22ndMAY'!E55</f>
        <v/>
      </c>
      <c r="D55" s="191"/>
      <c r="E55" s="247"/>
      <c r="F55" s="235" t="s">
        <v>752</v>
      </c>
      <c r="G55" s="235"/>
      <c r="H55" s="272" t="str">
        <f>'22ndMAY'!J55</f>
        <v/>
      </c>
      <c r="I55" s="281">
        <v>1.0</v>
      </c>
      <c r="J55" s="284"/>
      <c r="K55" s="283"/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'22ndMAY'!E56</f>
        <v/>
      </c>
      <c r="D56" s="191"/>
      <c r="E56" s="247"/>
      <c r="F56" s="235" t="s">
        <v>17</v>
      </c>
      <c r="G56" s="235"/>
      <c r="H56" s="272">
        <f>'22ndMAY'!J56</f>
        <v>50</v>
      </c>
      <c r="I56" s="281">
        <v>1.0</v>
      </c>
      <c r="J56" s="284"/>
      <c r="K56" s="283"/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50</v>
      </c>
      <c r="N56" s="191"/>
      <c r="O56" s="247"/>
    </row>
    <row r="57">
      <c r="A57" s="12" t="s">
        <v>42</v>
      </c>
      <c r="B57" s="12" t="s">
        <v>24</v>
      </c>
      <c r="C57" s="271">
        <f>'22ndMAY'!E57</f>
        <v>1</v>
      </c>
      <c r="D57" s="191"/>
      <c r="E57" s="280"/>
      <c r="F57" s="235" t="s">
        <v>35</v>
      </c>
      <c r="G57" s="235"/>
      <c r="H57" s="272">
        <f>'22ndMAY'!J57</f>
        <v>0.184</v>
      </c>
      <c r="I57" s="281">
        <v>1.0</v>
      </c>
      <c r="J57" s="282"/>
      <c r="K57" s="283"/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0.549</v>
      </c>
      <c r="N57" s="191"/>
      <c r="O57" s="247"/>
    </row>
    <row r="58">
      <c r="A58" s="12" t="s">
        <v>44</v>
      </c>
      <c r="B58" s="12" t="s">
        <v>24</v>
      </c>
      <c r="C58" s="271">
        <f>'22ndMAY'!E58</f>
        <v>1</v>
      </c>
      <c r="D58" s="191"/>
      <c r="E58" s="247"/>
      <c r="F58" s="235" t="s">
        <v>25</v>
      </c>
      <c r="G58" s="235"/>
      <c r="H58" s="272" t="str">
        <f>'22ndMAY'!J58</f>
        <v/>
      </c>
      <c r="I58" s="281">
        <v>1.0</v>
      </c>
      <c r="J58" s="282"/>
      <c r="K58" s="283"/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0.71</v>
      </c>
      <c r="N58" s="191"/>
      <c r="O58" s="247"/>
    </row>
    <row r="59">
      <c r="A59" s="12" t="s">
        <v>45</v>
      </c>
      <c r="B59" s="12" t="s">
        <v>24</v>
      </c>
      <c r="C59" s="271" t="str">
        <f>'22ndMAY'!E59</f>
        <v/>
      </c>
      <c r="D59" s="191"/>
      <c r="E59" s="247"/>
      <c r="F59" s="235" t="s">
        <v>25</v>
      </c>
      <c r="G59" s="235"/>
      <c r="H59" s="272">
        <f>'22ndMAY'!J59</f>
        <v>0.817</v>
      </c>
      <c r="I59" s="281">
        <v>1.0</v>
      </c>
      <c r="J59" s="282"/>
      <c r="K59" s="283"/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0.761</v>
      </c>
      <c r="N59" s="191"/>
      <c r="O59" s="247"/>
    </row>
    <row r="60">
      <c r="A60" s="17" t="s">
        <v>46</v>
      </c>
      <c r="B60" s="12" t="s">
        <v>47</v>
      </c>
      <c r="C60" s="271" t="str">
        <f>'22ndMAY'!E60</f>
        <v/>
      </c>
      <c r="D60" s="191"/>
      <c r="E60" s="247"/>
      <c r="F60" s="235" t="s">
        <v>51</v>
      </c>
      <c r="G60" s="235"/>
      <c r="H60" s="272" t="str">
        <f>'22ndMAY'!J60</f>
        <v/>
      </c>
      <c r="I60" s="281">
        <v>1.0</v>
      </c>
      <c r="J60" s="284"/>
      <c r="K60" s="283"/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'22ndMAY'!E61</f>
        <v/>
      </c>
      <c r="D61" s="191"/>
      <c r="E61" s="247"/>
      <c r="F61" s="235" t="s">
        <v>51</v>
      </c>
      <c r="G61" s="235"/>
      <c r="H61" s="272" t="str">
        <f>'22ndMAY'!J61</f>
        <v/>
      </c>
      <c r="I61" s="281">
        <v>1.0</v>
      </c>
      <c r="J61" s="284"/>
      <c r="K61" s="283"/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'22ndMAY'!E62</f>
        <v/>
      </c>
      <c r="D62" s="191"/>
      <c r="E62" s="247"/>
      <c r="F62" s="235" t="s">
        <v>51</v>
      </c>
      <c r="G62" s="235"/>
      <c r="H62" s="272">
        <f>'22ndMAY'!J62</f>
        <v>0.636</v>
      </c>
      <c r="I62" s="281">
        <v>1.0</v>
      </c>
      <c r="J62" s="282"/>
      <c r="K62" s="283"/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0.579</v>
      </c>
      <c r="N62" s="191"/>
      <c r="O62" s="247"/>
    </row>
    <row r="63">
      <c r="A63" s="12" t="s">
        <v>53</v>
      </c>
      <c r="B63" s="12" t="s">
        <v>35</v>
      </c>
      <c r="C63" s="271" t="str">
        <f>'22ndMAY'!E63</f>
        <v/>
      </c>
      <c r="D63" s="191"/>
      <c r="E63" s="247"/>
      <c r="F63" s="235" t="s">
        <v>35</v>
      </c>
      <c r="G63" s="235"/>
      <c r="H63" s="272">
        <f>'22ndMAY'!J63</f>
        <v>0.921</v>
      </c>
      <c r="I63" s="281">
        <v>1.0</v>
      </c>
      <c r="J63" s="282"/>
      <c r="K63" s="283"/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0.721</v>
      </c>
      <c r="N63" s="191"/>
      <c r="O63" s="247"/>
    </row>
    <row r="64">
      <c r="A64" s="11" t="s">
        <v>55</v>
      </c>
      <c r="B64" s="11" t="s">
        <v>56</v>
      </c>
      <c r="C64" s="271" t="str">
        <f>'22ndMAY'!E64</f>
        <v/>
      </c>
      <c r="D64" s="191"/>
      <c r="E64" s="247"/>
      <c r="F64" s="235" t="s">
        <v>14</v>
      </c>
      <c r="G64" s="235"/>
      <c r="H64" s="272">
        <f>'22ndMAY'!J64</f>
        <v>3.771</v>
      </c>
      <c r="I64" s="281">
        <v>1.0</v>
      </c>
      <c r="J64" s="284"/>
      <c r="K64" s="283"/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3.471</v>
      </c>
      <c r="N64" s="191"/>
      <c r="O64" s="247"/>
    </row>
    <row r="65">
      <c r="A65" s="10" t="s">
        <v>57</v>
      </c>
      <c r="B65" s="11"/>
      <c r="C65" s="271" t="str">
        <f>'22ndMAY'!E65</f>
        <v/>
      </c>
      <c r="D65" s="191"/>
      <c r="E65" s="247"/>
      <c r="F65" s="235"/>
      <c r="G65" s="235"/>
      <c r="H65" s="272" t="str">
        <f>'22ndMAY'!J65</f>
        <v/>
      </c>
      <c r="I65" s="281">
        <v>1.0</v>
      </c>
      <c r="J65" s="284"/>
      <c r="K65" s="283"/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'22ndMAY'!E66</f>
        <v>1</v>
      </c>
      <c r="D66" s="227"/>
      <c r="E66" s="280"/>
      <c r="F66" s="235" t="s">
        <v>35</v>
      </c>
      <c r="G66" s="235"/>
      <c r="H66" s="272" t="str">
        <f>'22ndMAY'!J66</f>
        <v/>
      </c>
      <c r="I66" s="281">
        <v>1.0</v>
      </c>
      <c r="J66" s="282"/>
      <c r="K66" s="283"/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2</v>
      </c>
      <c r="N66" s="191"/>
      <c r="O66" s="247"/>
    </row>
    <row r="67">
      <c r="A67" s="12" t="s">
        <v>61</v>
      </c>
      <c r="B67" s="12" t="s">
        <v>59</v>
      </c>
      <c r="C67" s="271">
        <f>'22ndMAY'!E67</f>
        <v>1</v>
      </c>
      <c r="D67" s="191"/>
      <c r="E67" s="247"/>
      <c r="F67" s="235" t="s">
        <v>35</v>
      </c>
      <c r="G67" s="235"/>
      <c r="H67" s="272">
        <f>'22ndMAY'!J67</f>
        <v>0.093</v>
      </c>
      <c r="I67" s="281">
        <v>1.0</v>
      </c>
      <c r="J67" s="282"/>
      <c r="K67" s="283"/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0.183</v>
      </c>
      <c r="N67" s="191"/>
      <c r="O67" s="247"/>
    </row>
    <row r="68">
      <c r="A68" s="12" t="s">
        <v>62</v>
      </c>
      <c r="B68" s="12" t="s">
        <v>35</v>
      </c>
      <c r="C68" s="271" t="str">
        <f>'22ndMAY'!E68</f>
        <v/>
      </c>
      <c r="D68" s="227"/>
      <c r="E68" s="280"/>
      <c r="F68" s="235" t="s">
        <v>35</v>
      </c>
      <c r="G68" s="235"/>
      <c r="H68" s="272" t="str">
        <f>'22ndMAY'!J68</f>
        <v/>
      </c>
      <c r="I68" s="281">
        <v>1.0</v>
      </c>
      <c r="J68" s="284"/>
      <c r="K68" s="283"/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0</v>
      </c>
      <c r="N68" s="191"/>
      <c r="O68" s="247"/>
    </row>
    <row r="69">
      <c r="A69" s="12" t="s">
        <v>64</v>
      </c>
      <c r="B69" s="12" t="s">
        <v>59</v>
      </c>
      <c r="C69" s="271" t="str">
        <f>'22ndMAY'!E69</f>
        <v/>
      </c>
      <c r="D69" s="227"/>
      <c r="E69" s="247"/>
      <c r="F69" s="235" t="s">
        <v>35</v>
      </c>
      <c r="G69" s="235"/>
      <c r="H69" s="272">
        <f>'22ndMAY'!J69</f>
        <v>0.23</v>
      </c>
      <c r="I69" s="281">
        <v>1.0</v>
      </c>
      <c r="J69" s="282"/>
      <c r="K69" s="283"/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0.18</v>
      </c>
      <c r="N69" s="191"/>
      <c r="O69" s="247"/>
    </row>
    <row r="70">
      <c r="A70" s="10" t="s">
        <v>65</v>
      </c>
      <c r="B70" s="11"/>
      <c r="C70" s="271" t="str">
        <f>'22ndMAY'!E70</f>
        <v/>
      </c>
      <c r="D70" s="191"/>
      <c r="E70" s="247"/>
      <c r="F70" s="235"/>
      <c r="G70" s="235"/>
      <c r="H70" s="272" t="str">
        <f>'22ndMAY'!J70</f>
        <v/>
      </c>
      <c r="I70" s="281">
        <v>1.0</v>
      </c>
      <c r="J70" s="284"/>
      <c r="K70" s="283"/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'22ndMAY'!E71</f>
        <v/>
      </c>
      <c r="D71" s="191"/>
      <c r="E71" s="247"/>
      <c r="F71" s="235" t="s">
        <v>25</v>
      </c>
      <c r="G71" s="285"/>
      <c r="H71" s="272">
        <f>'22ndMAY'!J71</f>
        <v>0.311</v>
      </c>
      <c r="I71" s="281">
        <v>1.0</v>
      </c>
      <c r="J71" s="282"/>
      <c r="K71" s="283"/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-0.499</v>
      </c>
      <c r="N71" s="191"/>
      <c r="O71" s="247"/>
    </row>
    <row r="72">
      <c r="A72" s="12" t="s">
        <v>68</v>
      </c>
      <c r="B72" s="12" t="s">
        <v>35</v>
      </c>
      <c r="C72" s="271" t="str">
        <f>'22ndMAY'!E72</f>
        <v/>
      </c>
      <c r="D72" s="227"/>
      <c r="E72" s="247"/>
      <c r="F72" s="235" t="s">
        <v>35</v>
      </c>
      <c r="G72" s="235"/>
      <c r="H72" s="272">
        <f>'22ndMAY'!J72</f>
        <v>0.56</v>
      </c>
      <c r="I72" s="281">
        <v>1.0</v>
      </c>
      <c r="J72" s="284"/>
      <c r="K72" s="283"/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0.56</v>
      </c>
      <c r="N72" s="191"/>
      <c r="O72" s="247"/>
    </row>
    <row r="73">
      <c r="A73" s="12" t="s">
        <v>70</v>
      </c>
      <c r="B73" s="12" t="s">
        <v>35</v>
      </c>
      <c r="C73" s="271" t="str">
        <f>'22ndMAY'!E73</f>
        <v/>
      </c>
      <c r="D73" s="191"/>
      <c r="E73" s="247"/>
      <c r="F73" s="235" t="s">
        <v>35</v>
      </c>
      <c r="G73" s="235"/>
      <c r="H73" s="272">
        <f>'22ndMAY'!J73</f>
        <v>0.56</v>
      </c>
      <c r="I73" s="281">
        <v>1.0</v>
      </c>
      <c r="J73" s="284"/>
      <c r="K73" s="283"/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0.56</v>
      </c>
      <c r="N73" s="191"/>
      <c r="O73" s="247"/>
    </row>
    <row r="74">
      <c r="A74" s="12" t="s">
        <v>71</v>
      </c>
      <c r="B74" s="12" t="s">
        <v>72</v>
      </c>
      <c r="C74" s="271" t="str">
        <f>'22ndMAY'!E74</f>
        <v/>
      </c>
      <c r="D74" s="227"/>
      <c r="E74" s="247"/>
      <c r="F74" s="235" t="s">
        <v>25</v>
      </c>
      <c r="G74" s="235"/>
      <c r="H74" s="272" t="str">
        <f>'22ndMAY'!J74</f>
        <v/>
      </c>
      <c r="I74" s="281">
        <v>1.0</v>
      </c>
      <c r="J74" s="282"/>
      <c r="K74" s="283"/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0</v>
      </c>
      <c r="N74" s="191"/>
      <c r="O74" s="247"/>
    </row>
    <row r="75">
      <c r="A75" s="12" t="s">
        <v>74</v>
      </c>
      <c r="B75" s="12" t="s">
        <v>17</v>
      </c>
      <c r="C75" s="271" t="str">
        <f>'22ndMAY'!E75</f>
        <v/>
      </c>
      <c r="D75" s="191"/>
      <c r="E75" s="247"/>
      <c r="F75" s="235" t="s">
        <v>25</v>
      </c>
      <c r="G75" s="235"/>
      <c r="H75" s="272">
        <f>'22ndMAY'!J75</f>
        <v>0.781</v>
      </c>
      <c r="I75" s="281">
        <v>1.0</v>
      </c>
      <c r="J75" s="284"/>
      <c r="K75" s="283"/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0.601</v>
      </c>
      <c r="N75" s="191"/>
      <c r="O75" s="247"/>
    </row>
    <row r="76">
      <c r="A76" s="12" t="s">
        <v>76</v>
      </c>
      <c r="B76" s="12" t="s">
        <v>72</v>
      </c>
      <c r="C76" s="271" t="str">
        <f>'22ndMAY'!E76</f>
        <v/>
      </c>
      <c r="D76" s="191"/>
      <c r="E76" s="247"/>
      <c r="F76" s="235" t="s">
        <v>35</v>
      </c>
      <c r="G76" s="235"/>
      <c r="H76" s="272">
        <f>'22ndMAY'!J76</f>
        <v>1</v>
      </c>
      <c r="I76" s="281">
        <v>1.0</v>
      </c>
      <c r="J76" s="284"/>
      <c r="K76" s="283"/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0.938</v>
      </c>
      <c r="N76" s="191"/>
      <c r="O76" s="247"/>
    </row>
    <row r="77">
      <c r="A77" s="12" t="s">
        <v>77</v>
      </c>
      <c r="B77" s="12" t="s">
        <v>78</v>
      </c>
      <c r="C77" s="271" t="str">
        <f>'22ndMAY'!E77</f>
        <v/>
      </c>
      <c r="D77" s="191"/>
      <c r="E77" s="247"/>
      <c r="F77" s="235" t="s">
        <v>25</v>
      </c>
      <c r="G77" s="235"/>
      <c r="H77" s="272">
        <f>'22ndMAY'!J77</f>
        <v>0.742</v>
      </c>
      <c r="I77" s="281">
        <v>1.0</v>
      </c>
      <c r="J77" s="284"/>
      <c r="K77" s="283"/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0.662</v>
      </c>
      <c r="N77" s="191"/>
      <c r="O77" s="247"/>
    </row>
    <row r="78">
      <c r="A78" s="12" t="s">
        <v>80</v>
      </c>
      <c r="B78" s="12" t="s">
        <v>56</v>
      </c>
      <c r="C78" s="271" t="str">
        <f>'22ndMAY'!E78</f>
        <v/>
      </c>
      <c r="D78" s="191"/>
      <c r="E78" s="247"/>
      <c r="F78" s="235" t="s">
        <v>35</v>
      </c>
      <c r="G78" s="235"/>
      <c r="H78" s="272" t="str">
        <f>'22ndMAY'!J78</f>
        <v/>
      </c>
      <c r="I78" s="281">
        <v>1.0</v>
      </c>
      <c r="J78" s="284"/>
      <c r="K78" s="283"/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'22ndMAY'!E79</f>
        <v/>
      </c>
      <c r="D79" s="191"/>
      <c r="E79" s="247"/>
      <c r="F79" s="235" t="s">
        <v>35</v>
      </c>
      <c r="G79" s="235"/>
      <c r="H79" s="272">
        <f>'22ndMAY'!J79</f>
        <v>1</v>
      </c>
      <c r="I79" s="281">
        <v>1.0</v>
      </c>
      <c r="J79" s="282"/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0.82</v>
      </c>
      <c r="N79" s="191"/>
      <c r="O79" s="247"/>
    </row>
    <row r="80">
      <c r="A80" s="10" t="s">
        <v>85</v>
      </c>
      <c r="B80" s="11"/>
      <c r="C80" s="271" t="str">
        <f>'22ndMAY'!E80</f>
        <v/>
      </c>
      <c r="D80" s="191"/>
      <c r="E80" s="247"/>
      <c r="F80" s="235"/>
      <c r="G80" s="235"/>
      <c r="H80" s="272" t="str">
        <f>'22ndMAY'!J80</f>
        <v/>
      </c>
      <c r="I80" s="281">
        <v>1.0</v>
      </c>
      <c r="J80" s="284"/>
      <c r="K80" s="283"/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'22ndMAY'!E81</f>
        <v/>
      </c>
      <c r="D81" s="191"/>
      <c r="E81" s="247"/>
      <c r="F81" s="235" t="s">
        <v>25</v>
      </c>
      <c r="G81" s="235"/>
      <c r="H81" s="272" t="str">
        <f>'22ndMAY'!J81</f>
        <v/>
      </c>
      <c r="I81" s="281">
        <v>1.0</v>
      </c>
      <c r="J81" s="282"/>
      <c r="K81" s="283"/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</v>
      </c>
      <c r="N81" s="191"/>
      <c r="O81" s="247"/>
    </row>
    <row r="82">
      <c r="A82" s="12" t="s">
        <v>87</v>
      </c>
      <c r="B82" s="12" t="s">
        <v>83</v>
      </c>
      <c r="C82" s="271">
        <f>'22ndMAY'!E82</f>
        <v>1</v>
      </c>
      <c r="D82" s="227"/>
      <c r="E82" s="280"/>
      <c r="F82" s="235" t="s">
        <v>25</v>
      </c>
      <c r="G82" s="235"/>
      <c r="H82" s="272">
        <f>'22ndMAY'!J82</f>
        <v>0.143</v>
      </c>
      <c r="I82" s="281">
        <v>1.0</v>
      </c>
      <c r="J82" s="282"/>
      <c r="K82" s="283"/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0.166</v>
      </c>
      <c r="N82" s="191"/>
      <c r="O82" s="247"/>
    </row>
    <row r="83">
      <c r="A83" s="12" t="s">
        <v>88</v>
      </c>
      <c r="B83" s="12" t="s">
        <v>83</v>
      </c>
      <c r="C83" s="271" t="str">
        <f>'22ndMAY'!E83</f>
        <v/>
      </c>
      <c r="D83" s="191"/>
      <c r="E83" s="247"/>
      <c r="F83" s="235" t="s">
        <v>25</v>
      </c>
      <c r="G83" s="235"/>
      <c r="H83" s="272">
        <f>'22ndMAY'!J83</f>
        <v>0.734</v>
      </c>
      <c r="I83" s="281">
        <v>1.0</v>
      </c>
      <c r="J83" s="282"/>
      <c r="K83" s="283"/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0.234</v>
      </c>
      <c r="N83" s="191"/>
      <c r="O83" s="247"/>
    </row>
    <row r="84">
      <c r="A84" s="12" t="s">
        <v>89</v>
      </c>
      <c r="B84" s="12" t="s">
        <v>83</v>
      </c>
      <c r="C84" s="271" t="str">
        <f>'22ndMAY'!E84</f>
        <v/>
      </c>
      <c r="D84" s="191"/>
      <c r="E84" s="280"/>
      <c r="F84" s="235" t="s">
        <v>25</v>
      </c>
      <c r="G84" s="235"/>
      <c r="H84" s="272">
        <f>'22ndMAY'!J84</f>
        <v>0.667</v>
      </c>
      <c r="I84" s="281">
        <v>1.0</v>
      </c>
      <c r="J84" s="284"/>
      <c r="K84" s="283"/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0.374</v>
      </c>
      <c r="N84" s="191"/>
      <c r="O84" s="247"/>
    </row>
    <row r="85">
      <c r="A85" s="12" t="s">
        <v>90</v>
      </c>
      <c r="B85" s="12" t="s">
        <v>24</v>
      </c>
      <c r="C85" s="271" t="str">
        <f>'22ndMAY'!E85</f>
        <v/>
      </c>
      <c r="D85" s="191"/>
      <c r="E85" s="280"/>
      <c r="F85" s="235" t="s">
        <v>25</v>
      </c>
      <c r="G85" s="235"/>
      <c r="H85" s="272">
        <f>'22ndMAY'!J85</f>
        <v>0.288</v>
      </c>
      <c r="I85" s="281">
        <v>1.0</v>
      </c>
      <c r="J85" s="284"/>
      <c r="K85" s="283"/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0.226</v>
      </c>
      <c r="N85" s="191"/>
      <c r="O85" s="247"/>
    </row>
    <row r="86">
      <c r="A86" s="12" t="s">
        <v>91</v>
      </c>
      <c r="B86" s="12" t="s">
        <v>56</v>
      </c>
      <c r="C86" s="271" t="str">
        <f>'22ndMAY'!E86</f>
        <v/>
      </c>
      <c r="D86" s="227"/>
      <c r="E86" s="280"/>
      <c r="F86" s="235" t="s">
        <v>25</v>
      </c>
      <c r="G86" s="235"/>
      <c r="H86" s="272">
        <f>'22ndMAY'!J86</f>
        <v>2.824</v>
      </c>
      <c r="I86" s="281">
        <v>1.0</v>
      </c>
      <c r="J86" s="284"/>
      <c r="K86" s="283"/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2.704</v>
      </c>
      <c r="N86" s="191"/>
      <c r="O86" s="247"/>
    </row>
    <row r="87">
      <c r="A87" s="12" t="s">
        <v>92</v>
      </c>
      <c r="B87" s="12" t="s">
        <v>83</v>
      </c>
      <c r="C87" s="271" t="str">
        <f>'22ndMAY'!E87</f>
        <v/>
      </c>
      <c r="D87" s="191"/>
      <c r="E87" s="247"/>
      <c r="F87" s="235" t="s">
        <v>25</v>
      </c>
      <c r="G87" s="235"/>
      <c r="H87" s="272">
        <f>'22ndMAY'!J87</f>
        <v>0.751</v>
      </c>
      <c r="I87" s="281">
        <v>1.0</v>
      </c>
      <c r="J87" s="284"/>
      <c r="K87" s="283"/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0.051</v>
      </c>
      <c r="N87" s="191"/>
      <c r="O87" s="247"/>
    </row>
    <row r="88">
      <c r="A88" s="12" t="s">
        <v>93</v>
      </c>
      <c r="B88" s="12" t="s">
        <v>83</v>
      </c>
      <c r="C88" s="271" t="str">
        <f>'22ndMAY'!E88</f>
        <v/>
      </c>
      <c r="D88" s="191"/>
      <c r="E88" s="247"/>
      <c r="F88" s="235" t="s">
        <v>25</v>
      </c>
      <c r="G88" s="235"/>
      <c r="H88" s="272">
        <f>'22ndMAY'!J88</f>
        <v>0.661</v>
      </c>
      <c r="I88" s="281">
        <v>1.0</v>
      </c>
      <c r="J88" s="282"/>
      <c r="K88" s="283"/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0.241</v>
      </c>
      <c r="N88" s="191"/>
      <c r="O88" s="247"/>
    </row>
    <row r="89">
      <c r="A89" s="12" t="s">
        <v>95</v>
      </c>
      <c r="B89" s="12" t="s">
        <v>83</v>
      </c>
      <c r="C89" s="271" t="str">
        <f>'22ndMAY'!E89</f>
        <v/>
      </c>
      <c r="D89" s="191"/>
      <c r="E89" s="247"/>
      <c r="F89" s="235" t="s">
        <v>25</v>
      </c>
      <c r="G89" s="235"/>
      <c r="H89" s="272">
        <f>'22ndMAY'!J89</f>
        <v>0.974</v>
      </c>
      <c r="I89" s="281">
        <v>1.0</v>
      </c>
      <c r="J89" s="284"/>
      <c r="K89" s="283"/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0.554</v>
      </c>
      <c r="N89" s="191"/>
      <c r="O89" s="247"/>
    </row>
    <row r="90">
      <c r="A90" s="10" t="s">
        <v>96</v>
      </c>
      <c r="B90" s="11"/>
      <c r="C90" s="271" t="str">
        <f>'22ndMAY'!E90</f>
        <v/>
      </c>
      <c r="D90" s="191"/>
      <c r="E90" s="247"/>
      <c r="F90" s="235"/>
      <c r="G90" s="235"/>
      <c r="H90" s="272" t="str">
        <f>'22ndMAY'!J90</f>
        <v/>
      </c>
      <c r="I90" s="281">
        <v>1.0</v>
      </c>
      <c r="J90" s="284"/>
      <c r="K90" s="283"/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'22ndMAY'!E91</f>
        <v/>
      </c>
      <c r="D91" s="191"/>
      <c r="E91" s="247"/>
      <c r="F91" s="235" t="s">
        <v>35</v>
      </c>
      <c r="G91" s="235"/>
      <c r="H91" s="272" t="str">
        <f>'22ndMAY'!J91</f>
        <v/>
      </c>
      <c r="I91" s="281">
        <v>1.0</v>
      </c>
      <c r="J91" s="284"/>
      <c r="K91" s="283"/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'22ndMAY'!E92</f>
        <v/>
      </c>
      <c r="D92" s="191"/>
      <c r="E92" s="247"/>
      <c r="F92" s="235" t="s">
        <v>35</v>
      </c>
      <c r="G92" s="235"/>
      <c r="H92" s="272">
        <f>'22ndMAY'!J92</f>
        <v>0.698</v>
      </c>
      <c r="I92" s="281">
        <v>1.0</v>
      </c>
      <c r="J92" s="282"/>
      <c r="K92" s="283"/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0.692</v>
      </c>
      <c r="N92" s="191"/>
      <c r="O92" s="247"/>
    </row>
    <row r="93">
      <c r="A93" s="12" t="s">
        <v>100</v>
      </c>
      <c r="B93" s="12" t="s">
        <v>40</v>
      </c>
      <c r="C93" s="271" t="str">
        <f>'22ndMAY'!E93</f>
        <v/>
      </c>
      <c r="D93" s="191"/>
      <c r="E93" s="247"/>
      <c r="F93" s="235" t="s">
        <v>35</v>
      </c>
      <c r="G93" s="235"/>
      <c r="H93" s="272">
        <f>'22ndMAY'!J93</f>
        <v>0.125</v>
      </c>
      <c r="I93" s="281">
        <v>1.0</v>
      </c>
      <c r="J93" s="282"/>
      <c r="K93" s="283"/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0.108</v>
      </c>
      <c r="N93" s="191"/>
      <c r="O93" s="247"/>
    </row>
    <row r="94">
      <c r="A94" s="12" t="s">
        <v>101</v>
      </c>
      <c r="B94" s="12" t="s">
        <v>40</v>
      </c>
      <c r="C94" s="271" t="str">
        <f>'22ndMAY'!E94</f>
        <v/>
      </c>
      <c r="D94" s="191"/>
      <c r="E94" s="247"/>
      <c r="F94" s="235" t="s">
        <v>35</v>
      </c>
      <c r="G94" s="235"/>
      <c r="H94" s="272" t="str">
        <f>'22ndMAY'!J94</f>
        <v/>
      </c>
      <c r="I94" s="281">
        <v>1.0</v>
      </c>
      <c r="J94" s="284"/>
      <c r="K94" s="283"/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'22ndMAY'!E95</f>
        <v/>
      </c>
      <c r="D95" s="191"/>
      <c r="E95" s="247"/>
      <c r="F95" s="235" t="s">
        <v>35</v>
      </c>
      <c r="G95" s="235"/>
      <c r="H95" s="272" t="str">
        <f>'22ndMAY'!J95</f>
        <v/>
      </c>
      <c r="I95" s="281">
        <v>1.0</v>
      </c>
      <c r="J95" s="282"/>
      <c r="K95" s="283"/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</v>
      </c>
      <c r="N95" s="191"/>
      <c r="O95" s="247"/>
    </row>
    <row r="96">
      <c r="A96" s="12" t="s">
        <v>103</v>
      </c>
      <c r="B96" s="12" t="s">
        <v>40</v>
      </c>
      <c r="C96" s="271" t="str">
        <f>'22ndMAY'!E96</f>
        <v/>
      </c>
      <c r="D96" s="191"/>
      <c r="E96" s="247"/>
      <c r="F96" s="235" t="s">
        <v>35</v>
      </c>
      <c r="G96" s="235"/>
      <c r="H96" s="272">
        <f>'22ndMAY'!J96</f>
        <v>0.303</v>
      </c>
      <c r="I96" s="281">
        <v>1.0</v>
      </c>
      <c r="J96" s="282"/>
      <c r="K96" s="283"/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0.299</v>
      </c>
      <c r="N96" s="191"/>
      <c r="O96" s="247"/>
    </row>
    <row r="97">
      <c r="A97" s="12" t="s">
        <v>104</v>
      </c>
      <c r="B97" s="12" t="s">
        <v>40</v>
      </c>
      <c r="C97" s="271" t="str">
        <f>'22ndMAY'!E97</f>
        <v/>
      </c>
      <c r="D97" s="191"/>
      <c r="E97" s="247"/>
      <c r="F97" s="235" t="s">
        <v>35</v>
      </c>
      <c r="G97" s="235"/>
      <c r="H97" s="272" t="str">
        <f>'22ndMAY'!J97</f>
        <v/>
      </c>
      <c r="I97" s="281">
        <v>1.0</v>
      </c>
      <c r="J97" s="284"/>
      <c r="K97" s="283"/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'22ndMAY'!E98</f>
        <v/>
      </c>
      <c r="D98" s="191"/>
      <c r="E98" s="247"/>
      <c r="F98" s="235" t="s">
        <v>35</v>
      </c>
      <c r="G98" s="235"/>
      <c r="H98" s="272">
        <f>'22ndMAY'!J98</f>
        <v>0.273</v>
      </c>
      <c r="I98" s="281">
        <v>1.0</v>
      </c>
      <c r="J98" s="282"/>
      <c r="K98" s="283"/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0.166</v>
      </c>
      <c r="N98" s="191"/>
      <c r="O98" s="247"/>
    </row>
    <row r="99">
      <c r="A99" s="12" t="s">
        <v>108</v>
      </c>
      <c r="B99" s="12" t="s">
        <v>40</v>
      </c>
      <c r="C99" s="271" t="str">
        <f>'22ndMAY'!E99</f>
        <v/>
      </c>
      <c r="D99" s="191"/>
      <c r="E99" s="247"/>
      <c r="F99" s="235" t="s">
        <v>35</v>
      </c>
      <c r="G99" s="235"/>
      <c r="H99" s="272">
        <f>'22ndMAY'!J99</f>
        <v>0.218</v>
      </c>
      <c r="I99" s="281">
        <v>1.0</v>
      </c>
      <c r="J99" s="284"/>
      <c r="K99" s="283"/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0.214</v>
      </c>
      <c r="N99" s="191"/>
      <c r="O99" s="247"/>
    </row>
    <row r="100">
      <c r="A100" s="12" t="s">
        <v>109</v>
      </c>
      <c r="B100" s="12" t="s">
        <v>40</v>
      </c>
      <c r="C100" s="271" t="str">
        <f>'22ndMAY'!E100</f>
        <v/>
      </c>
      <c r="D100" s="191"/>
      <c r="E100" s="247"/>
      <c r="F100" s="235" t="s">
        <v>35</v>
      </c>
      <c r="G100" s="235"/>
      <c r="H100" s="272">
        <f>'22ndMAY'!J100</f>
        <v>0.233</v>
      </c>
      <c r="I100" s="281">
        <v>1.0</v>
      </c>
      <c r="J100" s="282"/>
      <c r="K100" s="283"/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0.222</v>
      </c>
      <c r="N100" s="191"/>
      <c r="O100" s="247"/>
    </row>
    <row r="101">
      <c r="A101" s="12" t="s">
        <v>110</v>
      </c>
      <c r="B101" s="12" t="s">
        <v>40</v>
      </c>
      <c r="C101" s="271" t="str">
        <f>'22ndMAY'!E101</f>
        <v/>
      </c>
      <c r="D101" s="191"/>
      <c r="E101" s="247"/>
      <c r="F101" s="235" t="s">
        <v>35</v>
      </c>
      <c r="G101" s="235"/>
      <c r="H101" s="272">
        <f>'22ndMAY'!J101</f>
        <v>0.505</v>
      </c>
      <c r="I101" s="281">
        <v>1.0</v>
      </c>
      <c r="J101" s="282"/>
      <c r="K101" s="283"/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0.499</v>
      </c>
      <c r="N101" s="191"/>
      <c r="O101" s="247"/>
    </row>
    <row r="102">
      <c r="A102" s="12" t="s">
        <v>111</v>
      </c>
      <c r="B102" s="12" t="s">
        <v>40</v>
      </c>
      <c r="C102" s="271" t="str">
        <f>'22ndMAY'!E102</f>
        <v/>
      </c>
      <c r="D102" s="191"/>
      <c r="E102" s="247"/>
      <c r="F102" s="235" t="s">
        <v>35</v>
      </c>
      <c r="G102" s="235"/>
      <c r="H102" s="272" t="str">
        <f>'22ndMAY'!J102</f>
        <v/>
      </c>
      <c r="I102" s="281">
        <v>1.0</v>
      </c>
      <c r="J102" s="284"/>
      <c r="K102" s="283"/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 t="str">
        <f>'22ndMAY'!E103</f>
        <v/>
      </c>
      <c r="D103" s="191"/>
      <c r="E103" s="247"/>
      <c r="F103" s="235" t="s">
        <v>35</v>
      </c>
      <c r="G103" s="235"/>
      <c r="H103" s="272">
        <f>'22ndMAY'!J103</f>
        <v>0.121</v>
      </c>
      <c r="I103" s="281">
        <v>1.0</v>
      </c>
      <c r="J103" s="282"/>
      <c r="K103" s="283"/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0.108</v>
      </c>
      <c r="N103" s="191"/>
      <c r="O103" s="247"/>
    </row>
    <row r="104">
      <c r="A104" s="12" t="s">
        <v>114</v>
      </c>
      <c r="B104" s="12" t="s">
        <v>40</v>
      </c>
      <c r="C104" s="271" t="str">
        <f>'22ndMAY'!E104</f>
        <v/>
      </c>
      <c r="D104" s="191"/>
      <c r="E104" s="247"/>
      <c r="F104" s="235" t="s">
        <v>35</v>
      </c>
      <c r="G104" s="285"/>
      <c r="H104" s="272">
        <f>'22ndMAY'!J104</f>
        <v>0.254</v>
      </c>
      <c r="I104" s="281">
        <v>1.0</v>
      </c>
      <c r="J104" s="282"/>
      <c r="K104" s="283"/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0.241</v>
      </c>
      <c r="N104" s="191"/>
      <c r="O104" s="247"/>
    </row>
    <row r="105">
      <c r="A105" s="12" t="s">
        <v>116</v>
      </c>
      <c r="B105" s="12" t="s">
        <v>40</v>
      </c>
      <c r="C105" s="271" t="str">
        <f>'22ndMAY'!E105</f>
        <v/>
      </c>
      <c r="D105" s="191"/>
      <c r="E105" s="247"/>
      <c r="F105" s="235" t="s">
        <v>35</v>
      </c>
      <c r="G105" s="235"/>
      <c r="H105" s="272" t="str">
        <f>'22ndMAY'!J105</f>
        <v/>
      </c>
      <c r="I105" s="281">
        <v>1.0</v>
      </c>
      <c r="J105" s="284"/>
      <c r="K105" s="283"/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'22ndMAY'!E106</f>
        <v/>
      </c>
      <c r="D106" s="191"/>
      <c r="E106" s="247"/>
      <c r="F106" s="235" t="s">
        <v>35</v>
      </c>
      <c r="G106" s="285"/>
      <c r="H106" s="272">
        <f>'22ndMAY'!J106</f>
        <v>0.837</v>
      </c>
      <c r="I106" s="281">
        <v>1.0</v>
      </c>
      <c r="J106" s="282"/>
      <c r="K106" s="283"/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0.824</v>
      </c>
      <c r="N106" s="191"/>
      <c r="O106" s="247"/>
    </row>
    <row r="107">
      <c r="A107" s="12" t="s">
        <v>118</v>
      </c>
      <c r="B107" s="12" t="s">
        <v>40</v>
      </c>
      <c r="C107" s="271" t="str">
        <f>'22ndMAY'!E107</f>
        <v/>
      </c>
      <c r="D107" s="191"/>
      <c r="E107" s="247"/>
      <c r="F107" s="235" t="s">
        <v>35</v>
      </c>
      <c r="G107" s="235"/>
      <c r="H107" s="272">
        <f>'22ndMAY'!J107</f>
        <v>0.32</v>
      </c>
      <c r="I107" s="281">
        <v>1.0</v>
      </c>
      <c r="J107" s="284"/>
      <c r="K107" s="283"/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0.307</v>
      </c>
      <c r="N107" s="191"/>
      <c r="O107" s="247"/>
    </row>
    <row r="108">
      <c r="A108" s="12" t="s">
        <v>119</v>
      </c>
      <c r="B108" s="12" t="s">
        <v>40</v>
      </c>
      <c r="C108" s="271" t="str">
        <f>'22ndMAY'!E108</f>
        <v/>
      </c>
      <c r="D108" s="191"/>
      <c r="E108" s="247"/>
      <c r="F108" s="235" t="s">
        <v>35</v>
      </c>
      <c r="G108" s="235"/>
      <c r="H108" s="272">
        <f>'22ndMAY'!J108</f>
        <v>0.648</v>
      </c>
      <c r="I108" s="281">
        <v>1.0</v>
      </c>
      <c r="J108" s="284"/>
      <c r="K108" s="283"/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0.635</v>
      </c>
      <c r="N108" s="191"/>
      <c r="O108" s="247"/>
    </row>
    <row r="109">
      <c r="A109" s="12" t="s">
        <v>120</v>
      </c>
      <c r="B109" s="12" t="s">
        <v>40</v>
      </c>
      <c r="C109" s="271" t="str">
        <f>'22ndMAY'!E109</f>
        <v/>
      </c>
      <c r="D109" s="191"/>
      <c r="E109" s="247"/>
      <c r="F109" s="235" t="s">
        <v>35</v>
      </c>
      <c r="G109" s="235"/>
      <c r="H109" s="272">
        <f>'22ndMAY'!J109</f>
        <v>0.11</v>
      </c>
      <c r="I109" s="281">
        <v>1.0</v>
      </c>
      <c r="J109" s="282"/>
      <c r="K109" s="283"/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0.097</v>
      </c>
      <c r="N109" s="191"/>
      <c r="O109" s="247"/>
    </row>
    <row r="110">
      <c r="A110" s="12" t="s">
        <v>121</v>
      </c>
      <c r="B110" s="12" t="s">
        <v>40</v>
      </c>
      <c r="C110" s="271" t="str">
        <f>'22ndMAY'!E110</f>
        <v/>
      </c>
      <c r="D110" s="191"/>
      <c r="E110" s="247"/>
      <c r="F110" s="235" t="s">
        <v>35</v>
      </c>
      <c r="G110" s="235"/>
      <c r="H110" s="272">
        <f>'22ndMAY'!J110</f>
        <v>0.98</v>
      </c>
      <c r="I110" s="281">
        <v>1.0</v>
      </c>
      <c r="J110" s="284"/>
      <c r="K110" s="283"/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0.967</v>
      </c>
      <c r="N110" s="191"/>
      <c r="O110" s="247"/>
    </row>
    <row r="111">
      <c r="A111" s="12" t="s">
        <v>122</v>
      </c>
      <c r="B111" s="12" t="s">
        <v>40</v>
      </c>
      <c r="C111" s="271" t="str">
        <f>'22ndMAY'!E111</f>
        <v/>
      </c>
      <c r="D111" s="191"/>
      <c r="E111" s="247"/>
      <c r="F111" s="235" t="s">
        <v>35</v>
      </c>
      <c r="G111" s="235"/>
      <c r="H111" s="272" t="str">
        <f>'22ndMAY'!J111</f>
        <v/>
      </c>
      <c r="I111" s="281">
        <v>1.0</v>
      </c>
      <c r="J111" s="284"/>
      <c r="K111" s="283"/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'22ndMAY'!E112</f>
        <v/>
      </c>
      <c r="D112" s="191"/>
      <c r="E112" s="247"/>
      <c r="F112" s="235" t="s">
        <v>35</v>
      </c>
      <c r="G112" s="235"/>
      <c r="H112" s="272">
        <f>'22ndMAY'!J112</f>
        <v>0.647</v>
      </c>
      <c r="I112" s="281">
        <v>1.0</v>
      </c>
      <c r="J112" s="282"/>
      <c r="K112" s="283"/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0.634</v>
      </c>
      <c r="N112" s="191"/>
      <c r="O112" s="247"/>
    </row>
    <row r="113">
      <c r="A113" s="12" t="s">
        <v>124</v>
      </c>
      <c r="B113" s="12" t="s">
        <v>40</v>
      </c>
      <c r="C113" s="271" t="str">
        <f>'22ndMAY'!E113</f>
        <v/>
      </c>
      <c r="D113" s="191"/>
      <c r="E113" s="247"/>
      <c r="F113" s="235" t="s">
        <v>35</v>
      </c>
      <c r="G113" s="235"/>
      <c r="H113" s="272">
        <f>'22ndMAY'!J113</f>
        <v>0.633</v>
      </c>
      <c r="I113" s="281">
        <v>1.0</v>
      </c>
      <c r="J113" s="282"/>
      <c r="K113" s="283"/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0.62</v>
      </c>
      <c r="N113" s="191"/>
      <c r="O113" s="247"/>
    </row>
    <row r="114">
      <c r="A114" s="12" t="s">
        <v>125</v>
      </c>
      <c r="B114" s="12" t="s">
        <v>40</v>
      </c>
      <c r="C114" s="271" t="str">
        <f>'22ndMAY'!E114</f>
        <v/>
      </c>
      <c r="D114" s="191"/>
      <c r="E114" s="247"/>
      <c r="F114" s="235" t="s">
        <v>35</v>
      </c>
      <c r="G114" s="235"/>
      <c r="H114" s="272" t="str">
        <f>'22ndMAY'!J114</f>
        <v/>
      </c>
      <c r="I114" s="281">
        <v>1.0</v>
      </c>
      <c r="J114" s="284"/>
      <c r="K114" s="283"/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'22ndMAY'!E115</f>
        <v/>
      </c>
      <c r="D115" s="191"/>
      <c r="E115" s="247"/>
      <c r="F115" s="235" t="s">
        <v>35</v>
      </c>
      <c r="G115" s="235"/>
      <c r="H115" s="272">
        <f>'22ndMAY'!J115</f>
        <v>0.297</v>
      </c>
      <c r="I115" s="281">
        <v>1.0</v>
      </c>
      <c r="J115" s="282"/>
      <c r="K115" s="283"/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0.284</v>
      </c>
      <c r="N115" s="191"/>
      <c r="O115" s="247"/>
    </row>
    <row r="116">
      <c r="A116" s="12" t="s">
        <v>127</v>
      </c>
      <c r="B116" s="12" t="s">
        <v>40</v>
      </c>
      <c r="C116" s="271" t="str">
        <f>'22ndMAY'!E116</f>
        <v/>
      </c>
      <c r="D116" s="191"/>
      <c r="E116" s="247"/>
      <c r="F116" s="235" t="s">
        <v>35</v>
      </c>
      <c r="G116" s="235"/>
      <c r="H116" s="272">
        <f>'22ndMAY'!J116</f>
        <v>0.04</v>
      </c>
      <c r="I116" s="281">
        <v>1.0</v>
      </c>
      <c r="J116" s="282"/>
      <c r="K116" s="283"/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0.027</v>
      </c>
      <c r="N116" s="191"/>
      <c r="O116" s="247"/>
    </row>
    <row r="117">
      <c r="A117" s="12" t="s">
        <v>128</v>
      </c>
      <c r="B117" s="12" t="s">
        <v>40</v>
      </c>
      <c r="C117" s="271" t="str">
        <f>'22ndMAY'!E117</f>
        <v/>
      </c>
      <c r="D117" s="191"/>
      <c r="E117" s="247"/>
      <c r="F117" s="235" t="s">
        <v>35</v>
      </c>
      <c r="G117" s="235"/>
      <c r="H117" s="272">
        <f>'22ndMAY'!J117</f>
        <v>0.028</v>
      </c>
      <c r="I117" s="281">
        <v>1.0</v>
      </c>
      <c r="J117" s="282"/>
      <c r="K117" s="283"/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0.015</v>
      </c>
      <c r="N117" s="191"/>
      <c r="O117" s="247"/>
    </row>
    <row r="118">
      <c r="A118" s="12" t="s">
        <v>129</v>
      </c>
      <c r="B118" s="12" t="s">
        <v>40</v>
      </c>
      <c r="C118" s="271" t="str">
        <f>'22ndMAY'!E118</f>
        <v/>
      </c>
      <c r="D118" s="191"/>
      <c r="E118" s="247"/>
      <c r="F118" s="235" t="s">
        <v>35</v>
      </c>
      <c r="G118" s="235"/>
      <c r="H118" s="272">
        <f>'22ndMAY'!J118</f>
        <v>0.873</v>
      </c>
      <c r="I118" s="281">
        <v>1.0</v>
      </c>
      <c r="J118" s="282"/>
      <c r="K118" s="283"/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0.862</v>
      </c>
      <c r="N118" s="191"/>
      <c r="O118" s="247"/>
    </row>
    <row r="119">
      <c r="A119" s="12" t="s">
        <v>130</v>
      </c>
      <c r="B119" s="12" t="s">
        <v>40</v>
      </c>
      <c r="C119" s="271" t="str">
        <f>'22ndMAY'!E119</f>
        <v/>
      </c>
      <c r="D119" s="191"/>
      <c r="E119" s="247"/>
      <c r="F119" s="235" t="s">
        <v>35</v>
      </c>
      <c r="G119" s="235"/>
      <c r="H119" s="272">
        <f>'22ndMAY'!J119</f>
        <v>0.261</v>
      </c>
      <c r="I119" s="281">
        <v>1.0</v>
      </c>
      <c r="J119" s="282"/>
      <c r="K119" s="283"/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0.25</v>
      </c>
      <c r="N119" s="191"/>
      <c r="O119" s="247"/>
    </row>
    <row r="120">
      <c r="A120" s="12" t="s">
        <v>131</v>
      </c>
      <c r="B120" s="12" t="s">
        <v>40</v>
      </c>
      <c r="C120" s="271" t="str">
        <f>'22ndMAY'!E120</f>
        <v/>
      </c>
      <c r="D120" s="191"/>
      <c r="E120" s="247"/>
      <c r="F120" s="235" t="s">
        <v>35</v>
      </c>
      <c r="G120" s="235"/>
      <c r="H120" s="272" t="str">
        <f>'22ndMAY'!J120</f>
        <v/>
      </c>
      <c r="I120" s="281">
        <v>1.0</v>
      </c>
      <c r="J120" s="282"/>
      <c r="K120" s="283"/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247"/>
    </row>
    <row r="121">
      <c r="A121" s="12" t="s">
        <v>132</v>
      </c>
      <c r="B121" s="12" t="s">
        <v>40</v>
      </c>
      <c r="C121" s="271" t="str">
        <f>'22ndMAY'!E121</f>
        <v/>
      </c>
      <c r="D121" s="191"/>
      <c r="E121" s="247"/>
      <c r="F121" s="235" t="s">
        <v>35</v>
      </c>
      <c r="G121" s="235"/>
      <c r="H121" s="272">
        <f>'22ndMAY'!J121</f>
        <v>0.641</v>
      </c>
      <c r="I121" s="281">
        <v>1.0</v>
      </c>
      <c r="J121" s="282"/>
      <c r="K121" s="283"/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0.63</v>
      </c>
      <c r="N121" s="191"/>
      <c r="O121" s="247"/>
    </row>
    <row r="122">
      <c r="A122" s="12" t="s">
        <v>133</v>
      </c>
      <c r="B122" s="12" t="s">
        <v>40</v>
      </c>
      <c r="C122" s="271">
        <f>'22ndMAY'!E122</f>
        <v>1</v>
      </c>
      <c r="D122" s="191"/>
      <c r="E122" s="247"/>
      <c r="F122" s="235" t="s">
        <v>35</v>
      </c>
      <c r="G122" s="235"/>
      <c r="H122" s="272">
        <f>'22ndMAY'!J122</f>
        <v>0.016</v>
      </c>
      <c r="I122" s="281">
        <v>1.0</v>
      </c>
      <c r="J122" s="282"/>
      <c r="K122" s="283"/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0.106</v>
      </c>
      <c r="N122" s="191"/>
      <c r="O122" s="247"/>
    </row>
    <row r="123">
      <c r="A123" s="12" t="s">
        <v>134</v>
      </c>
      <c r="B123" s="12" t="s">
        <v>40</v>
      </c>
      <c r="C123" s="271" t="str">
        <f>'22ndMAY'!E123</f>
        <v/>
      </c>
      <c r="D123" s="191"/>
      <c r="E123" s="247"/>
      <c r="F123" s="235" t="s">
        <v>35</v>
      </c>
      <c r="G123" s="235"/>
      <c r="H123" s="272" t="str">
        <f>'22ndMAY'!J123</f>
        <v/>
      </c>
      <c r="I123" s="281">
        <v>1.0</v>
      </c>
      <c r="J123" s="284"/>
      <c r="K123" s="283"/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'22ndMAY'!E124</f>
        <v/>
      </c>
      <c r="D124" s="191"/>
      <c r="E124" s="247"/>
      <c r="F124" s="235" t="s">
        <v>35</v>
      </c>
      <c r="G124" s="235"/>
      <c r="H124" s="272" t="str">
        <f>'22ndMAY'!J124</f>
        <v/>
      </c>
      <c r="I124" s="281">
        <v>1.0</v>
      </c>
      <c r="J124" s="284"/>
      <c r="K124" s="283"/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'22ndMAY'!E125</f>
        <v/>
      </c>
      <c r="D125" s="191"/>
      <c r="E125" s="247"/>
      <c r="F125" s="285" t="s">
        <v>35</v>
      </c>
      <c r="G125" s="235"/>
      <c r="H125" s="272" t="str">
        <f>'22ndMAY'!J125</f>
        <v/>
      </c>
      <c r="I125" s="281">
        <v>1.0</v>
      </c>
      <c r="J125" s="284"/>
      <c r="K125" s="283"/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247"/>
    </row>
    <row r="126">
      <c r="A126" s="21" t="s">
        <v>143</v>
      </c>
      <c r="B126" s="15" t="s">
        <v>40</v>
      </c>
      <c r="C126" s="271" t="str">
        <f>'22ndMAY'!E126</f>
        <v/>
      </c>
      <c r="D126" s="191"/>
      <c r="E126" s="247"/>
      <c r="F126" s="285" t="s">
        <v>35</v>
      </c>
      <c r="G126" s="235"/>
      <c r="H126" s="272">
        <f>'22ndMAY'!J126</f>
        <v>0.222</v>
      </c>
      <c r="I126" s="281">
        <v>1.0</v>
      </c>
      <c r="J126" s="284"/>
      <c r="K126" s="283"/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0.202</v>
      </c>
      <c r="N126" s="191"/>
      <c r="O126" s="247"/>
    </row>
    <row r="127">
      <c r="A127" s="10" t="s">
        <v>146</v>
      </c>
      <c r="B127" s="11"/>
      <c r="C127" s="271" t="str">
        <f>'22ndMAY'!E127</f>
        <v/>
      </c>
      <c r="D127" s="191"/>
      <c r="E127" s="247"/>
      <c r="F127" s="235"/>
      <c r="G127" s="235"/>
      <c r="H127" s="272" t="str">
        <f>'22ndMAY'!J127</f>
        <v/>
      </c>
      <c r="I127" s="281">
        <v>1.0</v>
      </c>
      <c r="J127" s="284"/>
      <c r="K127" s="283"/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'22ndMAY'!E128</f>
        <v/>
      </c>
      <c r="D128" s="191"/>
      <c r="E128" s="247"/>
      <c r="F128" s="235" t="s">
        <v>35</v>
      </c>
      <c r="G128" s="235"/>
      <c r="H128" s="272" t="str">
        <f>'22ndMAY'!J128</f>
        <v/>
      </c>
      <c r="I128" s="281">
        <v>1.0</v>
      </c>
      <c r="J128" s="284"/>
      <c r="K128" s="283"/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'22ndMAY'!E129</f>
        <v/>
      </c>
      <c r="D129" s="191"/>
      <c r="E129" s="247"/>
      <c r="F129" s="235" t="s">
        <v>35</v>
      </c>
      <c r="G129" s="235"/>
      <c r="H129" s="272">
        <f>'22ndMAY'!J129</f>
        <v>1.143</v>
      </c>
      <c r="I129" s="281">
        <v>1.0</v>
      </c>
      <c r="J129" s="282"/>
      <c r="K129" s="283"/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1.143</v>
      </c>
      <c r="N129" s="191"/>
      <c r="O129" s="247"/>
    </row>
    <row r="130">
      <c r="A130" s="12" t="s">
        <v>149</v>
      </c>
      <c r="B130" s="12" t="s">
        <v>40</v>
      </c>
      <c r="C130" s="271" t="str">
        <f>'22ndMAY'!E130</f>
        <v/>
      </c>
      <c r="D130" s="191"/>
      <c r="E130" s="247"/>
      <c r="F130" s="235" t="s">
        <v>35</v>
      </c>
      <c r="G130" s="235"/>
      <c r="H130" s="272">
        <f>'22ndMAY'!J130</f>
        <v>0.232</v>
      </c>
      <c r="I130" s="281">
        <v>1.0</v>
      </c>
      <c r="J130" s="282"/>
      <c r="K130" s="283"/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0.132</v>
      </c>
      <c r="N130" s="191"/>
      <c r="O130" s="247"/>
    </row>
    <row r="131">
      <c r="A131" s="12" t="s">
        <v>150</v>
      </c>
      <c r="B131" s="12" t="s">
        <v>24</v>
      </c>
      <c r="C131" s="271" t="str">
        <f>'22ndMAY'!E131</f>
        <v/>
      </c>
      <c r="D131" s="191"/>
      <c r="E131" s="247"/>
      <c r="F131" s="235" t="s">
        <v>25</v>
      </c>
      <c r="G131" s="235"/>
      <c r="H131" s="272" t="str">
        <f>'22ndMAY'!J131</f>
        <v/>
      </c>
      <c r="I131" s="281">
        <v>1.0</v>
      </c>
      <c r="J131" s="284"/>
      <c r="K131" s="283"/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'22ndMAY'!E132</f>
        <v/>
      </c>
      <c r="D132" s="191"/>
      <c r="E132" s="247"/>
      <c r="F132" s="235"/>
      <c r="G132" s="235"/>
      <c r="H132" s="272" t="str">
        <f>'22ndMAY'!J132</f>
        <v/>
      </c>
      <c r="I132" s="281">
        <v>1.0</v>
      </c>
      <c r="J132" s="284"/>
      <c r="K132" s="283"/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'22ndMAY'!E133</f>
        <v/>
      </c>
      <c r="D133" s="227"/>
      <c r="E133" s="247"/>
      <c r="F133" s="235" t="s">
        <v>35</v>
      </c>
      <c r="G133" s="235"/>
      <c r="H133" s="272">
        <f>'22ndMAY'!J133</f>
        <v>0.096</v>
      </c>
      <c r="I133" s="281">
        <v>1.0</v>
      </c>
      <c r="J133" s="284"/>
      <c r="K133" s="283"/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0.06</v>
      </c>
      <c r="N133" s="191"/>
      <c r="O133" s="247"/>
    </row>
    <row r="134">
      <c r="A134" s="12" t="s">
        <v>154</v>
      </c>
      <c r="B134" s="12" t="s">
        <v>155</v>
      </c>
      <c r="C134" s="271" t="str">
        <f>'22ndMAY'!E134</f>
        <v/>
      </c>
      <c r="D134" s="191"/>
      <c r="E134" s="247"/>
      <c r="F134" s="235" t="s">
        <v>35</v>
      </c>
      <c r="G134" s="235"/>
      <c r="H134" s="272" t="str">
        <f>'22ndMAY'!J134</f>
        <v/>
      </c>
      <c r="I134" s="281">
        <v>1.0</v>
      </c>
      <c r="J134" s="284"/>
      <c r="K134" s="283"/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>
        <f>'22ndMAY'!E135</f>
        <v>1</v>
      </c>
      <c r="D135" s="227"/>
      <c r="E135" s="280"/>
      <c r="F135" s="235" t="s">
        <v>35</v>
      </c>
      <c r="G135" s="235"/>
      <c r="H135" s="272">
        <f>'22ndMAY'!J135</f>
        <v>0.352</v>
      </c>
      <c r="I135" s="281">
        <v>1.0</v>
      </c>
      <c r="J135" s="282"/>
      <c r="K135" s="283"/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0.722</v>
      </c>
      <c r="N135" s="191"/>
      <c r="O135" s="247"/>
    </row>
    <row r="136">
      <c r="A136" s="12" t="s">
        <v>158</v>
      </c>
      <c r="B136" s="12" t="s">
        <v>34</v>
      </c>
      <c r="C136" s="271" t="str">
        <f>'22ndMAY'!E136</f>
        <v/>
      </c>
      <c r="D136" s="191"/>
      <c r="E136" s="247"/>
      <c r="F136" s="235" t="s">
        <v>35</v>
      </c>
      <c r="G136" s="235"/>
      <c r="H136" s="272">
        <f>'22ndMAY'!J136</f>
        <v>0.28</v>
      </c>
      <c r="I136" s="281">
        <v>1.0</v>
      </c>
      <c r="J136" s="284"/>
      <c r="K136" s="283"/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0.224</v>
      </c>
      <c r="N136" s="191"/>
      <c r="O136" s="247"/>
    </row>
    <row r="137">
      <c r="A137" s="12" t="s">
        <v>159</v>
      </c>
      <c r="B137" s="12" t="s">
        <v>34</v>
      </c>
      <c r="C137" s="271" t="str">
        <f>'22ndMAY'!E137</f>
        <v/>
      </c>
      <c r="D137" s="191"/>
      <c r="E137" s="247"/>
      <c r="F137" s="235" t="s">
        <v>35</v>
      </c>
      <c r="G137" s="235"/>
      <c r="H137" s="272" t="str">
        <f>'22ndMAY'!J137</f>
        <v/>
      </c>
      <c r="I137" s="281">
        <v>1.0</v>
      </c>
      <c r="J137" s="284"/>
      <c r="K137" s="283"/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'22ndMAY'!E138</f>
        <v/>
      </c>
      <c r="D138" s="191"/>
      <c r="E138" s="247"/>
      <c r="F138" s="235" t="s">
        <v>35</v>
      </c>
      <c r="G138" s="235"/>
      <c r="H138" s="272">
        <f>'22ndMAY'!J138</f>
        <v>0.337</v>
      </c>
      <c r="I138" s="281">
        <v>1.0</v>
      </c>
      <c r="J138" s="282"/>
      <c r="K138" s="283"/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0.103</v>
      </c>
      <c r="N138" s="191"/>
      <c r="O138" s="247"/>
    </row>
    <row r="139">
      <c r="A139" s="12" t="s">
        <v>161</v>
      </c>
      <c r="B139" s="12" t="s">
        <v>34</v>
      </c>
      <c r="C139" s="271" t="str">
        <f>'22ndMAY'!E139</f>
        <v/>
      </c>
      <c r="D139" s="191"/>
      <c r="E139" s="247"/>
      <c r="F139" s="235" t="s">
        <v>35</v>
      </c>
      <c r="G139" s="235"/>
      <c r="H139" s="272">
        <f>'22ndMAY'!J139</f>
        <v>0.49</v>
      </c>
      <c r="I139" s="281">
        <v>1.0</v>
      </c>
      <c r="J139" s="282"/>
      <c r="K139" s="283"/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0.262</v>
      </c>
      <c r="N139" s="191"/>
      <c r="O139" s="247"/>
    </row>
    <row r="140">
      <c r="A140" s="12" t="s">
        <v>162</v>
      </c>
      <c r="B140" s="12" t="s">
        <v>34</v>
      </c>
      <c r="C140" s="271" t="str">
        <f>'22ndMAY'!E140</f>
        <v/>
      </c>
      <c r="D140" s="191"/>
      <c r="E140" s="247"/>
      <c r="F140" s="235" t="s">
        <v>35</v>
      </c>
      <c r="G140" s="235"/>
      <c r="H140" s="272">
        <f>'22ndMAY'!J140</f>
        <v>0.25</v>
      </c>
      <c r="I140" s="281">
        <v>1.0</v>
      </c>
      <c r="J140" s="282"/>
      <c r="K140" s="283"/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0.13</v>
      </c>
      <c r="N140" s="191"/>
      <c r="O140" s="247"/>
    </row>
    <row r="141">
      <c r="A141" s="12" t="s">
        <v>163</v>
      </c>
      <c r="B141" s="12" t="s">
        <v>34</v>
      </c>
      <c r="C141" s="271" t="str">
        <f>'22ndMAY'!E141</f>
        <v/>
      </c>
      <c r="D141" s="191"/>
      <c r="E141" s="247"/>
      <c r="F141" s="235" t="s">
        <v>35</v>
      </c>
      <c r="G141" s="235"/>
      <c r="H141" s="272">
        <f>'22ndMAY'!J141</f>
        <v>0.209</v>
      </c>
      <c r="I141" s="281">
        <v>1.0</v>
      </c>
      <c r="J141" s="282"/>
      <c r="K141" s="283"/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-0.101</v>
      </c>
      <c r="N141" s="191"/>
      <c r="O141" s="247"/>
    </row>
    <row r="142">
      <c r="A142" s="12" t="s">
        <v>164</v>
      </c>
      <c r="B142" s="12" t="s">
        <v>155</v>
      </c>
      <c r="C142" s="271" t="str">
        <f>'22ndMAY'!E142</f>
        <v/>
      </c>
      <c r="D142" s="191"/>
      <c r="E142" s="247"/>
      <c r="F142" s="235" t="s">
        <v>35</v>
      </c>
      <c r="G142" s="235"/>
      <c r="H142" s="272">
        <f>'22ndMAY'!J142</f>
        <v>0.198</v>
      </c>
      <c r="I142" s="281">
        <v>1.0</v>
      </c>
      <c r="J142" s="282"/>
      <c r="K142" s="283"/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0.094</v>
      </c>
      <c r="N142" s="191"/>
      <c r="O142" s="247"/>
    </row>
    <row r="143">
      <c r="A143" s="12" t="s">
        <v>165</v>
      </c>
      <c r="B143" s="12" t="s">
        <v>155</v>
      </c>
      <c r="C143" s="271" t="str">
        <f>'22ndMAY'!E143</f>
        <v/>
      </c>
      <c r="D143" s="191"/>
      <c r="E143" s="247"/>
      <c r="F143" s="235" t="s">
        <v>35</v>
      </c>
      <c r="G143" s="235"/>
      <c r="H143" s="272" t="str">
        <f>'22ndMAY'!J143</f>
        <v/>
      </c>
      <c r="I143" s="281">
        <v>1.0</v>
      </c>
      <c r="J143" s="284"/>
      <c r="K143" s="283"/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'22ndMAY'!E144</f>
        <v/>
      </c>
      <c r="D144" s="191"/>
      <c r="E144" s="247"/>
      <c r="F144" s="235" t="s">
        <v>35</v>
      </c>
      <c r="G144" s="235"/>
      <c r="H144" s="272" t="str">
        <f>'22ndMAY'!J144</f>
        <v/>
      </c>
      <c r="I144" s="281">
        <v>1.0</v>
      </c>
      <c r="J144" s="284"/>
      <c r="K144" s="283"/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</v>
      </c>
      <c r="N144" s="191"/>
      <c r="O144" s="247"/>
    </row>
    <row r="145">
      <c r="A145" s="12" t="s">
        <v>167</v>
      </c>
      <c r="B145" s="12" t="s">
        <v>106</v>
      </c>
      <c r="C145" s="271" t="str">
        <f>'22ndMAY'!E145</f>
        <v/>
      </c>
      <c r="D145" s="191"/>
      <c r="E145" s="247"/>
      <c r="F145" s="235" t="s">
        <v>35</v>
      </c>
      <c r="G145" s="235"/>
      <c r="H145" s="272">
        <f>'22ndMAY'!J145</f>
        <v>0.473</v>
      </c>
      <c r="I145" s="281">
        <v>1.0</v>
      </c>
      <c r="J145" s="282"/>
      <c r="K145" s="283"/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0.418</v>
      </c>
      <c r="N145" s="191"/>
      <c r="O145" s="247"/>
    </row>
    <row r="146">
      <c r="A146" s="12" t="s">
        <v>168</v>
      </c>
      <c r="B146" s="12" t="s">
        <v>17</v>
      </c>
      <c r="C146" s="271">
        <f>'22ndMAY'!E146</f>
        <v>1</v>
      </c>
      <c r="D146" s="227"/>
      <c r="E146" s="247"/>
      <c r="F146" s="235" t="s">
        <v>35</v>
      </c>
      <c r="G146" s="235"/>
      <c r="H146" s="272" t="str">
        <f>'22ndMAY'!J146</f>
        <v/>
      </c>
      <c r="I146" s="281">
        <v>1.0</v>
      </c>
      <c r="J146" s="284"/>
      <c r="K146" s="283"/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0.5</v>
      </c>
      <c r="N146" s="191"/>
      <c r="O146" s="247"/>
    </row>
    <row r="147">
      <c r="A147" s="12" t="s">
        <v>169</v>
      </c>
      <c r="B147" s="12" t="s">
        <v>106</v>
      </c>
      <c r="C147" s="271" t="str">
        <f>'22ndMAY'!E147</f>
        <v/>
      </c>
      <c r="D147" s="191"/>
      <c r="E147" s="247"/>
      <c r="F147" s="235" t="s">
        <v>35</v>
      </c>
      <c r="G147" s="235"/>
      <c r="H147" s="272" t="str">
        <f>'22ndMAY'!J147</f>
        <v/>
      </c>
      <c r="I147" s="281">
        <v>1.0</v>
      </c>
      <c r="J147" s="284"/>
      <c r="K147" s="283"/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'22ndMAY'!E148</f>
        <v/>
      </c>
      <c r="D148" s="191"/>
      <c r="E148" s="247"/>
      <c r="F148" s="235" t="s">
        <v>35</v>
      </c>
      <c r="G148" s="235"/>
      <c r="H148" s="272" t="str">
        <f>'22ndMAY'!J148</f>
        <v/>
      </c>
      <c r="I148" s="281">
        <v>1.0</v>
      </c>
      <c r="J148" s="284"/>
      <c r="K148" s="283"/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 t="str">
        <f>'22ndMAY'!E149</f>
        <v/>
      </c>
      <c r="D149" s="191"/>
      <c r="E149" s="247"/>
      <c r="F149" s="235" t="s">
        <v>14</v>
      </c>
      <c r="G149" s="235"/>
      <c r="H149" s="272">
        <f>'22ndMAY'!J149</f>
        <v>0.199</v>
      </c>
      <c r="I149" s="281">
        <v>1.0</v>
      </c>
      <c r="J149" s="282"/>
      <c r="K149" s="283"/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0.139</v>
      </c>
      <c r="N149" s="191"/>
      <c r="O149" s="247"/>
    </row>
    <row r="150">
      <c r="A150" s="11" t="s">
        <v>173</v>
      </c>
      <c r="B150" s="11" t="s">
        <v>106</v>
      </c>
      <c r="C150" s="271" t="str">
        <f>'22ndMAY'!E150</f>
        <v/>
      </c>
      <c r="D150" s="287"/>
      <c r="E150" s="288"/>
      <c r="F150" s="235" t="s">
        <v>14</v>
      </c>
      <c r="G150" s="289"/>
      <c r="H150" s="272">
        <f>'22ndMAY'!J150</f>
        <v>0.473</v>
      </c>
      <c r="I150" s="281">
        <v>1.0</v>
      </c>
      <c r="J150" s="291"/>
      <c r="K150" s="283"/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0.458</v>
      </c>
      <c r="N150" s="216"/>
      <c r="O150" s="292"/>
    </row>
    <row r="151">
      <c r="A151" s="22" t="s">
        <v>174</v>
      </c>
      <c r="B151" s="23" t="s">
        <v>106</v>
      </c>
      <c r="C151" s="271" t="str">
        <f>'22ndMAY'!E151</f>
        <v/>
      </c>
      <c r="D151" s="216"/>
      <c r="E151" s="288"/>
      <c r="F151" s="235" t="s">
        <v>14</v>
      </c>
      <c r="G151" s="289"/>
      <c r="H151" s="272">
        <f>'22ndMAY'!J151</f>
        <v>0.321</v>
      </c>
      <c r="I151" s="281">
        <v>1.0</v>
      </c>
      <c r="J151" s="291"/>
      <c r="K151" s="283"/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0.206</v>
      </c>
      <c r="N151" s="216"/>
      <c r="O151" s="292"/>
    </row>
    <row r="152">
      <c r="A152" s="10" t="s">
        <v>175</v>
      </c>
      <c r="B152" s="11"/>
      <c r="C152" s="271" t="str">
        <f>'22ndMAY'!E152</f>
        <v/>
      </c>
      <c r="D152" s="191"/>
      <c r="E152" s="247"/>
      <c r="F152" s="235"/>
      <c r="G152" s="235"/>
      <c r="H152" s="272" t="str">
        <f>'22ndMAY'!J152</f>
        <v/>
      </c>
      <c r="I152" s="281">
        <v>1.0</v>
      </c>
      <c r="J152" s="284"/>
      <c r="K152" s="283"/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'22ndMAY'!E153</f>
        <v/>
      </c>
      <c r="D153" s="227"/>
      <c r="E153" s="247"/>
      <c r="F153" s="235" t="s">
        <v>25</v>
      </c>
      <c r="G153" s="235"/>
      <c r="H153" s="272" t="str">
        <f>'22ndMAY'!J153</f>
        <v/>
      </c>
      <c r="I153" s="281">
        <v>1.0</v>
      </c>
      <c r="J153" s="284"/>
      <c r="K153" s="283"/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0</v>
      </c>
      <c r="N153" s="191"/>
      <c r="O153" s="247"/>
    </row>
    <row r="154">
      <c r="A154" s="12" t="s">
        <v>178</v>
      </c>
      <c r="B154" s="12" t="s">
        <v>35</v>
      </c>
      <c r="C154" s="271">
        <f>'22ndMAY'!E154</f>
        <v>12</v>
      </c>
      <c r="D154" s="227"/>
      <c r="E154" s="280"/>
      <c r="F154" s="235" t="s">
        <v>35</v>
      </c>
      <c r="G154" s="235"/>
      <c r="H154" s="272" t="str">
        <f>'22ndMAY'!J154</f>
        <v/>
      </c>
      <c r="I154" s="281">
        <v>1.0</v>
      </c>
      <c r="J154" s="284"/>
      <c r="K154" s="283"/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6</v>
      </c>
      <c r="N154" s="191"/>
      <c r="O154" s="247"/>
    </row>
    <row r="155">
      <c r="A155" s="12" t="s">
        <v>180</v>
      </c>
      <c r="B155" s="12" t="s">
        <v>35</v>
      </c>
      <c r="C155" s="271" t="str">
        <f>'22ndMAY'!E155</f>
        <v/>
      </c>
      <c r="D155" s="191"/>
      <c r="E155" s="247"/>
      <c r="F155" s="235" t="s">
        <v>35</v>
      </c>
      <c r="G155" s="235"/>
      <c r="H155" s="272">
        <f>'22ndMAY'!J155</f>
        <v>0.159</v>
      </c>
      <c r="I155" s="281">
        <v>1.0</v>
      </c>
      <c r="J155" s="284"/>
      <c r="K155" s="283"/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0.147</v>
      </c>
      <c r="N155" s="191"/>
      <c r="O155" s="247"/>
    </row>
    <row r="156">
      <c r="A156" s="12" t="s">
        <v>181</v>
      </c>
      <c r="B156" s="12" t="s">
        <v>35</v>
      </c>
      <c r="C156" s="271" t="str">
        <f>'22ndMAY'!E156</f>
        <v/>
      </c>
      <c r="D156" s="191"/>
      <c r="E156" s="280"/>
      <c r="F156" s="235" t="s">
        <v>35</v>
      </c>
      <c r="G156" s="235"/>
      <c r="H156" s="272">
        <f>'22ndMAY'!J156</f>
        <v>0.735</v>
      </c>
      <c r="I156" s="281">
        <v>1.0</v>
      </c>
      <c r="J156" s="282"/>
      <c r="K156" s="283"/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0.723</v>
      </c>
      <c r="N156" s="191"/>
      <c r="O156" s="247"/>
    </row>
    <row r="157">
      <c r="A157" s="12" t="s">
        <v>182</v>
      </c>
      <c r="B157" s="12" t="s">
        <v>35</v>
      </c>
      <c r="C157" s="271" t="str">
        <f>'22ndMAY'!E157</f>
        <v/>
      </c>
      <c r="D157" s="191"/>
      <c r="E157" s="247"/>
      <c r="F157" s="235" t="s">
        <v>35</v>
      </c>
      <c r="G157" s="285"/>
      <c r="H157" s="272" t="str">
        <f>'22ndMAY'!J157</f>
        <v/>
      </c>
      <c r="I157" s="281">
        <v>1.0</v>
      </c>
      <c r="J157" s="282"/>
      <c r="K157" s="283"/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71" t="str">
        <f>'22ndMAY'!E158</f>
        <v/>
      </c>
      <c r="D158" s="191"/>
      <c r="E158" s="247"/>
      <c r="F158" s="235" t="s">
        <v>14</v>
      </c>
      <c r="G158" s="235"/>
      <c r="H158" s="272" t="str">
        <f>'22ndMAY'!J158</f>
        <v/>
      </c>
      <c r="I158" s="281">
        <v>1.0</v>
      </c>
      <c r="J158" s="284"/>
      <c r="K158" s="283"/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'22ndMAY'!E159</f>
        <v/>
      </c>
      <c r="D159" s="191"/>
      <c r="E159" s="247"/>
      <c r="F159" s="235"/>
      <c r="G159" s="235"/>
      <c r="H159" s="272" t="str">
        <f>'22ndMAY'!J159</f>
        <v/>
      </c>
      <c r="I159" s="281">
        <v>1.0</v>
      </c>
      <c r="J159" s="284"/>
      <c r="K159" s="283"/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'22ndMAY'!E160</f>
        <v/>
      </c>
      <c r="D160" s="191"/>
      <c r="E160" s="247"/>
      <c r="F160" s="235" t="s">
        <v>17</v>
      </c>
      <c r="G160" s="235"/>
      <c r="H160" s="272">
        <f>'22ndMAY'!J160</f>
        <v>3</v>
      </c>
      <c r="I160" s="281">
        <v>1.0</v>
      </c>
      <c r="J160" s="284"/>
      <c r="K160" s="283"/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3</v>
      </c>
      <c r="N160" s="191"/>
      <c r="O160" s="247"/>
    </row>
    <row r="161">
      <c r="A161" s="12" t="s">
        <v>187</v>
      </c>
      <c r="B161" s="12" t="s">
        <v>17</v>
      </c>
      <c r="C161" s="271" t="str">
        <f>'22ndMAY'!E161</f>
        <v/>
      </c>
      <c r="D161" s="227"/>
      <c r="E161" s="247"/>
      <c r="F161" s="235" t="s">
        <v>17</v>
      </c>
      <c r="G161" s="235"/>
      <c r="H161" s="272">
        <f>'22ndMAY'!J161</f>
        <v>3</v>
      </c>
      <c r="I161" s="281">
        <v>1.0</v>
      </c>
      <c r="J161" s="282"/>
      <c r="K161" s="283"/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3</v>
      </c>
      <c r="N161" s="191"/>
      <c r="O161" s="247"/>
    </row>
    <row r="162">
      <c r="A162" s="12" t="s">
        <v>188</v>
      </c>
      <c r="B162" s="12" t="s">
        <v>35</v>
      </c>
      <c r="C162" s="271" t="str">
        <f>'22ndMAY'!E162</f>
        <v/>
      </c>
      <c r="D162" s="227"/>
      <c r="E162" s="247"/>
      <c r="F162" s="235" t="s">
        <v>35</v>
      </c>
      <c r="G162" s="235"/>
      <c r="H162" s="272" t="str">
        <f>'22ndMAY'!J162</f>
        <v/>
      </c>
      <c r="I162" s="281">
        <v>1.0</v>
      </c>
      <c r="J162" s="284"/>
      <c r="K162" s="283"/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0</v>
      </c>
      <c r="N162" s="191"/>
      <c r="O162" s="247"/>
    </row>
    <row r="163">
      <c r="A163" s="12" t="s">
        <v>189</v>
      </c>
      <c r="B163" s="12" t="s">
        <v>17</v>
      </c>
      <c r="C163" s="271" t="str">
        <f>'22ndMAY'!E163</f>
        <v/>
      </c>
      <c r="D163" s="227"/>
      <c r="E163" s="280"/>
      <c r="F163" s="235" t="s">
        <v>17</v>
      </c>
      <c r="G163" s="235"/>
      <c r="H163" s="272">
        <f>'22ndMAY'!J163</f>
        <v>1</v>
      </c>
      <c r="I163" s="281">
        <v>1.0</v>
      </c>
      <c r="J163" s="282"/>
      <c r="K163" s="283"/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1</v>
      </c>
      <c r="N163" s="191"/>
      <c r="O163" s="247"/>
    </row>
    <row r="164">
      <c r="A164" s="12" t="s">
        <v>190</v>
      </c>
      <c r="B164" s="12" t="s">
        <v>17</v>
      </c>
      <c r="C164" s="271" t="str">
        <f>'22ndMAY'!E164</f>
        <v/>
      </c>
      <c r="D164" s="191"/>
      <c r="E164" s="247"/>
      <c r="F164" s="235" t="s">
        <v>17</v>
      </c>
      <c r="G164" s="235"/>
      <c r="H164" s="272" t="str">
        <f>'22ndMAY'!J164</f>
        <v/>
      </c>
      <c r="I164" s="281">
        <v>1.0</v>
      </c>
      <c r="J164" s="284"/>
      <c r="K164" s="283"/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'22ndMAY'!E165</f>
        <v/>
      </c>
      <c r="D165" s="227"/>
      <c r="E165" s="247"/>
      <c r="F165" s="235" t="s">
        <v>35</v>
      </c>
      <c r="G165" s="235"/>
      <c r="H165" s="272" t="str">
        <f>'22ndMAY'!J165</f>
        <v/>
      </c>
      <c r="I165" s="281">
        <v>1.0</v>
      </c>
      <c r="J165" s="284"/>
      <c r="K165" s="283"/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0</v>
      </c>
      <c r="N165" s="191"/>
      <c r="O165" s="247"/>
    </row>
    <row r="166">
      <c r="A166" s="12" t="s">
        <v>192</v>
      </c>
      <c r="B166" s="12" t="s">
        <v>35</v>
      </c>
      <c r="C166" s="271" t="str">
        <f>'22ndMAY'!E166</f>
        <v/>
      </c>
      <c r="D166" s="191"/>
      <c r="E166" s="247"/>
      <c r="F166" s="235" t="s">
        <v>35</v>
      </c>
      <c r="G166" s="285"/>
      <c r="H166" s="272">
        <f>'22ndMAY'!J166</f>
        <v>0.319</v>
      </c>
      <c r="I166" s="281">
        <v>1.0</v>
      </c>
      <c r="J166" s="282"/>
      <c r="K166" s="283"/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0.319</v>
      </c>
      <c r="N166" s="191"/>
      <c r="O166" s="247"/>
    </row>
    <row r="167">
      <c r="A167" s="12" t="s">
        <v>193</v>
      </c>
      <c r="B167" s="12" t="s">
        <v>35</v>
      </c>
      <c r="C167" s="271" t="str">
        <f>'22ndMAY'!E167</f>
        <v/>
      </c>
      <c r="D167" s="227"/>
      <c r="E167" s="247"/>
      <c r="F167" s="235" t="s">
        <v>35</v>
      </c>
      <c r="G167" s="235"/>
      <c r="H167" s="272">
        <f>'22ndMAY'!J167</f>
        <v>0.626</v>
      </c>
      <c r="I167" s="281">
        <v>1.0</v>
      </c>
      <c r="J167" s="282"/>
      <c r="K167" s="283"/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0.626</v>
      </c>
      <c r="N167" s="191"/>
      <c r="O167" s="247"/>
    </row>
    <row r="168">
      <c r="A168" s="12" t="s">
        <v>194</v>
      </c>
      <c r="B168" s="12" t="s">
        <v>17</v>
      </c>
      <c r="C168" s="271" t="str">
        <f>'22ndMAY'!E168</f>
        <v/>
      </c>
      <c r="D168" s="227"/>
      <c r="E168" s="247"/>
      <c r="F168" s="235" t="s">
        <v>17</v>
      </c>
      <c r="G168" s="235"/>
      <c r="H168" s="272" t="str">
        <f>'22ndMAY'!J168</f>
        <v/>
      </c>
      <c r="I168" s="281">
        <v>1.0</v>
      </c>
      <c r="J168" s="284"/>
      <c r="K168" s="283"/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0</v>
      </c>
      <c r="N168" s="191"/>
      <c r="O168" s="247"/>
    </row>
    <row r="169">
      <c r="A169" s="12" t="s">
        <v>195</v>
      </c>
      <c r="B169" s="12" t="s">
        <v>35</v>
      </c>
      <c r="C169" s="271" t="str">
        <f>'22ndMAY'!E169</f>
        <v/>
      </c>
      <c r="D169" s="191"/>
      <c r="E169" s="247"/>
      <c r="F169" s="235" t="s">
        <v>35</v>
      </c>
      <c r="G169" s="235"/>
      <c r="H169" s="272">
        <f>'22ndMAY'!J169</f>
        <v>0.57</v>
      </c>
      <c r="I169" s="281">
        <v>1.0</v>
      </c>
      <c r="J169" s="282"/>
      <c r="K169" s="283"/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0.57</v>
      </c>
      <c r="N169" s="191"/>
      <c r="O169" s="247"/>
    </row>
    <row r="170">
      <c r="A170" s="12" t="s">
        <v>196</v>
      </c>
      <c r="B170" s="12" t="s">
        <v>35</v>
      </c>
      <c r="C170" s="271" t="str">
        <f>'22ndMAY'!E170</f>
        <v/>
      </c>
      <c r="D170" s="191"/>
      <c r="E170" s="247"/>
      <c r="F170" s="235" t="s">
        <v>35</v>
      </c>
      <c r="G170" s="235"/>
      <c r="H170" s="272">
        <f>'22ndMAY'!J170</f>
        <v>0.261</v>
      </c>
      <c r="I170" s="281">
        <v>1.0</v>
      </c>
      <c r="J170" s="282"/>
      <c r="K170" s="283"/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0.261</v>
      </c>
      <c r="N170" s="191"/>
      <c r="O170" s="247"/>
    </row>
    <row r="171">
      <c r="A171" s="12" t="s">
        <v>197</v>
      </c>
      <c r="B171" s="12" t="s">
        <v>35</v>
      </c>
      <c r="C171" s="271" t="str">
        <f>'22ndMAY'!E171</f>
        <v/>
      </c>
      <c r="D171" s="191"/>
      <c r="E171" s="247"/>
      <c r="F171" s="235" t="s">
        <v>35</v>
      </c>
      <c r="G171" s="285"/>
      <c r="H171" s="272">
        <f>'22ndMAY'!J171</f>
        <v>0.327</v>
      </c>
      <c r="I171" s="281">
        <v>1.0</v>
      </c>
      <c r="J171" s="282"/>
      <c r="K171" s="283"/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0.327</v>
      </c>
      <c r="N171" s="191"/>
      <c r="O171" s="247"/>
    </row>
    <row r="172">
      <c r="A172" s="12" t="s">
        <v>198</v>
      </c>
      <c r="B172" s="12" t="s">
        <v>35</v>
      </c>
      <c r="C172" s="271" t="str">
        <f>'22ndMAY'!E172</f>
        <v/>
      </c>
      <c r="D172" s="227"/>
      <c r="E172" s="247"/>
      <c r="F172" s="235" t="s">
        <v>35</v>
      </c>
      <c r="G172" s="235"/>
      <c r="H172" s="272" t="str">
        <f>'22ndMAY'!J172</f>
        <v/>
      </c>
      <c r="I172" s="281">
        <v>1.0</v>
      </c>
      <c r="J172" s="282"/>
      <c r="K172" s="283"/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0</v>
      </c>
      <c r="N172" s="191"/>
      <c r="O172" s="247"/>
    </row>
    <row r="173">
      <c r="A173" s="12" t="s">
        <v>199</v>
      </c>
      <c r="B173" s="12" t="s">
        <v>35</v>
      </c>
      <c r="C173" s="271" t="str">
        <f>'22ndMAY'!E173</f>
        <v/>
      </c>
      <c r="D173" s="191"/>
      <c r="E173" s="247"/>
      <c r="F173" s="235" t="s">
        <v>35</v>
      </c>
      <c r="G173" s="235"/>
      <c r="H173" s="272">
        <f>'22ndMAY'!J173</f>
        <v>0.243</v>
      </c>
      <c r="I173" s="281">
        <v>1.0</v>
      </c>
      <c r="J173" s="284"/>
      <c r="K173" s="283"/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0.243</v>
      </c>
      <c r="N173" s="191"/>
      <c r="O173" s="247"/>
    </row>
    <row r="174">
      <c r="A174" s="12" t="s">
        <v>200</v>
      </c>
      <c r="B174" s="12" t="s">
        <v>35</v>
      </c>
      <c r="C174" s="271" t="str">
        <f>'22ndMAY'!E174</f>
        <v/>
      </c>
      <c r="D174" s="191"/>
      <c r="E174" s="247"/>
      <c r="F174" s="235" t="s">
        <v>35</v>
      </c>
      <c r="G174" s="235"/>
      <c r="H174" s="272" t="str">
        <f>'22ndMAY'!J174</f>
        <v/>
      </c>
      <c r="I174" s="281">
        <v>1.0</v>
      </c>
      <c r="J174" s="284"/>
      <c r="K174" s="283"/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0</v>
      </c>
      <c r="N174" s="191"/>
      <c r="O174" s="247"/>
    </row>
    <row r="175">
      <c r="A175" s="12" t="s">
        <v>201</v>
      </c>
      <c r="B175" s="12" t="s">
        <v>202</v>
      </c>
      <c r="C175" s="271" t="str">
        <f>'22ndMAY'!E175</f>
        <v/>
      </c>
      <c r="D175" s="191"/>
      <c r="E175" s="247"/>
      <c r="F175" s="235" t="s">
        <v>202</v>
      </c>
      <c r="G175" s="235"/>
      <c r="H175" s="272" t="str">
        <f>'22ndMAY'!J175</f>
        <v/>
      </c>
      <c r="I175" s="281">
        <v>1.0</v>
      </c>
      <c r="J175" s="284"/>
      <c r="K175" s="283"/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'22ndMAY'!E176</f>
        <v/>
      </c>
      <c r="D176" s="191"/>
      <c r="E176" s="247"/>
      <c r="F176" s="235" t="s">
        <v>202</v>
      </c>
      <c r="G176" s="235"/>
      <c r="H176" s="272">
        <f>'22ndMAY'!J176</f>
        <v>1</v>
      </c>
      <c r="I176" s="281">
        <v>1.0</v>
      </c>
      <c r="J176" s="282"/>
      <c r="K176" s="283"/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1</v>
      </c>
      <c r="N176" s="191"/>
      <c r="O176" s="247"/>
    </row>
    <row r="177">
      <c r="A177" s="12" t="s">
        <v>205</v>
      </c>
      <c r="B177" s="12" t="s">
        <v>202</v>
      </c>
      <c r="C177" s="271" t="str">
        <f>'22ndMAY'!E177</f>
        <v/>
      </c>
      <c r="D177" s="191"/>
      <c r="E177" s="247"/>
      <c r="F177" s="235" t="s">
        <v>202</v>
      </c>
      <c r="G177" s="235"/>
      <c r="H177" s="272" t="str">
        <f>'22ndMAY'!J177</f>
        <v/>
      </c>
      <c r="I177" s="281">
        <v>1.0</v>
      </c>
      <c r="J177" s="284"/>
      <c r="K177" s="283"/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0</v>
      </c>
      <c r="N177" s="191"/>
      <c r="O177" s="247"/>
    </row>
    <row r="178">
      <c r="A178" s="12" t="s">
        <v>206</v>
      </c>
      <c r="B178" s="12" t="s">
        <v>207</v>
      </c>
      <c r="C178" s="271">
        <f>'22ndMAY'!E178</f>
        <v>1</v>
      </c>
      <c r="D178" s="227"/>
      <c r="E178" s="247"/>
      <c r="F178" s="235" t="s">
        <v>17</v>
      </c>
      <c r="G178" s="235"/>
      <c r="H178" s="272" t="str">
        <f>'22ndMAY'!J178</f>
        <v/>
      </c>
      <c r="I178" s="281">
        <v>1.0</v>
      </c>
      <c r="J178" s="282"/>
      <c r="K178" s="283"/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30</v>
      </c>
      <c r="N178" s="191"/>
      <c r="O178" s="247"/>
    </row>
    <row r="179">
      <c r="A179" s="12" t="s">
        <v>209</v>
      </c>
      <c r="B179" s="12" t="s">
        <v>17</v>
      </c>
      <c r="C179" s="271" t="str">
        <f>'22ndMAY'!E179</f>
        <v/>
      </c>
      <c r="D179" s="191"/>
      <c r="E179" s="247"/>
      <c r="F179" s="235" t="s">
        <v>17</v>
      </c>
      <c r="G179" s="235"/>
      <c r="H179" s="272" t="str">
        <f>'22ndMAY'!J179</f>
        <v/>
      </c>
      <c r="I179" s="281">
        <v>1.0</v>
      </c>
      <c r="J179" s="284"/>
      <c r="K179" s="283"/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'22ndMAY'!E180</f>
        <v/>
      </c>
      <c r="D180" s="191"/>
      <c r="E180" s="247"/>
      <c r="F180" s="235" t="s">
        <v>202</v>
      </c>
      <c r="G180" s="285"/>
      <c r="H180" s="272">
        <f>'22ndMAY'!J180</f>
        <v>1</v>
      </c>
      <c r="I180" s="281">
        <v>1.0</v>
      </c>
      <c r="J180" s="282"/>
      <c r="K180" s="283"/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1</v>
      </c>
      <c r="N180" s="191"/>
      <c r="O180" s="247"/>
    </row>
    <row r="181">
      <c r="A181" s="12" t="s">
        <v>211</v>
      </c>
      <c r="B181" s="12" t="s">
        <v>202</v>
      </c>
      <c r="C181" s="271" t="str">
        <f>'22ndMAY'!E181</f>
        <v/>
      </c>
      <c r="D181" s="227"/>
      <c r="E181" s="247"/>
      <c r="F181" s="235" t="s">
        <v>202</v>
      </c>
      <c r="G181" s="235"/>
      <c r="H181" s="272" t="str">
        <f>'22ndMAY'!J181</f>
        <v/>
      </c>
      <c r="I181" s="281">
        <v>1.0</v>
      </c>
      <c r="J181" s="282"/>
      <c r="K181" s="283"/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71" t="str">
        <f>'22ndMAY'!E182</f>
        <v/>
      </c>
      <c r="D182" s="191"/>
      <c r="E182" s="247"/>
      <c r="F182" s="235" t="s">
        <v>202</v>
      </c>
      <c r="G182" s="235"/>
      <c r="H182" s="272" t="str">
        <f>'22ndMAY'!J182</f>
        <v/>
      </c>
      <c r="I182" s="281">
        <v>1.0</v>
      </c>
      <c r="J182" s="284"/>
      <c r="K182" s="283"/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</v>
      </c>
      <c r="N182" s="191"/>
      <c r="O182" s="247"/>
    </row>
    <row r="183">
      <c r="A183" s="12" t="s">
        <v>213</v>
      </c>
      <c r="B183" s="12" t="s">
        <v>35</v>
      </c>
      <c r="C183" s="271" t="str">
        <f>'22ndMAY'!E183</f>
        <v/>
      </c>
      <c r="D183" s="191"/>
      <c r="E183" s="247"/>
      <c r="F183" s="235" t="s">
        <v>35</v>
      </c>
      <c r="G183" s="235"/>
      <c r="H183" s="272" t="str">
        <f>'22ndMAY'!J183</f>
        <v/>
      </c>
      <c r="I183" s="281">
        <v>1.0</v>
      </c>
      <c r="J183" s="284"/>
      <c r="K183" s="283"/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>
        <f>'22ndMAY'!E184</f>
        <v>1</v>
      </c>
      <c r="D184" s="191"/>
      <c r="E184" s="247"/>
      <c r="F184" s="235" t="s">
        <v>35</v>
      </c>
      <c r="G184" s="235"/>
      <c r="H184" s="272" t="str">
        <f>'22ndMAY'!J184</f>
        <v/>
      </c>
      <c r="I184" s="281">
        <v>1.0</v>
      </c>
      <c r="J184" s="282"/>
      <c r="K184" s="283"/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0.25</v>
      </c>
      <c r="N184" s="191"/>
      <c r="O184" s="247"/>
    </row>
    <row r="185">
      <c r="A185" s="12" t="s">
        <v>215</v>
      </c>
      <c r="B185" s="12" t="s">
        <v>35</v>
      </c>
      <c r="C185" s="271" t="str">
        <f>'22ndMAY'!E185</f>
        <v/>
      </c>
      <c r="D185" s="191"/>
      <c r="E185" s="247"/>
      <c r="F185" s="235" t="s">
        <v>35</v>
      </c>
      <c r="G185" s="235"/>
      <c r="H185" s="272">
        <f>'22ndMAY'!J185</f>
        <v>0.307</v>
      </c>
      <c r="I185" s="281">
        <v>1.0</v>
      </c>
      <c r="J185" s="284"/>
      <c r="K185" s="283"/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0.307</v>
      </c>
      <c r="N185" s="191"/>
      <c r="O185" s="247"/>
    </row>
    <row r="186">
      <c r="A186" s="12" t="s">
        <v>216</v>
      </c>
      <c r="B186" s="12" t="s">
        <v>17</v>
      </c>
      <c r="C186" s="271" t="str">
        <f>'22ndMAY'!E186</f>
        <v/>
      </c>
      <c r="D186" s="191"/>
      <c r="E186" s="247"/>
      <c r="F186" s="235" t="s">
        <v>17</v>
      </c>
      <c r="G186" s="235"/>
      <c r="H186" s="272">
        <f>'22ndMAY'!J186</f>
        <v>1.25</v>
      </c>
      <c r="I186" s="281">
        <v>1.0</v>
      </c>
      <c r="J186" s="282"/>
      <c r="K186" s="283"/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1.25</v>
      </c>
      <c r="N186" s="191"/>
      <c r="O186" s="247"/>
    </row>
    <row r="187">
      <c r="A187" s="12" t="s">
        <v>217</v>
      </c>
      <c r="B187" s="12" t="s">
        <v>35</v>
      </c>
      <c r="C187" s="271" t="str">
        <f>'22ndMAY'!E187</f>
        <v/>
      </c>
      <c r="D187" s="191"/>
      <c r="E187" s="247"/>
      <c r="F187" s="235" t="s">
        <v>35</v>
      </c>
      <c r="G187" s="235"/>
      <c r="H187" s="272">
        <f>'22ndMAY'!J187</f>
        <v>0.2</v>
      </c>
      <c r="I187" s="281">
        <v>1.0</v>
      </c>
      <c r="J187" s="282"/>
      <c r="K187" s="283"/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0.2</v>
      </c>
      <c r="N187" s="191"/>
      <c r="O187" s="247"/>
    </row>
    <row r="188">
      <c r="A188" s="12" t="s">
        <v>218</v>
      </c>
      <c r="B188" s="12" t="s">
        <v>17</v>
      </c>
      <c r="C188" s="271" t="str">
        <f>'22ndMAY'!E188</f>
        <v/>
      </c>
      <c r="D188" s="227"/>
      <c r="E188" s="247"/>
      <c r="F188" s="235" t="s">
        <v>17</v>
      </c>
      <c r="G188" s="235"/>
      <c r="H188" s="272" t="str">
        <f>'22ndMAY'!J188</f>
        <v/>
      </c>
      <c r="I188" s="281">
        <v>1.0</v>
      </c>
      <c r="J188" s="282"/>
      <c r="K188" s="283"/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0</v>
      </c>
      <c r="N188" s="191"/>
      <c r="O188" s="247"/>
    </row>
    <row r="189">
      <c r="A189" s="12" t="s">
        <v>220</v>
      </c>
      <c r="B189" s="12" t="s">
        <v>35</v>
      </c>
      <c r="C189" s="271" t="str">
        <f>'22ndMAY'!E189</f>
        <v/>
      </c>
      <c r="D189" s="191"/>
      <c r="E189" s="247"/>
      <c r="F189" s="235" t="s">
        <v>35</v>
      </c>
      <c r="G189" s="235"/>
      <c r="H189" s="272" t="str">
        <f>'22ndMAY'!J189</f>
        <v/>
      </c>
      <c r="I189" s="281">
        <v>1.0</v>
      </c>
      <c r="J189" s="284"/>
      <c r="K189" s="283"/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'22ndMAY'!E190</f>
        <v/>
      </c>
      <c r="D190" s="227"/>
      <c r="E190" s="247"/>
      <c r="F190" s="235" t="s">
        <v>17</v>
      </c>
      <c r="G190" s="235"/>
      <c r="H190" s="272">
        <f>'22ndMAY'!J190</f>
        <v>7</v>
      </c>
      <c r="I190" s="281">
        <v>1.0</v>
      </c>
      <c r="J190" s="282"/>
      <c r="K190" s="283"/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7</v>
      </c>
      <c r="N190" s="191"/>
      <c r="O190" s="247"/>
    </row>
    <row r="191">
      <c r="A191" s="12" t="s">
        <v>222</v>
      </c>
      <c r="B191" s="12" t="s">
        <v>17</v>
      </c>
      <c r="C191" s="271" t="str">
        <f>'22ndMAY'!E191</f>
        <v/>
      </c>
      <c r="D191" s="191"/>
      <c r="E191" s="247"/>
      <c r="F191" s="235" t="s">
        <v>17</v>
      </c>
      <c r="G191" s="235"/>
      <c r="H191" s="272" t="str">
        <f>'22ndMAY'!J191</f>
        <v/>
      </c>
      <c r="I191" s="281">
        <v>1.0</v>
      </c>
      <c r="J191" s="284"/>
      <c r="K191" s="283"/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'22ndMAY'!E192</f>
        <v/>
      </c>
      <c r="D192" s="227"/>
      <c r="E192" s="247"/>
      <c r="F192" s="235" t="s">
        <v>17</v>
      </c>
      <c r="G192" s="235"/>
      <c r="H192" s="272">
        <f>'22ndMAY'!J192</f>
        <v>1</v>
      </c>
      <c r="I192" s="281">
        <v>1.0</v>
      </c>
      <c r="J192" s="284"/>
      <c r="K192" s="283"/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1</v>
      </c>
      <c r="N192" s="191"/>
      <c r="O192" s="247"/>
    </row>
    <row r="193">
      <c r="A193" s="12" t="s">
        <v>224</v>
      </c>
      <c r="B193" s="12" t="s">
        <v>202</v>
      </c>
      <c r="C193" s="271" t="str">
        <f>'22ndMAY'!E193</f>
        <v/>
      </c>
      <c r="D193" s="227"/>
      <c r="E193" s="247"/>
      <c r="F193" s="235" t="s">
        <v>202</v>
      </c>
      <c r="G193" s="235"/>
      <c r="H193" s="272">
        <f>'22ndMAY'!J193</f>
        <v>2</v>
      </c>
      <c r="I193" s="281">
        <v>1.0</v>
      </c>
      <c r="J193" s="282"/>
      <c r="K193" s="283"/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2</v>
      </c>
      <c r="N193" s="191"/>
      <c r="O193" s="247"/>
    </row>
    <row r="194">
      <c r="A194" s="12" t="s">
        <v>225</v>
      </c>
      <c r="B194" s="12" t="s">
        <v>35</v>
      </c>
      <c r="C194" s="271" t="str">
        <f>'22ndMAY'!E194</f>
        <v/>
      </c>
      <c r="D194" s="191"/>
      <c r="E194" s="247"/>
      <c r="F194" s="235" t="s">
        <v>35</v>
      </c>
      <c r="G194" s="235"/>
      <c r="H194" s="272">
        <f>'22ndMAY'!J194</f>
        <v>0.428</v>
      </c>
      <c r="I194" s="281">
        <v>1.0</v>
      </c>
      <c r="J194" s="282"/>
      <c r="K194" s="283"/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0.428</v>
      </c>
      <c r="N194" s="191"/>
      <c r="O194" s="247"/>
    </row>
    <row r="195">
      <c r="A195" s="12" t="s">
        <v>227</v>
      </c>
      <c r="B195" s="12" t="s">
        <v>35</v>
      </c>
      <c r="C195" s="271" t="str">
        <f>'22ndMAY'!E195</f>
        <v/>
      </c>
      <c r="D195" s="191"/>
      <c r="E195" s="247"/>
      <c r="F195" s="235" t="s">
        <v>35</v>
      </c>
      <c r="G195" s="285"/>
      <c r="H195" s="272">
        <f>'22ndMAY'!J195</f>
        <v>0.899</v>
      </c>
      <c r="I195" s="281">
        <v>1.0</v>
      </c>
      <c r="J195" s="282"/>
      <c r="K195" s="283"/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0.899</v>
      </c>
      <c r="N195" s="191"/>
      <c r="O195" s="247"/>
    </row>
    <row r="196">
      <c r="A196" s="12" t="s">
        <v>228</v>
      </c>
      <c r="B196" s="12" t="s">
        <v>155</v>
      </c>
      <c r="C196" s="271">
        <f>'22ndMAY'!E196</f>
        <v>1</v>
      </c>
      <c r="D196" s="191"/>
      <c r="E196" s="247"/>
      <c r="F196" s="235" t="s">
        <v>35</v>
      </c>
      <c r="G196" s="235"/>
      <c r="H196" s="272">
        <f>'22ndMAY'!J196</f>
        <v>0.124</v>
      </c>
      <c r="I196" s="281">
        <v>1.0</v>
      </c>
      <c r="J196" s="284"/>
      <c r="K196" s="283"/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0.612</v>
      </c>
      <c r="N196" s="191"/>
      <c r="O196" s="247"/>
    </row>
    <row r="197">
      <c r="A197" s="12" t="s">
        <v>229</v>
      </c>
      <c r="B197" s="12" t="s">
        <v>17</v>
      </c>
      <c r="C197" s="271" t="str">
        <f>'22ndMAY'!E197</f>
        <v/>
      </c>
      <c r="D197" s="191"/>
      <c r="E197" s="247"/>
      <c r="F197" s="235" t="s">
        <v>17</v>
      </c>
      <c r="G197" s="235"/>
      <c r="H197" s="272">
        <f>'22ndMAY'!J197</f>
        <v>0.3</v>
      </c>
      <c r="I197" s="281">
        <v>1.0</v>
      </c>
      <c r="J197" s="282"/>
      <c r="K197" s="283"/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0.3</v>
      </c>
      <c r="N197" s="191"/>
      <c r="O197" s="247"/>
    </row>
    <row r="198">
      <c r="A198" s="12" t="s">
        <v>231</v>
      </c>
      <c r="B198" s="12" t="s">
        <v>35</v>
      </c>
      <c r="C198" s="271" t="str">
        <f>'22ndMAY'!E198</f>
        <v/>
      </c>
      <c r="D198" s="191"/>
      <c r="E198" s="247"/>
      <c r="F198" s="235" t="s">
        <v>35</v>
      </c>
      <c r="G198" s="235"/>
      <c r="H198" s="272" t="str">
        <f>'22ndMAY'!J198</f>
        <v/>
      </c>
      <c r="I198" s="281">
        <v>1.0</v>
      </c>
      <c r="J198" s="282"/>
      <c r="K198" s="283"/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</v>
      </c>
      <c r="N198" s="191"/>
      <c r="O198" s="247"/>
    </row>
    <row r="199">
      <c r="A199" s="12" t="s">
        <v>232</v>
      </c>
      <c r="B199" s="12" t="s">
        <v>202</v>
      </c>
      <c r="C199" s="271" t="str">
        <f>'22ndMAY'!E199</f>
        <v/>
      </c>
      <c r="D199" s="191"/>
      <c r="E199" s="247"/>
      <c r="F199" s="235" t="s">
        <v>202</v>
      </c>
      <c r="G199" s="285"/>
      <c r="H199" s="272">
        <f>'22ndMAY'!J199</f>
        <v>0.25</v>
      </c>
      <c r="I199" s="281">
        <v>1.0</v>
      </c>
      <c r="J199" s="282"/>
      <c r="K199" s="283"/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0.25</v>
      </c>
      <c r="N199" s="191"/>
      <c r="O199" s="247"/>
    </row>
    <row r="200">
      <c r="A200" s="12" t="s">
        <v>233</v>
      </c>
      <c r="B200" s="12" t="s">
        <v>17</v>
      </c>
      <c r="C200" s="271" t="str">
        <f>'22ndMAY'!E200</f>
        <v/>
      </c>
      <c r="D200" s="227"/>
      <c r="E200" s="280"/>
      <c r="F200" s="235" t="s">
        <v>234</v>
      </c>
      <c r="G200" s="285"/>
      <c r="H200" s="272">
        <f>'22ndMAY'!J200</f>
        <v>2</v>
      </c>
      <c r="I200" s="281">
        <v>1.0</v>
      </c>
      <c r="J200" s="282"/>
      <c r="K200" s="283"/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2</v>
      </c>
      <c r="N200" s="191"/>
      <c r="O200" s="247"/>
    </row>
    <row r="201">
      <c r="A201" s="25" t="s">
        <v>235</v>
      </c>
      <c r="B201" s="26" t="s">
        <v>202</v>
      </c>
      <c r="C201" s="271" t="str">
        <f>'22ndMAY'!E201</f>
        <v/>
      </c>
      <c r="D201" s="227"/>
      <c r="E201" s="247"/>
      <c r="F201" s="235" t="s">
        <v>202</v>
      </c>
      <c r="G201" s="235"/>
      <c r="H201" s="272">
        <f>'22ndMAY'!J201</f>
        <v>1</v>
      </c>
      <c r="I201" s="281">
        <v>1.0</v>
      </c>
      <c r="J201" s="284"/>
      <c r="K201" s="283"/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1</v>
      </c>
      <c r="N201" s="191"/>
      <c r="O201" s="247"/>
    </row>
    <row r="202">
      <c r="A202" s="25" t="s">
        <v>236</v>
      </c>
      <c r="B202" s="26" t="s">
        <v>237</v>
      </c>
      <c r="C202" s="271" t="str">
        <f>'22ndMAY'!E202</f>
        <v/>
      </c>
      <c r="D202" s="191"/>
      <c r="E202" s="247"/>
      <c r="F202" s="235" t="s">
        <v>35</v>
      </c>
      <c r="G202" s="235"/>
      <c r="H202" s="272">
        <f>'22ndMAY'!J202</f>
        <v>0.231</v>
      </c>
      <c r="I202" s="281">
        <v>1.0</v>
      </c>
      <c r="J202" s="282"/>
      <c r="K202" s="283"/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0.231</v>
      </c>
      <c r="N202" s="191"/>
      <c r="O202" s="247"/>
    </row>
    <row r="203">
      <c r="A203" s="25" t="s">
        <v>238</v>
      </c>
      <c r="B203" s="26" t="s">
        <v>202</v>
      </c>
      <c r="C203" s="271" t="str">
        <f>'22ndMAY'!E203</f>
        <v/>
      </c>
      <c r="D203" s="227"/>
      <c r="E203" s="247"/>
      <c r="F203" s="235" t="s">
        <v>202</v>
      </c>
      <c r="G203" s="235"/>
      <c r="H203" s="272">
        <f>'22ndMAY'!J203</f>
        <v>0.5</v>
      </c>
      <c r="I203" s="281">
        <v>1.0</v>
      </c>
      <c r="J203" s="282"/>
      <c r="K203" s="283"/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0.5</v>
      </c>
      <c r="N203" s="191"/>
      <c r="O203" s="247"/>
    </row>
    <row r="204">
      <c r="A204" s="25" t="s">
        <v>239</v>
      </c>
      <c r="B204" s="26" t="s">
        <v>35</v>
      </c>
      <c r="C204" s="271" t="str">
        <f>'22ndMAY'!E204</f>
        <v/>
      </c>
      <c r="D204" s="191"/>
      <c r="E204" s="247"/>
      <c r="F204" s="235" t="s">
        <v>35</v>
      </c>
      <c r="G204" s="235"/>
      <c r="H204" s="272" t="str">
        <f>'22ndMAY'!J204</f>
        <v/>
      </c>
      <c r="I204" s="281">
        <v>1.0</v>
      </c>
      <c r="J204" s="284"/>
      <c r="K204" s="283"/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'22ndMAY'!E205</f>
        <v/>
      </c>
      <c r="D205" s="227"/>
      <c r="E205" s="247"/>
      <c r="F205" s="235" t="s">
        <v>17</v>
      </c>
      <c r="G205" s="235"/>
      <c r="H205" s="272" t="str">
        <f>'22ndMAY'!J205</f>
        <v/>
      </c>
      <c r="I205" s="281">
        <v>1.0</v>
      </c>
      <c r="J205" s="282"/>
      <c r="K205" s="283"/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0</v>
      </c>
      <c r="N205" s="191"/>
      <c r="O205" s="247"/>
    </row>
    <row r="206">
      <c r="A206" s="12" t="s">
        <v>242</v>
      </c>
      <c r="B206" s="12" t="s">
        <v>35</v>
      </c>
      <c r="C206" s="271" t="str">
        <f>'22ndMAY'!E206</f>
        <v/>
      </c>
      <c r="D206" s="227"/>
      <c r="E206" s="247"/>
      <c r="F206" s="235" t="s">
        <v>35</v>
      </c>
      <c r="G206" s="235"/>
      <c r="H206" s="272">
        <f>'22ndMAY'!J206</f>
        <v>155.78</v>
      </c>
      <c r="I206" s="281">
        <v>1.0</v>
      </c>
      <c r="J206" s="282"/>
      <c r="K206" s="283"/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155.78</v>
      </c>
      <c r="N206" s="191"/>
      <c r="O206" s="247"/>
    </row>
    <row r="207">
      <c r="A207" s="12" t="s">
        <v>243</v>
      </c>
      <c r="B207" s="12" t="s">
        <v>241</v>
      </c>
      <c r="C207" s="271">
        <f>'22ndMAY'!E207</f>
        <v>4</v>
      </c>
      <c r="D207" s="191"/>
      <c r="E207" s="247"/>
      <c r="F207" s="235" t="s">
        <v>17</v>
      </c>
      <c r="G207" s="285"/>
      <c r="H207" s="272" t="str">
        <f>'22ndMAY'!J207</f>
        <v/>
      </c>
      <c r="I207" s="281">
        <v>1.0</v>
      </c>
      <c r="J207" s="282"/>
      <c r="K207" s="283"/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4</v>
      </c>
      <c r="N207" s="191"/>
      <c r="O207" s="247"/>
    </row>
    <row r="208">
      <c r="A208" s="10" t="s">
        <v>245</v>
      </c>
      <c r="B208" s="11"/>
      <c r="C208" s="271" t="str">
        <f>'22ndMAY'!E208</f>
        <v/>
      </c>
      <c r="D208" s="191"/>
      <c r="E208" s="247"/>
      <c r="F208" s="235"/>
      <c r="G208" s="235"/>
      <c r="H208" s="272" t="str">
        <f>'22ndMAY'!J208</f>
        <v/>
      </c>
      <c r="I208" s="281">
        <v>1.0</v>
      </c>
      <c r="J208" s="284"/>
      <c r="K208" s="283"/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'22ndMAY'!E209</f>
        <v/>
      </c>
      <c r="D209" s="227"/>
      <c r="E209" s="247"/>
      <c r="F209" s="235" t="s">
        <v>155</v>
      </c>
      <c r="G209" s="285"/>
      <c r="H209" s="272">
        <f>'22ndMAY'!J209</f>
        <v>1</v>
      </c>
      <c r="I209" s="281">
        <v>1.0</v>
      </c>
      <c r="J209" s="282"/>
      <c r="K209" s="283"/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0.988</v>
      </c>
      <c r="N209" s="191"/>
      <c r="O209" s="247"/>
    </row>
    <row r="210">
      <c r="A210" s="12" t="s">
        <v>247</v>
      </c>
      <c r="B210" s="13" t="s">
        <v>59</v>
      </c>
      <c r="C210" s="271" t="str">
        <f>'22ndMAY'!E210</f>
        <v/>
      </c>
      <c r="D210" s="191"/>
      <c r="E210" s="280"/>
      <c r="F210" s="235" t="s">
        <v>35</v>
      </c>
      <c r="G210" s="235"/>
      <c r="H210" s="272" t="str">
        <f>'22ndMAY'!J210</f>
        <v/>
      </c>
      <c r="I210" s="281">
        <v>1.0</v>
      </c>
      <c r="J210" s="282"/>
      <c r="K210" s="283"/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</v>
      </c>
      <c r="N210" s="191"/>
      <c r="O210" s="247"/>
    </row>
    <row r="211">
      <c r="A211" s="12" t="s">
        <v>248</v>
      </c>
      <c r="B211" s="13" t="s">
        <v>59</v>
      </c>
      <c r="C211" s="271" t="str">
        <f>'22ndMAY'!E211</f>
        <v/>
      </c>
      <c r="D211" s="191"/>
      <c r="E211" s="280"/>
      <c r="F211" s="235" t="s">
        <v>35</v>
      </c>
      <c r="G211" s="235"/>
      <c r="H211" s="272" t="str">
        <f>'22ndMAY'!J211</f>
        <v/>
      </c>
      <c r="I211" s="281">
        <v>1.0</v>
      </c>
      <c r="J211" s="284"/>
      <c r="K211" s="283"/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247"/>
    </row>
    <row r="212">
      <c r="A212" s="12" t="s">
        <v>250</v>
      </c>
      <c r="B212" s="13" t="s">
        <v>59</v>
      </c>
      <c r="C212" s="271" t="str">
        <f>'22ndMAY'!E212</f>
        <v/>
      </c>
      <c r="D212" s="191"/>
      <c r="E212" s="280"/>
      <c r="F212" s="235" t="s">
        <v>35</v>
      </c>
      <c r="G212" s="235"/>
      <c r="H212" s="272">
        <f>'22ndMAY'!J212</f>
        <v>0.225</v>
      </c>
      <c r="I212" s="281">
        <v>1.0</v>
      </c>
      <c r="J212" s="284"/>
      <c r="K212" s="283"/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0.215</v>
      </c>
      <c r="N212" s="191"/>
      <c r="O212" s="247"/>
    </row>
    <row r="213">
      <c r="A213" s="12" t="s">
        <v>251</v>
      </c>
      <c r="B213" s="13" t="s">
        <v>34</v>
      </c>
      <c r="C213" s="271" t="str">
        <f>'22ndMAY'!E213</f>
        <v/>
      </c>
      <c r="D213" s="191"/>
      <c r="E213" s="247"/>
      <c r="F213" s="235" t="s">
        <v>35</v>
      </c>
      <c r="G213" s="235"/>
      <c r="H213" s="272" t="str">
        <f>'22ndMAY'!J213</f>
        <v/>
      </c>
      <c r="I213" s="281">
        <v>1.0</v>
      </c>
      <c r="J213" s="284"/>
      <c r="K213" s="283"/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'22ndMAY'!E214</f>
        <v/>
      </c>
      <c r="D214" s="191"/>
      <c r="E214" s="247"/>
      <c r="F214" s="235"/>
      <c r="G214" s="235"/>
      <c r="H214" s="272" t="str">
        <f>'22ndMAY'!J214</f>
        <v/>
      </c>
      <c r="I214" s="281">
        <v>1.0</v>
      </c>
      <c r="J214" s="284"/>
      <c r="K214" s="283"/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'22ndMAY'!E215</f>
        <v/>
      </c>
      <c r="D215" s="191"/>
      <c r="E215" s="247"/>
      <c r="F215" s="235" t="s">
        <v>254</v>
      </c>
      <c r="G215" s="235"/>
      <c r="H215" s="272" t="str">
        <f>'22ndMAY'!J215</f>
        <v/>
      </c>
      <c r="I215" s="281">
        <v>1.0</v>
      </c>
      <c r="J215" s="284"/>
      <c r="K215" s="283"/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'22ndMAY'!E216</f>
        <v/>
      </c>
      <c r="D216" s="191"/>
      <c r="E216" s="247"/>
      <c r="F216" s="235" t="s">
        <v>234</v>
      </c>
      <c r="G216" s="235"/>
      <c r="H216" s="272" t="str">
        <f>'22ndMAY'!J216</f>
        <v/>
      </c>
      <c r="I216" s="281">
        <v>1.0</v>
      </c>
      <c r="J216" s="284"/>
      <c r="K216" s="283"/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'22ndMAY'!E217</f>
        <v/>
      </c>
      <c r="D217" s="227"/>
      <c r="E217" s="247"/>
      <c r="F217" s="235" t="s">
        <v>17</v>
      </c>
      <c r="G217" s="235"/>
      <c r="H217" s="272">
        <f>'22ndMAY'!J217</f>
        <v>12</v>
      </c>
      <c r="I217" s="281">
        <v>1.0</v>
      </c>
      <c r="J217" s="282"/>
      <c r="K217" s="283"/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12</v>
      </c>
      <c r="N217" s="191"/>
      <c r="O217" s="247"/>
    </row>
    <row r="218">
      <c r="A218" s="12" t="s">
        <v>260</v>
      </c>
      <c r="B218" s="12" t="s">
        <v>261</v>
      </c>
      <c r="C218" s="271" t="str">
        <f>'22ndMAY'!E218</f>
        <v/>
      </c>
      <c r="D218" s="191"/>
      <c r="E218" s="247"/>
      <c r="F218" s="235" t="s">
        <v>35</v>
      </c>
      <c r="G218" s="235"/>
      <c r="H218" s="272">
        <f>'22ndMAY'!J218</f>
        <v>0.293</v>
      </c>
      <c r="I218" s="281">
        <v>1.0</v>
      </c>
      <c r="J218" s="282"/>
      <c r="K218" s="283"/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-0.927</v>
      </c>
      <c r="N218" s="191"/>
      <c r="O218" s="247"/>
    </row>
    <row r="219">
      <c r="A219" s="12" t="s">
        <v>263</v>
      </c>
      <c r="B219" s="12" t="s">
        <v>17</v>
      </c>
      <c r="C219" s="271" t="str">
        <f>'22ndMAY'!E219</f>
        <v/>
      </c>
      <c r="D219" s="227"/>
      <c r="E219" s="247"/>
      <c r="F219" s="235" t="s">
        <v>17</v>
      </c>
      <c r="G219" s="235"/>
      <c r="H219" s="272">
        <f>'22ndMAY'!J219</f>
        <v>23</v>
      </c>
      <c r="I219" s="281">
        <v>1.0</v>
      </c>
      <c r="J219" s="282"/>
      <c r="K219" s="283"/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23</v>
      </c>
      <c r="N219" s="191"/>
      <c r="O219" s="247"/>
    </row>
    <row r="220">
      <c r="A220" s="12" t="s">
        <v>264</v>
      </c>
      <c r="B220" s="12" t="s">
        <v>261</v>
      </c>
      <c r="C220" s="271">
        <f>'22ndMAY'!E220</f>
        <v>1</v>
      </c>
      <c r="D220" s="191"/>
      <c r="E220" s="247"/>
      <c r="F220" s="235" t="s">
        <v>35</v>
      </c>
      <c r="G220" s="235"/>
      <c r="H220" s="272" t="str">
        <f>'22ndMAY'!J220</f>
        <v/>
      </c>
      <c r="I220" s="281">
        <v>1.0</v>
      </c>
      <c r="J220" s="284"/>
      <c r="K220" s="283"/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2.5</v>
      </c>
      <c r="N220" s="191"/>
      <c r="O220" s="247"/>
    </row>
    <row r="221">
      <c r="A221" s="12" t="s">
        <v>265</v>
      </c>
      <c r="B221" s="12" t="s">
        <v>40</v>
      </c>
      <c r="C221" s="271" t="str">
        <f>'22ndMAY'!E221</f>
        <v/>
      </c>
      <c r="D221" s="191"/>
      <c r="E221" s="247"/>
      <c r="F221" s="235" t="s">
        <v>17</v>
      </c>
      <c r="G221" s="235"/>
      <c r="H221" s="272">
        <f>'22ndMAY'!J221</f>
        <v>18</v>
      </c>
      <c r="I221" s="281">
        <v>1.0</v>
      </c>
      <c r="J221" s="282"/>
      <c r="K221" s="283"/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18</v>
      </c>
      <c r="N221" s="191"/>
      <c r="O221" s="247"/>
    </row>
    <row r="222">
      <c r="A222" s="12" t="s">
        <v>266</v>
      </c>
      <c r="B222" s="12" t="s">
        <v>267</v>
      </c>
      <c r="C222" s="271" t="str">
        <f>'22ndMAY'!E222</f>
        <v/>
      </c>
      <c r="D222" s="191"/>
      <c r="E222" s="247"/>
      <c r="F222" s="235" t="s">
        <v>17</v>
      </c>
      <c r="G222" s="235"/>
      <c r="H222" s="272">
        <f>'22ndMAY'!J222</f>
        <v>39</v>
      </c>
      <c r="I222" s="281">
        <v>1.0</v>
      </c>
      <c r="J222" s="282"/>
      <c r="K222" s="283"/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39</v>
      </c>
      <c r="N222" s="191"/>
      <c r="O222" s="247"/>
    </row>
    <row r="223">
      <c r="A223" s="12" t="s">
        <v>268</v>
      </c>
      <c r="B223" s="12" t="s">
        <v>40</v>
      </c>
      <c r="C223" s="271" t="str">
        <f>'22ndMAY'!E223</f>
        <v/>
      </c>
      <c r="D223" s="191"/>
      <c r="E223" s="247"/>
      <c r="F223" s="235" t="s">
        <v>17</v>
      </c>
      <c r="G223" s="235"/>
      <c r="H223" s="272">
        <f>'22ndMAY'!J223</f>
        <v>17</v>
      </c>
      <c r="I223" s="281">
        <v>1.0</v>
      </c>
      <c r="J223" s="284"/>
      <c r="K223" s="283"/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17</v>
      </c>
      <c r="N223" s="191"/>
      <c r="O223" s="247"/>
    </row>
    <row r="224">
      <c r="A224" s="12" t="s">
        <v>269</v>
      </c>
      <c r="B224" s="294" t="s">
        <v>40</v>
      </c>
      <c r="C224" s="271" t="str">
        <f>'22ndMAY'!E224</f>
        <v/>
      </c>
      <c r="D224" s="191"/>
      <c r="E224" s="191"/>
      <c r="F224" s="191" t="s">
        <v>17</v>
      </c>
      <c r="G224" s="191"/>
      <c r="H224" s="272">
        <f>'22ndMAY'!J224</f>
        <v>11</v>
      </c>
      <c r="I224" s="281">
        <v>1.0</v>
      </c>
      <c r="J224" s="227"/>
      <c r="K224" s="283"/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11</v>
      </c>
      <c r="N224" s="191"/>
      <c r="O224" s="247"/>
    </row>
    <row r="225">
      <c r="A225" s="12" t="s">
        <v>270</v>
      </c>
      <c r="B225" s="294" t="s">
        <v>40</v>
      </c>
      <c r="C225" s="271" t="str">
        <f>'22ndMAY'!E225</f>
        <v/>
      </c>
      <c r="D225" s="191"/>
      <c r="E225" s="191"/>
      <c r="F225" s="191" t="s">
        <v>17</v>
      </c>
      <c r="G225" s="191"/>
      <c r="H225" s="272">
        <f>'22ndMAY'!J225</f>
        <v>53</v>
      </c>
      <c r="I225" s="281">
        <v>1.0</v>
      </c>
      <c r="J225" s="227"/>
      <c r="K225" s="283"/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53</v>
      </c>
      <c r="N225" s="191"/>
      <c r="O225" s="247"/>
    </row>
    <row r="226">
      <c r="A226" s="12" t="s">
        <v>271</v>
      </c>
      <c r="B226" s="294" t="s">
        <v>40</v>
      </c>
      <c r="C226" s="271" t="str">
        <f>'22ndMAY'!E226</f>
        <v/>
      </c>
      <c r="D226" s="227"/>
      <c r="E226" s="191"/>
      <c r="F226" s="191" t="s">
        <v>17</v>
      </c>
      <c r="G226" s="191"/>
      <c r="H226" s="272">
        <f>'22ndMAY'!J226</f>
        <v>17</v>
      </c>
      <c r="I226" s="281">
        <v>1.0</v>
      </c>
      <c r="J226" s="227"/>
      <c r="K226" s="283"/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17</v>
      </c>
      <c r="N226" s="191"/>
      <c r="O226" s="247"/>
    </row>
    <row r="227">
      <c r="A227" s="12" t="s">
        <v>272</v>
      </c>
      <c r="B227" s="294" t="s">
        <v>40</v>
      </c>
      <c r="C227" s="271" t="str">
        <f>'22ndMAY'!E227</f>
        <v/>
      </c>
      <c r="D227" s="297"/>
      <c r="E227" s="296"/>
      <c r="F227" s="296" t="s">
        <v>17</v>
      </c>
      <c r="G227" s="296"/>
      <c r="H227" s="272">
        <f>'22ndMAY'!J227</f>
        <v>9</v>
      </c>
      <c r="I227" s="281">
        <v>1.0</v>
      </c>
      <c r="J227" s="297"/>
      <c r="K227" s="283"/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9</v>
      </c>
      <c r="N227" s="296"/>
      <c r="O227" s="299"/>
    </row>
    <row r="228">
      <c r="A228" s="23"/>
      <c r="B228" s="23"/>
      <c r="C228" s="271" t="str">
        <f>'22ndMAY'!E228</f>
        <v/>
      </c>
      <c r="D228" s="297"/>
      <c r="E228" s="296"/>
      <c r="F228" s="11"/>
      <c r="G228" s="296"/>
      <c r="H228" s="272" t="str">
        <f>'22ndMAY'!J228</f>
        <v/>
      </c>
      <c r="I228" s="281"/>
      <c r="J228" s="297"/>
      <c r="K228" s="283"/>
      <c r="L228" s="11"/>
      <c r="M228" s="298"/>
      <c r="N228" s="296"/>
      <c r="O228" s="299"/>
    </row>
    <row r="229">
      <c r="A229" s="11"/>
      <c r="B229" s="11"/>
      <c r="C229" s="271" t="str">
        <f>'22ndMAY'!E229</f>
        <v/>
      </c>
      <c r="D229" s="11"/>
      <c r="E229" s="11"/>
      <c r="F229" s="11"/>
      <c r="G229" s="11"/>
      <c r="H229" s="272" t="str">
        <f>'22ndMAY'!J229</f>
        <v/>
      </c>
      <c r="I229" s="281"/>
      <c r="J229" s="11"/>
      <c r="K229" s="11"/>
      <c r="L229" s="11"/>
      <c r="M229" s="11"/>
      <c r="N229" s="11"/>
      <c r="O229" s="11"/>
    </row>
    <row r="230">
      <c r="A230" s="11"/>
      <c r="B230" s="11"/>
      <c r="C230" s="271" t="str">
        <f>'22ndMAY'!E230</f>
        <v/>
      </c>
      <c r="D230" s="11"/>
      <c r="E230" s="11"/>
      <c r="F230" s="11"/>
      <c r="G230" s="11"/>
      <c r="H230" s="272" t="str">
        <f>'22ndMAY'!J230</f>
        <v/>
      </c>
      <c r="I230" s="281"/>
      <c r="J230" s="11"/>
      <c r="K230" s="11"/>
      <c r="L230" s="11"/>
      <c r="M230" s="11"/>
      <c r="N230" s="11"/>
      <c r="O230" s="11"/>
    </row>
    <row r="231">
      <c r="A231" s="11"/>
      <c r="B231" s="11"/>
      <c r="C231" s="271" t="str">
        <f>'22ndMAY'!E231</f>
        <v/>
      </c>
      <c r="D231" s="11"/>
      <c r="E231" s="11"/>
      <c r="F231" s="11"/>
      <c r="G231" s="11"/>
      <c r="H231" s="272" t="str">
        <f>'22ndMAY'!J231</f>
        <v/>
      </c>
      <c r="I231" s="281"/>
      <c r="J231" s="11"/>
      <c r="K231" s="11"/>
      <c r="L231" s="11"/>
      <c r="M231" s="11"/>
      <c r="N231" s="11"/>
      <c r="O231" s="11"/>
    </row>
    <row r="232">
      <c r="A232" s="11"/>
      <c r="B232" s="11"/>
      <c r="C232" s="271" t="str">
        <f>'22ndMAY'!E232</f>
        <v/>
      </c>
      <c r="D232" s="11"/>
      <c r="E232" s="11"/>
      <c r="F232" s="11"/>
      <c r="G232" s="11"/>
      <c r="H232" s="272" t="str">
        <f>'22ndMAY'!J232</f>
        <v/>
      </c>
      <c r="I232" s="281"/>
      <c r="J232" s="11"/>
      <c r="K232" s="11"/>
      <c r="L232" s="11"/>
      <c r="M232" s="11"/>
      <c r="N232" s="11"/>
      <c r="O232" s="11"/>
    </row>
    <row r="233">
      <c r="A233" s="11"/>
      <c r="B233" s="11"/>
      <c r="C233" s="271" t="str">
        <f>'22ndMAY'!E233</f>
        <v/>
      </c>
      <c r="D233" s="11"/>
      <c r="E233" s="11"/>
      <c r="F233" s="11"/>
      <c r="G233" s="11"/>
      <c r="H233" s="272" t="str">
        <f>'22ndMAY'!J233</f>
        <v/>
      </c>
      <c r="I233" s="281"/>
      <c r="J233" s="11"/>
      <c r="K233" s="11"/>
      <c r="L233" s="11"/>
      <c r="M233" s="11"/>
      <c r="N233" s="11"/>
      <c r="O233" s="11"/>
    </row>
    <row r="234">
      <c r="A234" s="11"/>
      <c r="B234" s="11"/>
      <c r="C234" s="271" t="str">
        <f>'22ndMAY'!E234</f>
        <v/>
      </c>
      <c r="D234" s="11"/>
      <c r="E234" s="11"/>
      <c r="F234" s="11"/>
      <c r="G234" s="11"/>
      <c r="H234" s="272" t="str">
        <f>'22ndMAY'!J234</f>
        <v/>
      </c>
      <c r="I234" s="281"/>
      <c r="J234" s="11"/>
      <c r="K234" s="11"/>
      <c r="L234" s="11"/>
      <c r="M234" s="11"/>
      <c r="N234" s="11"/>
      <c r="O234" s="11"/>
    </row>
    <row r="235">
      <c r="A235" s="11"/>
      <c r="B235" s="11"/>
      <c r="C235" s="271" t="str">
        <f>'22ndMAY'!E235</f>
        <v/>
      </c>
      <c r="D235" s="11"/>
      <c r="E235" s="11"/>
      <c r="F235" s="11"/>
      <c r="G235" s="11"/>
      <c r="H235" s="272" t="str">
        <f>'22ndMAY'!J235</f>
        <v/>
      </c>
      <c r="I235" s="281"/>
      <c r="J235" s="11"/>
      <c r="K235" s="11"/>
      <c r="L235" s="11"/>
      <c r="M235" s="11"/>
      <c r="N235" s="11"/>
      <c r="O235" s="11"/>
    </row>
    <row r="236">
      <c r="A236" s="11"/>
      <c r="B236" s="11"/>
      <c r="C236" s="271" t="str">
        <f>'22ndMAY'!E236</f>
        <v/>
      </c>
      <c r="D236" s="11"/>
      <c r="E236" s="11"/>
      <c r="F236" s="11"/>
      <c r="G236" s="11"/>
      <c r="H236" s="272" t="str">
        <f>'22ndMAY'!J236</f>
        <v/>
      </c>
      <c r="I236" s="281"/>
      <c r="J236" s="11"/>
      <c r="K236" s="11"/>
      <c r="L236" s="11"/>
      <c r="M236" s="11"/>
      <c r="N236" s="11"/>
      <c r="O236" s="11"/>
    </row>
    <row r="237">
      <c r="A237" s="11"/>
      <c r="B237" s="11"/>
      <c r="C237" s="271" t="str">
        <f>'22ndMAY'!E237</f>
        <v/>
      </c>
      <c r="D237" s="11"/>
      <c r="E237" s="11"/>
      <c r="F237" s="11"/>
      <c r="G237" s="11"/>
      <c r="H237" s="272" t="str">
        <f>'22ndMAY'!J237</f>
        <v/>
      </c>
      <c r="I237" s="281"/>
      <c r="J237" s="11"/>
      <c r="K237" s="11"/>
      <c r="L237" s="11"/>
      <c r="M237" s="11"/>
      <c r="N237" s="11"/>
      <c r="O237" s="11"/>
    </row>
    <row r="238">
      <c r="A238" s="11"/>
      <c r="B238" s="11"/>
      <c r="C238" s="271" t="str">
        <f>'22ndMAY'!E238</f>
        <v/>
      </c>
      <c r="D238" s="11"/>
      <c r="E238" s="11"/>
      <c r="F238" s="11"/>
      <c r="G238" s="11"/>
      <c r="H238" s="272" t="str">
        <f>'22ndMAY'!J238</f>
        <v/>
      </c>
      <c r="I238" s="281"/>
      <c r="J238" s="11"/>
      <c r="K238" s="11"/>
      <c r="L238" s="11"/>
      <c r="M238" s="11"/>
      <c r="N238" s="11"/>
      <c r="O238" s="11"/>
    </row>
    <row r="239">
      <c r="A239" s="11"/>
      <c r="B239" s="11"/>
      <c r="C239" s="271" t="str">
        <f>'22ndMAY'!E239</f>
        <v/>
      </c>
      <c r="D239" s="11"/>
      <c r="E239" s="11"/>
      <c r="F239" s="11"/>
      <c r="G239" s="11"/>
      <c r="H239" s="272" t="str">
        <f>'22ndMAY'!J239</f>
        <v/>
      </c>
      <c r="I239" s="281"/>
      <c r="J239" s="11"/>
      <c r="K239" s="11"/>
      <c r="L239" s="11"/>
      <c r="M239" s="11"/>
      <c r="N239" s="11"/>
      <c r="O239" s="11"/>
    </row>
    <row r="240">
      <c r="A240" s="11"/>
      <c r="B240" s="11"/>
      <c r="C240" s="271" t="str">
        <f>'22ndMAY'!E240</f>
        <v/>
      </c>
      <c r="D240" s="11"/>
      <c r="E240" s="11"/>
      <c r="F240" s="11"/>
      <c r="G240" s="11"/>
      <c r="H240" s="272" t="str">
        <f>'22ndMAY'!J240</f>
        <v/>
      </c>
      <c r="I240" s="281"/>
      <c r="J240" s="11"/>
      <c r="K240" s="11"/>
      <c r="L240" s="11"/>
      <c r="M240" s="11"/>
      <c r="N240" s="11"/>
      <c r="O240" s="11"/>
    </row>
    <row r="241">
      <c r="A241" s="11"/>
      <c r="B241" s="11"/>
      <c r="C241" s="271" t="str">
        <f>'22ndMAY'!E241</f>
        <v/>
      </c>
      <c r="D241" s="11"/>
      <c r="E241" s="11"/>
      <c r="F241" s="11"/>
      <c r="G241" s="11"/>
      <c r="H241" s="272" t="str">
        <f>'22ndMAY'!J241</f>
        <v/>
      </c>
      <c r="I241" s="281"/>
      <c r="J241" s="11"/>
      <c r="K241" s="11"/>
      <c r="L241" s="11"/>
      <c r="M241" s="11"/>
      <c r="N241" s="11"/>
      <c r="O241" s="11"/>
    </row>
    <row r="242">
      <c r="A242" s="11"/>
      <c r="B242" s="11"/>
      <c r="C242" s="271" t="str">
        <f>'22ndMAY'!E242</f>
        <v/>
      </c>
      <c r="D242" s="11"/>
      <c r="E242" s="11"/>
      <c r="F242" s="11"/>
      <c r="G242" s="11"/>
      <c r="H242" s="272" t="str">
        <f>'22ndMAY'!J242</f>
        <v/>
      </c>
      <c r="I242" s="281"/>
      <c r="J242" s="11"/>
      <c r="K242" s="11"/>
      <c r="L242" s="11"/>
      <c r="M242" s="11"/>
      <c r="N242" s="11"/>
      <c r="O242" s="11"/>
    </row>
    <row r="243">
      <c r="A243" s="11"/>
      <c r="B243" s="11"/>
      <c r="C243" s="271" t="str">
        <f>'22ndMAY'!E243</f>
        <v/>
      </c>
      <c r="D243" s="11"/>
      <c r="E243" s="11"/>
      <c r="F243" s="11"/>
      <c r="G243" s="11"/>
      <c r="H243" s="272" t="str">
        <f>'22ndMAY'!J243</f>
        <v/>
      </c>
      <c r="I243" s="281"/>
      <c r="J243" s="11"/>
      <c r="K243" s="11"/>
      <c r="L243" s="11"/>
      <c r="M243" s="11"/>
      <c r="N243" s="11"/>
      <c r="O243" s="11"/>
    </row>
    <row r="244">
      <c r="A244" s="11"/>
      <c r="B244" s="11"/>
      <c r="C244" s="271" t="str">
        <f>'22ndMAY'!E244</f>
        <v/>
      </c>
      <c r="D244" s="11"/>
      <c r="E244" s="11"/>
      <c r="F244" s="11"/>
      <c r="G244" s="11"/>
      <c r="H244" s="272" t="str">
        <f>'22ndMAY'!J244</f>
        <v/>
      </c>
      <c r="I244" s="281"/>
      <c r="J244" s="11"/>
      <c r="K244" s="11"/>
      <c r="L244" s="11"/>
      <c r="M244" s="11"/>
      <c r="N244" s="11"/>
      <c r="O244" s="11"/>
    </row>
    <row r="245">
      <c r="A245" s="11"/>
      <c r="B245" s="11"/>
      <c r="C245" s="11"/>
      <c r="D245" s="11"/>
      <c r="E245" s="11"/>
      <c r="F245" s="11"/>
      <c r="G245" s="11"/>
      <c r="H245" s="272" t="str">
        <f>'22ndMAY'!J245</f>
        <v/>
      </c>
      <c r="I245" s="281"/>
      <c r="J245" s="11"/>
      <c r="K245" s="11"/>
      <c r="L245" s="11"/>
      <c r="M245" s="11"/>
      <c r="N245" s="11"/>
      <c r="O245" s="11"/>
    </row>
    <row r="246">
      <c r="A246" s="11"/>
      <c r="B246" s="11"/>
      <c r="C246" s="11"/>
      <c r="D246" s="11"/>
      <c r="E246" s="11"/>
      <c r="F246" s="11"/>
      <c r="G246" s="11"/>
      <c r="H246" s="272" t="str">
        <f>'22ndMAY'!J246</f>
        <v/>
      </c>
      <c r="I246" s="281"/>
      <c r="J246" s="11"/>
      <c r="K246" s="11"/>
      <c r="L246" s="11"/>
      <c r="M246" s="11"/>
      <c r="N246" s="11"/>
      <c r="O246" s="11"/>
    </row>
    <row r="247">
      <c r="A247" s="11"/>
      <c r="B247" s="11"/>
      <c r="C247" s="11"/>
      <c r="D247" s="11"/>
      <c r="E247" s="11"/>
      <c r="F247" s="11"/>
      <c r="G247" s="11"/>
      <c r="H247" s="272" t="str">
        <f>'22ndMAY'!J247</f>
        <v/>
      </c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11"/>
      <c r="D248" s="11"/>
      <c r="E248" s="11"/>
      <c r="F248" s="11"/>
      <c r="G248" s="11"/>
      <c r="H248" s="272" t="str">
        <f>'22ndMAY'!J248</f>
        <v/>
      </c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11"/>
      <c r="D249" s="11"/>
      <c r="E249" s="11"/>
      <c r="F249" s="11"/>
      <c r="G249" s="11"/>
      <c r="H249" s="272" t="str">
        <f>'22ndMAY'!J249</f>
        <v/>
      </c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11"/>
      <c r="D250" s="11"/>
      <c r="E250" s="11"/>
      <c r="F250" s="11"/>
      <c r="G250" s="11"/>
      <c r="H250" s="272" t="str">
        <f>'22ndMAY'!J250</f>
        <v/>
      </c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11"/>
      <c r="D251" s="11"/>
      <c r="E251" s="11"/>
      <c r="F251" s="11"/>
      <c r="G251" s="11"/>
      <c r="H251" s="272" t="str">
        <f>'22ndMAY'!J251</f>
        <v/>
      </c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11"/>
      <c r="D252" s="11"/>
      <c r="E252" s="11"/>
      <c r="F252" s="11"/>
      <c r="G252" s="11"/>
      <c r="H252" s="272" t="str">
        <f>'22ndMAY'!J252</f>
        <v/>
      </c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272" t="str">
        <f>'22ndMAY'!J253</f>
        <v/>
      </c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272" t="str">
        <f>'22ndMAY'!J254</f>
        <v/>
      </c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272" t="str">
        <f>'22ndMAY'!J255</f>
        <v/>
      </c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272" t="str">
        <f>'22ndMAY'!J256</f>
        <v/>
      </c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272" t="str">
        <f>'22ndMAY'!J257</f>
        <v/>
      </c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272" t="str">
        <f>'22ndMAY'!J258</f>
        <v/>
      </c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272" t="str">
        <f>'22ndMAY'!J259</f>
        <v/>
      </c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272" t="str">
        <f>'22ndMAY'!J260</f>
        <v/>
      </c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272" t="str">
        <f>'22ndMAY'!J261</f>
        <v/>
      </c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272" t="str">
        <f>'22ndMAY'!J262</f>
        <v/>
      </c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272" t="str">
        <f>'22ndMAY'!J263</f>
        <v/>
      </c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272" t="str">
        <f>'22ndMAY'!J264</f>
        <v/>
      </c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272" t="str">
        <f>'22ndMAY'!J265</f>
        <v/>
      </c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272" t="str">
        <f>'22ndMAY'!J266</f>
        <v/>
      </c>
      <c r="I266" s="11"/>
      <c r="J266" s="11"/>
      <c r="K266" s="11"/>
      <c r="L266" s="11"/>
      <c r="M266" s="11"/>
      <c r="N266" s="11"/>
      <c r="O266" s="11"/>
    </row>
    <row r="267">
      <c r="A267" s="11"/>
      <c r="B267" s="28"/>
      <c r="C267" s="28"/>
      <c r="D267" s="28"/>
      <c r="E267" s="28"/>
      <c r="F267" s="28"/>
      <c r="G267" s="28"/>
      <c r="H267" s="272" t="str">
        <f>'22ndMAY'!J267</f>
        <v/>
      </c>
      <c r="I267" s="28"/>
      <c r="J267" s="28"/>
      <c r="K267" s="28"/>
      <c r="L267" s="28"/>
      <c r="M267" s="28"/>
      <c r="N267" s="28"/>
      <c r="O267" s="28"/>
    </row>
    <row r="268">
      <c r="A268" s="11"/>
      <c r="B268" s="28"/>
      <c r="C268" s="28"/>
      <c r="D268" s="28"/>
      <c r="E268" s="28"/>
      <c r="F268" s="28"/>
      <c r="G268" s="28"/>
      <c r="H268" s="272" t="str">
        <f>'22ndMAY'!J268</f>
        <v/>
      </c>
      <c r="I268" s="28"/>
      <c r="J268" s="28"/>
      <c r="K268" s="28"/>
      <c r="L268" s="28"/>
      <c r="M268" s="28"/>
      <c r="N268" s="28"/>
      <c r="O268" s="28"/>
    </row>
    <row r="269">
      <c r="A269" s="11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11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11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11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11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11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11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11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11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11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11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11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11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11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11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11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11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11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11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11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11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11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11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11"/>
      <c r="B292" s="235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11"/>
      <c r="B293" s="235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11"/>
      <c r="B294" s="235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11"/>
      <c r="B295" s="235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11"/>
      <c r="B296" s="235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11"/>
      <c r="B297" s="235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11"/>
      <c r="B298" s="235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11"/>
      <c r="B299" s="235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11"/>
      <c r="B300" s="235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11"/>
      <c r="B301" s="235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11"/>
      <c r="B302" s="235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11"/>
      <c r="B303" s="235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11"/>
      <c r="B304" s="235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11"/>
      <c r="B305" s="235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11"/>
      <c r="B306" s="235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11"/>
      <c r="B307" s="235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11"/>
      <c r="B308" s="235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11"/>
      <c r="B309" s="235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11"/>
      <c r="B310" s="235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11"/>
      <c r="B311" s="235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11"/>
      <c r="B312" s="235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11"/>
      <c r="B313" s="235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11"/>
      <c r="B314" s="235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11"/>
      <c r="B315" s="235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11"/>
      <c r="B316" s="235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11"/>
      <c r="B317" s="235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11"/>
      <c r="B318" s="235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11"/>
      <c r="B319" s="235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11"/>
      <c r="B320" s="235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11"/>
      <c r="B321" s="235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11"/>
      <c r="B322" s="235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11"/>
      <c r="B323" s="235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11"/>
      <c r="B324" s="235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11"/>
      <c r="B325" s="235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11"/>
      <c r="B326" s="235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11"/>
      <c r="B327" s="235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11"/>
      <c r="B328" s="235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11"/>
      <c r="B329" s="235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11"/>
      <c r="B330" s="235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11"/>
      <c r="B331" s="235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11"/>
      <c r="B332" s="235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11"/>
      <c r="B333" s="235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11"/>
      <c r="B334" s="235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11"/>
      <c r="B335" s="235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11"/>
      <c r="B336" s="235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A337" s="300"/>
    </row>
    <row r="338">
      <c r="A338" s="300"/>
    </row>
    <row r="339">
      <c r="A339" s="300"/>
    </row>
    <row r="340">
      <c r="A340" s="300"/>
    </row>
    <row r="341">
      <c r="A341" s="300"/>
    </row>
    <row r="342">
      <c r="A342" s="300"/>
    </row>
    <row r="343">
      <c r="A343" s="300"/>
    </row>
    <row r="344">
      <c r="A344" s="300"/>
    </row>
    <row r="345">
      <c r="A345" s="300"/>
    </row>
    <row r="346">
      <c r="A346" s="300"/>
    </row>
    <row r="347">
      <c r="A347" s="300"/>
    </row>
    <row r="348">
      <c r="A348" s="300"/>
    </row>
    <row r="349">
      <c r="A349" s="300"/>
    </row>
    <row r="350">
      <c r="A350" s="300"/>
    </row>
    <row r="351">
      <c r="A351" s="300"/>
    </row>
    <row r="352">
      <c r="A352" s="300"/>
    </row>
    <row r="353">
      <c r="A353" s="300"/>
    </row>
    <row r="354">
      <c r="A354" s="300"/>
    </row>
    <row r="355">
      <c r="A355" s="300"/>
    </row>
    <row r="356">
      <c r="A356" s="300"/>
    </row>
    <row r="357">
      <c r="A357" s="300"/>
    </row>
    <row r="358">
      <c r="A358" s="300"/>
    </row>
    <row r="359">
      <c r="A359" s="300"/>
    </row>
    <row r="360">
      <c r="A360" s="300"/>
    </row>
    <row r="361">
      <c r="A361" s="300"/>
    </row>
    <row r="362">
      <c r="A362" s="300"/>
    </row>
    <row r="363">
      <c r="A363" s="300"/>
    </row>
    <row r="364">
      <c r="A364" s="300"/>
    </row>
    <row r="365">
      <c r="A365" s="300"/>
    </row>
    <row r="366">
      <c r="A366" s="300"/>
    </row>
    <row r="367">
      <c r="A367" s="300"/>
    </row>
    <row r="368">
      <c r="A368" s="300"/>
    </row>
    <row r="369">
      <c r="A369" s="300"/>
    </row>
    <row r="370">
      <c r="A370" s="300"/>
    </row>
    <row r="371">
      <c r="A371" s="300"/>
    </row>
    <row r="372">
      <c r="A372" s="300"/>
    </row>
    <row r="373">
      <c r="A373" s="300"/>
    </row>
    <row r="374">
      <c r="A374" s="300"/>
    </row>
    <row r="375">
      <c r="A375" s="300"/>
    </row>
    <row r="376">
      <c r="A376" s="300"/>
    </row>
    <row r="377">
      <c r="A377" s="300"/>
    </row>
    <row r="378">
      <c r="A378" s="300"/>
    </row>
    <row r="379">
      <c r="A379" s="300"/>
    </row>
    <row r="380">
      <c r="A380" s="300"/>
    </row>
    <row r="381">
      <c r="A381" s="300"/>
    </row>
    <row r="382">
      <c r="A382" s="300"/>
    </row>
    <row r="383">
      <c r="A383" s="300"/>
    </row>
    <row r="384">
      <c r="A384" s="300"/>
    </row>
    <row r="385">
      <c r="A385" s="300"/>
    </row>
    <row r="386">
      <c r="A386" s="300"/>
    </row>
    <row r="387">
      <c r="A387" s="300"/>
    </row>
    <row r="388">
      <c r="A388" s="300"/>
    </row>
    <row r="389">
      <c r="A389" s="300"/>
    </row>
    <row r="390">
      <c r="A390" s="300"/>
    </row>
    <row r="391">
      <c r="A391" s="300"/>
    </row>
    <row r="392">
      <c r="A392" s="300"/>
    </row>
    <row r="393">
      <c r="A393" s="300"/>
    </row>
    <row r="394">
      <c r="A394" s="300"/>
    </row>
    <row r="395">
      <c r="A395" s="300"/>
    </row>
    <row r="396">
      <c r="A396" s="300"/>
    </row>
    <row r="397">
      <c r="A397" s="300"/>
    </row>
    <row r="398">
      <c r="A398" s="300"/>
    </row>
    <row r="399">
      <c r="A399" s="300"/>
    </row>
    <row r="400">
      <c r="A400" s="300"/>
    </row>
    <row r="401">
      <c r="A401" s="300"/>
    </row>
    <row r="402">
      <c r="A402" s="300"/>
    </row>
    <row r="403">
      <c r="A403" s="300"/>
    </row>
    <row r="404">
      <c r="A404" s="300"/>
    </row>
    <row r="405">
      <c r="A405" s="300"/>
    </row>
    <row r="406">
      <c r="A406" s="300"/>
    </row>
    <row r="407">
      <c r="A407" s="300"/>
    </row>
    <row r="408">
      <c r="A408" s="300"/>
    </row>
    <row r="409">
      <c r="A409" s="300"/>
    </row>
    <row r="410">
      <c r="A410" s="300"/>
    </row>
    <row r="411">
      <c r="A411" s="300"/>
    </row>
    <row r="412">
      <c r="A412" s="300"/>
    </row>
    <row r="413">
      <c r="A413" s="300"/>
    </row>
    <row r="414">
      <c r="A414" s="300"/>
    </row>
    <row r="415">
      <c r="A415" s="300"/>
    </row>
    <row r="416">
      <c r="A416" s="300"/>
    </row>
    <row r="417">
      <c r="A417" s="300"/>
    </row>
    <row r="418">
      <c r="A418" s="300"/>
    </row>
    <row r="419">
      <c r="A419" s="300"/>
    </row>
    <row r="420">
      <c r="A420" s="300"/>
    </row>
    <row r="421">
      <c r="A421" s="300"/>
    </row>
    <row r="422">
      <c r="A422" s="300"/>
    </row>
    <row r="423">
      <c r="A423" s="300"/>
    </row>
    <row r="424">
      <c r="A424" s="300"/>
    </row>
    <row r="425">
      <c r="A425" s="300"/>
    </row>
    <row r="426">
      <c r="A426" s="300"/>
    </row>
    <row r="427">
      <c r="A427" s="300"/>
    </row>
    <row r="428">
      <c r="A428" s="300"/>
    </row>
    <row r="429">
      <c r="A429" s="300"/>
    </row>
    <row r="430">
      <c r="A430" s="300"/>
    </row>
    <row r="431">
      <c r="A431" s="300"/>
    </row>
    <row r="432">
      <c r="A432" s="300"/>
    </row>
    <row r="433">
      <c r="A433" s="300"/>
    </row>
    <row r="434">
      <c r="A434" s="300"/>
    </row>
    <row r="435">
      <c r="A435" s="300"/>
    </row>
    <row r="436">
      <c r="A436" s="300"/>
    </row>
    <row r="437">
      <c r="A437" s="300"/>
    </row>
    <row r="438">
      <c r="A438" s="300"/>
    </row>
    <row r="439">
      <c r="A439" s="300"/>
    </row>
    <row r="440">
      <c r="A440" s="300"/>
    </row>
    <row r="441">
      <c r="A441" s="300"/>
    </row>
    <row r="442">
      <c r="A442" s="300"/>
    </row>
    <row r="443">
      <c r="A443" s="300"/>
    </row>
    <row r="444">
      <c r="A444" s="300"/>
    </row>
    <row r="445">
      <c r="A445" s="300"/>
    </row>
    <row r="446">
      <c r="A446" s="300"/>
    </row>
    <row r="447">
      <c r="A447" s="300"/>
    </row>
    <row r="448">
      <c r="A448" s="300"/>
    </row>
    <row r="449">
      <c r="A449" s="300"/>
    </row>
    <row r="450">
      <c r="A450" s="300"/>
    </row>
    <row r="451">
      <c r="A451" s="300"/>
    </row>
    <row r="452">
      <c r="A452" s="300"/>
    </row>
    <row r="453">
      <c r="A453" s="300"/>
    </row>
    <row r="454">
      <c r="A454" s="300"/>
    </row>
    <row r="455">
      <c r="A455" s="300"/>
    </row>
    <row r="456">
      <c r="A456" s="300"/>
    </row>
    <row r="457">
      <c r="A457" s="300"/>
    </row>
    <row r="458">
      <c r="A458" s="300"/>
    </row>
    <row r="459">
      <c r="A459" s="300"/>
    </row>
    <row r="460">
      <c r="A460" s="300"/>
    </row>
    <row r="461">
      <c r="A461" s="300"/>
    </row>
    <row r="462">
      <c r="A462" s="300"/>
    </row>
    <row r="463">
      <c r="A463" s="300"/>
    </row>
    <row r="464">
      <c r="A464" s="300"/>
    </row>
    <row r="465">
      <c r="A465" s="300"/>
    </row>
    <row r="466">
      <c r="A466" s="300"/>
    </row>
    <row r="467">
      <c r="A467" s="300"/>
    </row>
    <row r="468">
      <c r="A468" s="300"/>
    </row>
    <row r="469">
      <c r="A469" s="300"/>
    </row>
    <row r="470">
      <c r="A470" s="300"/>
    </row>
    <row r="471">
      <c r="A471" s="300"/>
    </row>
    <row r="472">
      <c r="A472" s="300"/>
    </row>
    <row r="473">
      <c r="A473" s="300"/>
    </row>
    <row r="474">
      <c r="A474" s="300"/>
    </row>
    <row r="475">
      <c r="A475" s="300"/>
    </row>
    <row r="476">
      <c r="A476" s="300"/>
    </row>
    <row r="477">
      <c r="A477" s="300"/>
    </row>
    <row r="478">
      <c r="A478" s="300"/>
    </row>
    <row r="479">
      <c r="A479" s="300"/>
    </row>
    <row r="480">
      <c r="A480" s="300"/>
    </row>
    <row r="481">
      <c r="A481" s="300"/>
    </row>
    <row r="482">
      <c r="A482" s="300"/>
    </row>
    <row r="483">
      <c r="A483" s="300"/>
    </row>
    <row r="484">
      <c r="A484" s="300"/>
    </row>
    <row r="485">
      <c r="A485" s="300"/>
    </row>
    <row r="486">
      <c r="A486" s="300"/>
    </row>
    <row r="487">
      <c r="A487" s="300"/>
    </row>
    <row r="488">
      <c r="A488" s="300"/>
    </row>
    <row r="489">
      <c r="A489" s="300"/>
    </row>
    <row r="490">
      <c r="A490" s="300"/>
    </row>
    <row r="491">
      <c r="A491" s="300"/>
    </row>
    <row r="492">
      <c r="A492" s="300"/>
    </row>
    <row r="493">
      <c r="A493" s="300"/>
    </row>
    <row r="494">
      <c r="A494" s="300"/>
    </row>
    <row r="495">
      <c r="A495" s="300"/>
    </row>
    <row r="496">
      <c r="A496" s="300"/>
    </row>
    <row r="497">
      <c r="A497" s="300"/>
    </row>
    <row r="498">
      <c r="A498" s="300"/>
    </row>
    <row r="499">
      <c r="A499" s="300"/>
    </row>
    <row r="500">
      <c r="A500" s="300"/>
    </row>
    <row r="501">
      <c r="A501" s="300"/>
    </row>
    <row r="502">
      <c r="A502" s="300"/>
    </row>
    <row r="503">
      <c r="A503" s="300"/>
    </row>
    <row r="504">
      <c r="A504" s="300"/>
    </row>
    <row r="505">
      <c r="A505" s="300"/>
    </row>
    <row r="506">
      <c r="A506" s="300"/>
    </row>
    <row r="507">
      <c r="A507" s="300"/>
    </row>
    <row r="508">
      <c r="A508" s="300"/>
    </row>
    <row r="509">
      <c r="A509" s="300"/>
    </row>
    <row r="510">
      <c r="A510" s="300"/>
    </row>
    <row r="511">
      <c r="A511" s="300"/>
    </row>
    <row r="512">
      <c r="A512" s="300"/>
    </row>
    <row r="513">
      <c r="A513" s="300"/>
    </row>
    <row r="514">
      <c r="A514" s="300"/>
    </row>
    <row r="515">
      <c r="A515" s="300"/>
    </row>
    <row r="516">
      <c r="A516" s="300"/>
    </row>
    <row r="517">
      <c r="A517" s="300"/>
    </row>
    <row r="518">
      <c r="A518" s="300"/>
    </row>
    <row r="519">
      <c r="A519" s="300"/>
    </row>
    <row r="520">
      <c r="A520" s="300"/>
    </row>
    <row r="521">
      <c r="A521" s="300"/>
    </row>
    <row r="522">
      <c r="A522" s="300"/>
    </row>
    <row r="523">
      <c r="A523" s="300"/>
    </row>
    <row r="524">
      <c r="A524" s="300"/>
    </row>
    <row r="525">
      <c r="A525" s="300"/>
    </row>
    <row r="526">
      <c r="A526" s="300"/>
    </row>
    <row r="527">
      <c r="A527" s="300"/>
    </row>
    <row r="528">
      <c r="A528" s="300"/>
    </row>
    <row r="529">
      <c r="A529" s="300"/>
    </row>
    <row r="530">
      <c r="A530" s="300"/>
    </row>
    <row r="531">
      <c r="A531" s="300"/>
    </row>
    <row r="532">
      <c r="A532" s="300"/>
    </row>
    <row r="533">
      <c r="A533" s="300"/>
    </row>
    <row r="534">
      <c r="A534" s="300"/>
    </row>
    <row r="535">
      <c r="A535" s="300"/>
    </row>
    <row r="536">
      <c r="A536" s="300"/>
    </row>
    <row r="537">
      <c r="A537" s="300"/>
    </row>
    <row r="538">
      <c r="A538" s="300"/>
    </row>
    <row r="539">
      <c r="A539" s="300"/>
    </row>
    <row r="540">
      <c r="A540" s="300"/>
    </row>
    <row r="541">
      <c r="A541" s="300"/>
    </row>
    <row r="542">
      <c r="A542" s="300"/>
    </row>
    <row r="543">
      <c r="A543" s="300"/>
    </row>
    <row r="544">
      <c r="A544" s="300"/>
    </row>
    <row r="545">
      <c r="A545" s="300"/>
    </row>
    <row r="546">
      <c r="A546" s="300"/>
    </row>
    <row r="547">
      <c r="A547" s="300"/>
    </row>
    <row r="548">
      <c r="A548" s="300"/>
    </row>
    <row r="549">
      <c r="A549" s="300"/>
    </row>
    <row r="550">
      <c r="A550" s="300"/>
    </row>
    <row r="551">
      <c r="A551" s="300"/>
    </row>
    <row r="552">
      <c r="A552" s="300"/>
    </row>
    <row r="553">
      <c r="A553" s="300"/>
    </row>
    <row r="554">
      <c r="A554" s="300"/>
    </row>
    <row r="555">
      <c r="A555" s="300"/>
    </row>
    <row r="556">
      <c r="A556" s="300"/>
    </row>
    <row r="557">
      <c r="A557" s="300"/>
    </row>
    <row r="558">
      <c r="A558" s="300"/>
    </row>
    <row r="559">
      <c r="A559" s="300"/>
    </row>
    <row r="560">
      <c r="A560" s="300"/>
    </row>
    <row r="561">
      <c r="A561" s="300"/>
    </row>
    <row r="562">
      <c r="A562" s="300"/>
    </row>
    <row r="563">
      <c r="A563" s="300"/>
    </row>
    <row r="564">
      <c r="A564" s="300"/>
    </row>
    <row r="565">
      <c r="A565" s="300"/>
    </row>
    <row r="566">
      <c r="A566" s="300"/>
    </row>
    <row r="567">
      <c r="A567" s="300"/>
    </row>
    <row r="568">
      <c r="A568" s="300"/>
    </row>
    <row r="569">
      <c r="A569" s="300"/>
    </row>
    <row r="570">
      <c r="A570" s="300"/>
    </row>
    <row r="571">
      <c r="A571" s="300"/>
    </row>
    <row r="572">
      <c r="A572" s="300"/>
    </row>
    <row r="573">
      <c r="A573" s="300"/>
    </row>
    <row r="574">
      <c r="A574" s="300"/>
    </row>
    <row r="575">
      <c r="A575" s="300"/>
    </row>
    <row r="576">
      <c r="A576" s="300"/>
    </row>
    <row r="577">
      <c r="A577" s="300"/>
    </row>
    <row r="578">
      <c r="A578" s="300"/>
    </row>
    <row r="579">
      <c r="A579" s="300"/>
    </row>
    <row r="580">
      <c r="A580" s="300"/>
    </row>
    <row r="581">
      <c r="A581" s="300"/>
    </row>
    <row r="582">
      <c r="A582" s="300"/>
    </row>
    <row r="583">
      <c r="A583" s="300"/>
    </row>
    <row r="584">
      <c r="A584" s="300"/>
    </row>
    <row r="585">
      <c r="A585" s="300"/>
    </row>
    <row r="586">
      <c r="A586" s="300"/>
    </row>
    <row r="587">
      <c r="A587" s="300"/>
    </row>
    <row r="588">
      <c r="A588" s="300"/>
    </row>
    <row r="589">
      <c r="A589" s="300"/>
    </row>
    <row r="590">
      <c r="A590" s="300"/>
    </row>
    <row r="591">
      <c r="A591" s="300"/>
    </row>
    <row r="592">
      <c r="A592" s="300"/>
    </row>
    <row r="593">
      <c r="A593" s="300"/>
    </row>
    <row r="594">
      <c r="A594" s="300"/>
    </row>
    <row r="595">
      <c r="A595" s="300"/>
    </row>
    <row r="596">
      <c r="A596" s="300"/>
    </row>
    <row r="597">
      <c r="A597" s="300"/>
    </row>
    <row r="598">
      <c r="A598" s="300"/>
    </row>
    <row r="599">
      <c r="A599" s="300"/>
    </row>
    <row r="600">
      <c r="A600" s="300"/>
    </row>
    <row r="601">
      <c r="A601" s="300"/>
    </row>
    <row r="602">
      <c r="A602" s="300"/>
    </row>
    <row r="603">
      <c r="A603" s="300"/>
    </row>
    <row r="604">
      <c r="A604" s="300"/>
    </row>
    <row r="605">
      <c r="A605" s="300"/>
    </row>
    <row r="606">
      <c r="A606" s="300"/>
    </row>
    <row r="607">
      <c r="A607" s="300"/>
    </row>
    <row r="608">
      <c r="A608" s="300"/>
    </row>
    <row r="609">
      <c r="A609" s="300"/>
    </row>
    <row r="610">
      <c r="A610" s="300"/>
    </row>
    <row r="611">
      <c r="A611" s="300"/>
    </row>
    <row r="612">
      <c r="A612" s="300"/>
    </row>
    <row r="613">
      <c r="A613" s="300"/>
    </row>
    <row r="614">
      <c r="A614" s="300"/>
    </row>
    <row r="615">
      <c r="A615" s="300"/>
    </row>
    <row r="616">
      <c r="A616" s="300"/>
    </row>
    <row r="617">
      <c r="A617" s="300"/>
    </row>
    <row r="618">
      <c r="A618" s="300"/>
    </row>
    <row r="619">
      <c r="A619" s="300"/>
    </row>
    <row r="620">
      <c r="A620" s="300"/>
    </row>
    <row r="621">
      <c r="A621" s="300"/>
    </row>
    <row r="622">
      <c r="A622" s="300"/>
    </row>
    <row r="623">
      <c r="A623" s="300"/>
    </row>
    <row r="624">
      <c r="A624" s="300"/>
    </row>
    <row r="625">
      <c r="A625" s="300"/>
    </row>
    <row r="626">
      <c r="A626" s="300"/>
    </row>
    <row r="627">
      <c r="A627" s="300"/>
    </row>
    <row r="628">
      <c r="A628" s="300"/>
    </row>
    <row r="629">
      <c r="A629" s="300"/>
    </row>
    <row r="630">
      <c r="A630" s="300"/>
    </row>
    <row r="631">
      <c r="A631" s="300"/>
    </row>
    <row r="632">
      <c r="A632" s="300"/>
    </row>
    <row r="633">
      <c r="A633" s="300"/>
    </row>
    <row r="634">
      <c r="A634" s="300"/>
    </row>
    <row r="635">
      <c r="A635" s="300"/>
    </row>
    <row r="636">
      <c r="A636" s="300"/>
    </row>
    <row r="637">
      <c r="A637" s="300"/>
    </row>
    <row r="638">
      <c r="A638" s="300"/>
    </row>
    <row r="639">
      <c r="A639" s="300"/>
    </row>
    <row r="640">
      <c r="A640" s="300"/>
    </row>
    <row r="641">
      <c r="A641" s="300"/>
    </row>
    <row r="642">
      <c r="A642" s="300"/>
    </row>
    <row r="643">
      <c r="A643" s="300"/>
    </row>
    <row r="644">
      <c r="A644" s="300"/>
    </row>
    <row r="645">
      <c r="A645" s="300"/>
    </row>
    <row r="646">
      <c r="A646" s="300"/>
    </row>
    <row r="647">
      <c r="A647" s="300"/>
    </row>
    <row r="648">
      <c r="A648" s="300"/>
    </row>
    <row r="649">
      <c r="A649" s="300"/>
    </row>
    <row r="650">
      <c r="A650" s="300"/>
    </row>
    <row r="651">
      <c r="A651" s="300"/>
    </row>
    <row r="652">
      <c r="A652" s="300"/>
    </row>
    <row r="653">
      <c r="A653" s="300"/>
    </row>
    <row r="654">
      <c r="A654" s="300"/>
    </row>
    <row r="655">
      <c r="A655" s="300"/>
    </row>
    <row r="656">
      <c r="A656" s="300"/>
    </row>
    <row r="657">
      <c r="A657" s="300"/>
    </row>
    <row r="658">
      <c r="A658" s="300"/>
    </row>
    <row r="659">
      <c r="A659" s="300"/>
    </row>
    <row r="660">
      <c r="A660" s="300"/>
    </row>
    <row r="661">
      <c r="A661" s="300"/>
    </row>
    <row r="662">
      <c r="A662" s="300"/>
    </row>
    <row r="663">
      <c r="A663" s="300"/>
    </row>
    <row r="664">
      <c r="A664" s="300"/>
    </row>
    <row r="665">
      <c r="A665" s="300"/>
    </row>
    <row r="666">
      <c r="A666" s="300"/>
    </row>
    <row r="667">
      <c r="A667" s="300"/>
    </row>
    <row r="668">
      <c r="A668" s="300"/>
    </row>
    <row r="669">
      <c r="A669" s="300"/>
    </row>
    <row r="670">
      <c r="A670" s="300"/>
    </row>
    <row r="671">
      <c r="A671" s="300"/>
    </row>
    <row r="672">
      <c r="A672" s="300"/>
    </row>
    <row r="673">
      <c r="A673" s="300"/>
    </row>
    <row r="674">
      <c r="A674" s="300"/>
    </row>
    <row r="675">
      <c r="A675" s="300"/>
    </row>
    <row r="676">
      <c r="A676" s="300"/>
    </row>
    <row r="677">
      <c r="A677" s="300"/>
    </row>
    <row r="678">
      <c r="A678" s="300"/>
    </row>
    <row r="679">
      <c r="A679" s="300"/>
    </row>
    <row r="680">
      <c r="A680" s="300"/>
    </row>
    <row r="681">
      <c r="A681" s="300"/>
    </row>
    <row r="682">
      <c r="A682" s="300"/>
    </row>
    <row r="683">
      <c r="A683" s="300"/>
    </row>
    <row r="684">
      <c r="A684" s="300"/>
    </row>
    <row r="685">
      <c r="A685" s="300"/>
    </row>
    <row r="686">
      <c r="A686" s="300"/>
    </row>
    <row r="687">
      <c r="A687" s="300"/>
    </row>
    <row r="688">
      <c r="A688" s="300"/>
    </row>
    <row r="689">
      <c r="A689" s="300"/>
    </row>
    <row r="690">
      <c r="A690" s="300"/>
    </row>
    <row r="691">
      <c r="A691" s="300"/>
    </row>
    <row r="692">
      <c r="A692" s="300"/>
    </row>
    <row r="693">
      <c r="A693" s="300"/>
    </row>
    <row r="694">
      <c r="A694" s="300"/>
    </row>
    <row r="695">
      <c r="A695" s="300"/>
    </row>
    <row r="696">
      <c r="A696" s="300"/>
    </row>
    <row r="697">
      <c r="A697" s="300"/>
    </row>
    <row r="698">
      <c r="A698" s="300"/>
    </row>
    <row r="699">
      <c r="A699" s="300"/>
    </row>
    <row r="700">
      <c r="A700" s="300"/>
    </row>
    <row r="701">
      <c r="A701" s="300"/>
    </row>
    <row r="702">
      <c r="A702" s="300"/>
    </row>
    <row r="703">
      <c r="A703" s="300"/>
    </row>
    <row r="704">
      <c r="A704" s="300"/>
    </row>
    <row r="705">
      <c r="A705" s="300"/>
    </row>
    <row r="706">
      <c r="A706" s="300"/>
    </row>
    <row r="707">
      <c r="A707" s="300"/>
    </row>
    <row r="708">
      <c r="A708" s="300"/>
    </row>
    <row r="709">
      <c r="A709" s="300"/>
    </row>
    <row r="710">
      <c r="A710" s="300"/>
    </row>
    <row r="711">
      <c r="A711" s="300"/>
    </row>
    <row r="712">
      <c r="A712" s="300"/>
    </row>
    <row r="713">
      <c r="A713" s="300"/>
    </row>
    <row r="714">
      <c r="A714" s="300"/>
    </row>
    <row r="715">
      <c r="A715" s="300"/>
    </row>
    <row r="716">
      <c r="A716" s="300"/>
    </row>
    <row r="717">
      <c r="A717" s="300"/>
    </row>
    <row r="718">
      <c r="A718" s="300"/>
    </row>
    <row r="719">
      <c r="A719" s="300"/>
    </row>
    <row r="720">
      <c r="A720" s="300"/>
    </row>
    <row r="721">
      <c r="A721" s="300"/>
    </row>
    <row r="722">
      <c r="A722" s="300"/>
    </row>
    <row r="723">
      <c r="A723" s="300"/>
    </row>
    <row r="724">
      <c r="A724" s="300"/>
    </row>
    <row r="725">
      <c r="A725" s="300"/>
    </row>
    <row r="726">
      <c r="A726" s="300"/>
    </row>
    <row r="727">
      <c r="A727" s="300"/>
    </row>
    <row r="728">
      <c r="A728" s="300"/>
    </row>
    <row r="729">
      <c r="A729" s="300"/>
    </row>
    <row r="730">
      <c r="A730" s="300"/>
    </row>
    <row r="731">
      <c r="A731" s="300"/>
    </row>
    <row r="732">
      <c r="A732" s="300"/>
    </row>
    <row r="733">
      <c r="A733" s="300"/>
    </row>
    <row r="734">
      <c r="A734" s="300"/>
    </row>
    <row r="735">
      <c r="A735" s="300"/>
    </row>
    <row r="736">
      <c r="A736" s="300"/>
    </row>
    <row r="737">
      <c r="A737" s="300"/>
    </row>
    <row r="738">
      <c r="A738" s="300"/>
    </row>
    <row r="739">
      <c r="A739" s="300"/>
    </row>
    <row r="740">
      <c r="A740" s="300"/>
    </row>
    <row r="741">
      <c r="A741" s="300"/>
    </row>
    <row r="742">
      <c r="A742" s="300"/>
    </row>
    <row r="743">
      <c r="A743" s="300"/>
    </row>
    <row r="744">
      <c r="A744" s="300"/>
    </row>
    <row r="745">
      <c r="A745" s="300"/>
    </row>
    <row r="746">
      <c r="A746" s="300"/>
    </row>
    <row r="747">
      <c r="A747" s="300"/>
    </row>
    <row r="748">
      <c r="A748" s="300"/>
    </row>
    <row r="749">
      <c r="A749" s="300"/>
    </row>
    <row r="750">
      <c r="A750" s="300"/>
    </row>
    <row r="751">
      <c r="A751" s="300"/>
    </row>
    <row r="752">
      <c r="A752" s="300"/>
    </row>
    <row r="753">
      <c r="A753" s="300"/>
    </row>
    <row r="754">
      <c r="A754" s="300"/>
    </row>
    <row r="755">
      <c r="A755" s="300"/>
    </row>
    <row r="756">
      <c r="A756" s="300"/>
    </row>
    <row r="757">
      <c r="A757" s="300"/>
    </row>
    <row r="758">
      <c r="A758" s="300"/>
    </row>
    <row r="759">
      <c r="A759" s="300"/>
    </row>
    <row r="760">
      <c r="A760" s="300"/>
    </row>
    <row r="761">
      <c r="A761" s="300"/>
    </row>
    <row r="762">
      <c r="A762" s="300"/>
    </row>
    <row r="763">
      <c r="A763" s="300"/>
    </row>
    <row r="764">
      <c r="A764" s="300"/>
    </row>
    <row r="765">
      <c r="A765" s="300"/>
    </row>
    <row r="766">
      <c r="A766" s="300"/>
    </row>
    <row r="767">
      <c r="A767" s="300"/>
    </row>
    <row r="768">
      <c r="A768" s="300"/>
    </row>
    <row r="769">
      <c r="A769" s="300"/>
    </row>
    <row r="770">
      <c r="A770" s="300"/>
    </row>
    <row r="771">
      <c r="A771" s="300"/>
    </row>
    <row r="772">
      <c r="A772" s="300"/>
    </row>
    <row r="773">
      <c r="A773" s="300"/>
    </row>
    <row r="774">
      <c r="A774" s="300"/>
    </row>
    <row r="775">
      <c r="A775" s="300"/>
    </row>
    <row r="776">
      <c r="A776" s="300"/>
    </row>
    <row r="777">
      <c r="A777" s="300"/>
    </row>
    <row r="778">
      <c r="A778" s="300"/>
    </row>
    <row r="779">
      <c r="A779" s="300"/>
    </row>
    <row r="780">
      <c r="A780" s="300"/>
    </row>
    <row r="781">
      <c r="A781" s="300"/>
    </row>
    <row r="782">
      <c r="A782" s="300"/>
    </row>
    <row r="783">
      <c r="A783" s="300"/>
    </row>
    <row r="784">
      <c r="A784" s="300"/>
    </row>
    <row r="785">
      <c r="A785" s="300"/>
    </row>
    <row r="786">
      <c r="A786" s="300"/>
    </row>
    <row r="787">
      <c r="A787" s="300"/>
    </row>
    <row r="788">
      <c r="A788" s="300"/>
    </row>
    <row r="789">
      <c r="A789" s="300"/>
    </row>
    <row r="790">
      <c r="A790" s="300"/>
    </row>
    <row r="791">
      <c r="A791" s="300"/>
    </row>
    <row r="792">
      <c r="A792" s="300"/>
    </row>
    <row r="793">
      <c r="A793" s="300"/>
    </row>
    <row r="794">
      <c r="A794" s="300"/>
    </row>
    <row r="795">
      <c r="A795" s="300"/>
    </row>
    <row r="796">
      <c r="A796" s="300"/>
    </row>
    <row r="797">
      <c r="A797" s="300"/>
    </row>
    <row r="798">
      <c r="A798" s="300"/>
    </row>
    <row r="799">
      <c r="A799" s="300"/>
    </row>
    <row r="800">
      <c r="A800" s="300"/>
    </row>
    <row r="801">
      <c r="A801" s="300"/>
    </row>
    <row r="802">
      <c r="A802" s="300"/>
    </row>
    <row r="803">
      <c r="A803" s="300"/>
    </row>
    <row r="804">
      <c r="A804" s="300"/>
    </row>
    <row r="805">
      <c r="A805" s="300"/>
    </row>
    <row r="806">
      <c r="A806" s="300"/>
    </row>
    <row r="807">
      <c r="A807" s="300"/>
    </row>
    <row r="808">
      <c r="A808" s="300"/>
    </row>
    <row r="809">
      <c r="A809" s="300"/>
    </row>
    <row r="810">
      <c r="A810" s="300"/>
    </row>
    <row r="811">
      <c r="A811" s="300"/>
    </row>
    <row r="812">
      <c r="A812" s="300"/>
    </row>
    <row r="813">
      <c r="A813" s="300"/>
    </row>
    <row r="814">
      <c r="A814" s="300"/>
    </row>
    <row r="815">
      <c r="A815" s="300"/>
    </row>
    <row r="816">
      <c r="A816" s="300"/>
    </row>
    <row r="817">
      <c r="A817" s="300"/>
    </row>
    <row r="818">
      <c r="A818" s="300"/>
    </row>
    <row r="819">
      <c r="A819" s="300"/>
    </row>
    <row r="820">
      <c r="A820" s="300"/>
    </row>
    <row r="821">
      <c r="A821" s="300"/>
    </row>
    <row r="822">
      <c r="A822" s="300"/>
    </row>
    <row r="823">
      <c r="A823" s="300"/>
    </row>
    <row r="824">
      <c r="A824" s="300"/>
    </row>
    <row r="825">
      <c r="A825" s="300"/>
    </row>
    <row r="826">
      <c r="A826" s="300"/>
    </row>
    <row r="827">
      <c r="A827" s="300"/>
    </row>
    <row r="828">
      <c r="A828" s="300"/>
    </row>
    <row r="829">
      <c r="A829" s="300"/>
    </row>
    <row r="830">
      <c r="A830" s="300"/>
    </row>
    <row r="831">
      <c r="A831" s="300"/>
    </row>
    <row r="832">
      <c r="A832" s="300"/>
    </row>
    <row r="833">
      <c r="A833" s="300"/>
    </row>
    <row r="834">
      <c r="A834" s="300"/>
    </row>
    <row r="835">
      <c r="A835" s="300"/>
    </row>
    <row r="836">
      <c r="A836" s="300"/>
    </row>
    <row r="837">
      <c r="A837" s="300"/>
    </row>
    <row r="838">
      <c r="A838" s="300"/>
    </row>
    <row r="839">
      <c r="A839" s="300"/>
    </row>
    <row r="840">
      <c r="A840" s="300"/>
    </row>
    <row r="841">
      <c r="A841" s="300"/>
    </row>
    <row r="842">
      <c r="A842" s="300"/>
    </row>
    <row r="843">
      <c r="A843" s="300"/>
    </row>
    <row r="844">
      <c r="A844" s="300"/>
    </row>
    <row r="845">
      <c r="A845" s="300"/>
    </row>
    <row r="846">
      <c r="A846" s="300"/>
    </row>
    <row r="847">
      <c r="A847" s="300"/>
    </row>
    <row r="848">
      <c r="A848" s="300"/>
    </row>
    <row r="849">
      <c r="A849" s="300"/>
    </row>
    <row r="850">
      <c r="A850" s="300"/>
    </row>
    <row r="851">
      <c r="A851" s="300"/>
    </row>
    <row r="852">
      <c r="A852" s="300"/>
    </row>
    <row r="853">
      <c r="A853" s="300"/>
    </row>
    <row r="854">
      <c r="A854" s="300"/>
    </row>
    <row r="855">
      <c r="A855" s="300"/>
    </row>
    <row r="856">
      <c r="A856" s="300"/>
    </row>
    <row r="857">
      <c r="A857" s="300"/>
    </row>
    <row r="858">
      <c r="A858" s="300"/>
    </row>
    <row r="859">
      <c r="A859" s="300"/>
    </row>
    <row r="860">
      <c r="A860" s="300"/>
    </row>
    <row r="861">
      <c r="A861" s="300"/>
    </row>
    <row r="862">
      <c r="A862" s="300"/>
    </row>
    <row r="863">
      <c r="A863" s="300"/>
    </row>
    <row r="864">
      <c r="A864" s="300"/>
    </row>
    <row r="865">
      <c r="A865" s="300"/>
    </row>
    <row r="866">
      <c r="A866" s="300"/>
    </row>
    <row r="867">
      <c r="A867" s="300"/>
    </row>
    <row r="868">
      <c r="A868" s="300"/>
    </row>
    <row r="869">
      <c r="A869" s="300"/>
    </row>
    <row r="870">
      <c r="A870" s="300"/>
    </row>
    <row r="871">
      <c r="A871" s="300"/>
    </row>
    <row r="872">
      <c r="A872" s="300"/>
    </row>
    <row r="873">
      <c r="A873" s="300"/>
    </row>
    <row r="874">
      <c r="A874" s="300"/>
    </row>
    <row r="875">
      <c r="A875" s="300"/>
    </row>
    <row r="876">
      <c r="A876" s="300"/>
    </row>
    <row r="877">
      <c r="A877" s="300"/>
    </row>
    <row r="878">
      <c r="A878" s="300"/>
    </row>
    <row r="879">
      <c r="A879" s="300"/>
    </row>
    <row r="880">
      <c r="A880" s="300"/>
    </row>
    <row r="881">
      <c r="A881" s="300"/>
    </row>
    <row r="882">
      <c r="A882" s="300"/>
    </row>
    <row r="883">
      <c r="A883" s="300"/>
    </row>
    <row r="884">
      <c r="A884" s="300"/>
    </row>
    <row r="885">
      <c r="A885" s="300"/>
    </row>
    <row r="886">
      <c r="A886" s="300"/>
    </row>
    <row r="887">
      <c r="A887" s="300"/>
    </row>
    <row r="888">
      <c r="A888" s="300"/>
    </row>
    <row r="889">
      <c r="A889" s="300"/>
    </row>
    <row r="890">
      <c r="A890" s="300"/>
    </row>
    <row r="891">
      <c r="A891" s="300"/>
    </row>
    <row r="892">
      <c r="A892" s="300"/>
    </row>
    <row r="893">
      <c r="A893" s="300"/>
    </row>
    <row r="894">
      <c r="A894" s="300"/>
    </row>
    <row r="895">
      <c r="A895" s="300"/>
    </row>
    <row r="896">
      <c r="A896" s="300"/>
    </row>
    <row r="897">
      <c r="A897" s="300"/>
    </row>
    <row r="898">
      <c r="A898" s="300"/>
    </row>
    <row r="899">
      <c r="A899" s="300"/>
    </row>
    <row r="900">
      <c r="A900" s="300"/>
    </row>
    <row r="901">
      <c r="A901" s="300"/>
    </row>
    <row r="902">
      <c r="A902" s="300"/>
    </row>
    <row r="903">
      <c r="A903" s="300"/>
    </row>
    <row r="904">
      <c r="A904" s="300"/>
    </row>
    <row r="905">
      <c r="A905" s="300"/>
    </row>
    <row r="906">
      <c r="A906" s="300"/>
    </row>
    <row r="907">
      <c r="A907" s="300"/>
    </row>
    <row r="908">
      <c r="A908" s="300"/>
    </row>
    <row r="909">
      <c r="A909" s="300"/>
    </row>
    <row r="910">
      <c r="A910" s="300"/>
    </row>
    <row r="911">
      <c r="A911" s="300"/>
    </row>
    <row r="912">
      <c r="A912" s="300"/>
    </row>
    <row r="913">
      <c r="A913" s="300"/>
    </row>
    <row r="914">
      <c r="A914" s="300"/>
    </row>
    <row r="915">
      <c r="A915" s="300"/>
    </row>
    <row r="916">
      <c r="A916" s="300"/>
    </row>
    <row r="917">
      <c r="A917" s="300"/>
    </row>
    <row r="918">
      <c r="A918" s="300"/>
    </row>
    <row r="919">
      <c r="A919" s="300"/>
    </row>
    <row r="920">
      <c r="A920" s="300"/>
    </row>
    <row r="921">
      <c r="A921" s="300"/>
    </row>
    <row r="922">
      <c r="A922" s="300"/>
    </row>
    <row r="923">
      <c r="A923" s="300"/>
    </row>
    <row r="924">
      <c r="A924" s="300"/>
    </row>
    <row r="925">
      <c r="A925" s="300"/>
    </row>
    <row r="926">
      <c r="A926" s="300"/>
    </row>
    <row r="927">
      <c r="A927" s="300"/>
    </row>
    <row r="928">
      <c r="A928" s="300"/>
    </row>
    <row r="929">
      <c r="A929" s="300"/>
    </row>
    <row r="930">
      <c r="A930" s="300"/>
    </row>
    <row r="931">
      <c r="A931" s="300"/>
    </row>
    <row r="932">
      <c r="A932" s="300"/>
    </row>
    <row r="933">
      <c r="A933" s="300"/>
    </row>
    <row r="934">
      <c r="A934" s="300"/>
    </row>
    <row r="935">
      <c r="A935" s="300"/>
    </row>
    <row r="936">
      <c r="A936" s="300"/>
    </row>
    <row r="937">
      <c r="A937" s="300"/>
    </row>
    <row r="938">
      <c r="A938" s="300"/>
    </row>
    <row r="939">
      <c r="A939" s="300"/>
    </row>
    <row r="940">
      <c r="A940" s="300"/>
    </row>
    <row r="941">
      <c r="A941" s="300"/>
    </row>
    <row r="942">
      <c r="A942" s="300"/>
    </row>
    <row r="943">
      <c r="A943" s="300"/>
    </row>
    <row r="944">
      <c r="A944" s="300"/>
    </row>
    <row r="945">
      <c r="A945" s="300"/>
    </row>
    <row r="946">
      <c r="A946" s="300"/>
    </row>
    <row r="947">
      <c r="A947" s="300"/>
    </row>
    <row r="948">
      <c r="A948" s="300"/>
    </row>
    <row r="949">
      <c r="A949" s="300"/>
    </row>
    <row r="950">
      <c r="A950" s="300"/>
    </row>
    <row r="951">
      <c r="A951" s="300"/>
    </row>
    <row r="952">
      <c r="A952" s="300"/>
    </row>
    <row r="953">
      <c r="A953" s="300"/>
    </row>
    <row r="954">
      <c r="A954" s="300"/>
    </row>
    <row r="955">
      <c r="A955" s="300"/>
    </row>
    <row r="956">
      <c r="A956" s="300"/>
    </row>
    <row r="957">
      <c r="A957" s="300"/>
    </row>
    <row r="958">
      <c r="A958" s="300"/>
    </row>
    <row r="959">
      <c r="A959" s="300"/>
    </row>
    <row r="960">
      <c r="A960" s="300"/>
    </row>
    <row r="961">
      <c r="A961" s="300"/>
    </row>
    <row r="962">
      <c r="A962" s="300"/>
    </row>
    <row r="963">
      <c r="A963" s="300"/>
    </row>
    <row r="964">
      <c r="A964" s="300"/>
    </row>
    <row r="965">
      <c r="A965" s="300"/>
    </row>
    <row r="966">
      <c r="A966" s="300"/>
    </row>
    <row r="967">
      <c r="A967" s="300"/>
    </row>
    <row r="968">
      <c r="A968" s="300"/>
    </row>
    <row r="969">
      <c r="A969" s="300"/>
    </row>
    <row r="970">
      <c r="A970" s="300"/>
    </row>
    <row r="971">
      <c r="A971" s="300"/>
    </row>
    <row r="972">
      <c r="A972" s="300"/>
    </row>
    <row r="973">
      <c r="A973" s="300"/>
    </row>
    <row r="974">
      <c r="A974" s="300"/>
    </row>
    <row r="975">
      <c r="A975" s="300"/>
    </row>
    <row r="976">
      <c r="A976" s="300"/>
    </row>
    <row r="977">
      <c r="A977" s="300"/>
    </row>
    <row r="978">
      <c r="A978" s="300"/>
    </row>
    <row r="979">
      <c r="A979" s="300"/>
    </row>
    <row r="980">
      <c r="A980" s="300"/>
    </row>
    <row r="981">
      <c r="A981" s="300"/>
    </row>
    <row r="982">
      <c r="A982" s="300"/>
    </row>
    <row r="983">
      <c r="A983" s="300"/>
    </row>
    <row r="984">
      <c r="A984" s="300"/>
    </row>
    <row r="985">
      <c r="A985" s="300"/>
    </row>
    <row r="986">
      <c r="A986" s="300"/>
    </row>
    <row r="987">
      <c r="A987" s="300"/>
    </row>
    <row r="988">
      <c r="A988" s="300"/>
    </row>
    <row r="989">
      <c r="A989" s="300"/>
    </row>
    <row r="990">
      <c r="A990" s="300"/>
    </row>
    <row r="991">
      <c r="A991" s="300"/>
    </row>
    <row r="992">
      <c r="A992" s="300"/>
    </row>
    <row r="993">
      <c r="A993" s="300"/>
    </row>
    <row r="994">
      <c r="A994" s="300"/>
    </row>
    <row r="995">
      <c r="A995" s="300"/>
    </row>
    <row r="996">
      <c r="A996" s="300"/>
    </row>
    <row r="997">
      <c r="A997" s="300"/>
    </row>
    <row r="998">
      <c r="A998" s="300"/>
    </row>
    <row r="999">
      <c r="A999" s="300"/>
    </row>
    <row r="1000">
      <c r="A1000" s="300"/>
    </row>
    <row r="1001">
      <c r="A1001" s="300"/>
    </row>
    <row r="1002">
      <c r="A1002" s="300"/>
    </row>
    <row r="1003">
      <c r="A1003" s="300"/>
    </row>
  </sheetData>
  <mergeCells count="4">
    <mergeCell ref="A1:O1"/>
    <mergeCell ref="B2:E2"/>
    <mergeCell ref="F2:K2"/>
    <mergeCell ref="L2:O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25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253"/>
      <c r="B2" s="25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260" t="s">
        <v>754</v>
      </c>
      <c r="B3" s="232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266" t="s">
        <v>570</v>
      </c>
      <c r="B4" s="235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260" t="s">
        <v>397</v>
      </c>
      <c r="B5" s="235" t="s">
        <v>402</v>
      </c>
      <c r="C5" s="271">
        <f>'19th-21stMAY'!E5</f>
        <v>26</v>
      </c>
      <c r="D5" s="272">
        <v>22.0</v>
      </c>
      <c r="E5" s="273">
        <v>38.02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29.94</v>
      </c>
      <c r="N5" s="268"/>
      <c r="O5" s="269"/>
    </row>
    <row r="6">
      <c r="A6" s="260" t="s">
        <v>401</v>
      </c>
      <c r="B6" s="235" t="s">
        <v>402</v>
      </c>
      <c r="C6" s="271">
        <f>'19th-21stMAY'!E6</f>
        <v>7</v>
      </c>
      <c r="D6" s="272"/>
      <c r="E6" s="273">
        <v>6.0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2</v>
      </c>
      <c r="N6" s="268"/>
      <c r="O6" s="269"/>
    </row>
    <row r="7">
      <c r="A7" s="260" t="s">
        <v>404</v>
      </c>
      <c r="B7" s="235" t="s">
        <v>402</v>
      </c>
      <c r="C7" s="271">
        <f>'19th-21stMAY'!E7</f>
        <v>4</v>
      </c>
      <c r="D7" s="272">
        <v>7.0</v>
      </c>
      <c r="E7" s="273">
        <v>6.0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25</v>
      </c>
      <c r="N7" s="268"/>
      <c r="O7" s="269"/>
    </row>
    <row r="8">
      <c r="A8" s="260" t="s">
        <v>406</v>
      </c>
      <c r="B8" s="235" t="s">
        <v>402</v>
      </c>
      <c r="C8" s="271">
        <f>'19th-21stMAY'!E8</f>
        <v>13</v>
      </c>
      <c r="D8" s="272">
        <v>10.0</v>
      </c>
      <c r="E8" s="273">
        <v>18.0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5</v>
      </c>
      <c r="N8" s="268"/>
      <c r="O8" s="269"/>
    </row>
    <row r="9">
      <c r="A9" s="260" t="s">
        <v>409</v>
      </c>
      <c r="B9" s="235" t="s">
        <v>402</v>
      </c>
      <c r="C9" s="271" t="str">
        <f>'19th-21stMAY'!E9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260" t="s">
        <v>411</v>
      </c>
      <c r="B10" s="235" t="s">
        <v>402</v>
      </c>
      <c r="C10" s="271">
        <f>'19th-21stMAY'!E10</f>
        <v>3</v>
      </c>
      <c r="D10" s="272">
        <v>4.0</v>
      </c>
      <c r="E10" s="273">
        <v>3.0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32</v>
      </c>
      <c r="N10" s="268"/>
      <c r="O10" s="269"/>
    </row>
    <row r="11">
      <c r="A11" s="260" t="s">
        <v>413</v>
      </c>
      <c r="B11" s="235" t="s">
        <v>402</v>
      </c>
      <c r="C11" s="271">
        <f>'19th-21stMAY'!E11</f>
        <v>17</v>
      </c>
      <c r="D11" s="272">
        <v>10.0</v>
      </c>
      <c r="E11" s="273">
        <v>13.0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14</v>
      </c>
      <c r="N11" s="268"/>
      <c r="O11" s="269"/>
    </row>
    <row r="12">
      <c r="A12" s="260" t="s">
        <v>414</v>
      </c>
      <c r="B12" s="235" t="s">
        <v>402</v>
      </c>
      <c r="C12" s="271" t="str">
        <f>'19th-21stMAY'!E12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260" t="s">
        <v>416</v>
      </c>
      <c r="B13" s="235" t="s">
        <v>402</v>
      </c>
      <c r="C13" s="271">
        <f>'19th-21stMAY'!E13</f>
        <v>11</v>
      </c>
      <c r="D13" s="272"/>
      <c r="E13" s="273">
        <v>8.5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22.5</v>
      </c>
      <c r="N13" s="268"/>
      <c r="O13" s="269"/>
    </row>
    <row r="14">
      <c r="A14" s="260" t="s">
        <v>418</v>
      </c>
      <c r="B14" s="235" t="s">
        <v>402</v>
      </c>
      <c r="C14" s="271">
        <f>'19th-21stMAY'!E14</f>
        <v>16</v>
      </c>
      <c r="D14" s="272">
        <v>20.0</v>
      </c>
      <c r="E14" s="273">
        <v>20.5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15.5</v>
      </c>
      <c r="N14" s="268"/>
      <c r="O14" s="269"/>
    </row>
    <row r="15">
      <c r="A15" s="260" t="s">
        <v>420</v>
      </c>
      <c r="B15" s="235" t="s">
        <v>402</v>
      </c>
      <c r="C15" s="271">
        <f>'19th-21stMAY'!E15</f>
        <v>1.5</v>
      </c>
      <c r="D15" s="272">
        <v>5.0</v>
      </c>
      <c r="E15" s="273">
        <v>5.0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6</v>
      </c>
      <c r="N15" s="268"/>
      <c r="O15" s="269"/>
    </row>
    <row r="16">
      <c r="A16" s="260" t="s">
        <v>422</v>
      </c>
      <c r="B16" s="235" t="s">
        <v>402</v>
      </c>
      <c r="C16" s="271">
        <f>'19th-21stMAY'!E16</f>
        <v>9</v>
      </c>
      <c r="D16" s="272"/>
      <c r="E16" s="273">
        <v>6.0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12</v>
      </c>
      <c r="N16" s="268"/>
      <c r="O16" s="269"/>
    </row>
    <row r="17">
      <c r="A17" s="260" t="s">
        <v>423</v>
      </c>
      <c r="B17" s="235" t="s">
        <v>402</v>
      </c>
      <c r="C17" s="271">
        <f>'19th-21stMAY'!E17</f>
        <v>11</v>
      </c>
      <c r="D17" s="272">
        <v>5.0</v>
      </c>
      <c r="E17" s="273">
        <v>8.0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16</v>
      </c>
      <c r="N17" s="268"/>
      <c r="O17" s="269"/>
    </row>
    <row r="18">
      <c r="A18" s="260" t="s">
        <v>425</v>
      </c>
      <c r="B18" s="235" t="s">
        <v>402</v>
      </c>
      <c r="C18" s="271">
        <f>'19th-21stMAY'!E18</f>
        <v>5</v>
      </c>
      <c r="D18" s="268"/>
      <c r="E18" s="273"/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10</v>
      </c>
      <c r="N18" s="268"/>
      <c r="O18" s="269"/>
    </row>
    <row r="19">
      <c r="A19" s="260" t="s">
        <v>426</v>
      </c>
      <c r="B19" s="235" t="s">
        <v>402</v>
      </c>
      <c r="C19" s="271">
        <f>'19th-21stMAY'!E19</f>
        <v>2</v>
      </c>
      <c r="D19" s="272">
        <v>5.0</v>
      </c>
      <c r="E19" s="273">
        <v>6.0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1</v>
      </c>
      <c r="N19" s="268"/>
      <c r="O19" s="269"/>
    </row>
    <row r="20">
      <c r="A20" s="260" t="s">
        <v>428</v>
      </c>
      <c r="B20" s="235" t="s">
        <v>402</v>
      </c>
      <c r="C20" s="271">
        <f>'19th-21stMAY'!E20</f>
        <v>5</v>
      </c>
      <c r="D20" s="268"/>
      <c r="E20" s="273">
        <v>5.0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0</v>
      </c>
      <c r="N20" s="268"/>
      <c r="O20" s="269"/>
    </row>
    <row r="21">
      <c r="A21" s="260" t="s">
        <v>429</v>
      </c>
      <c r="B21" s="235" t="s">
        <v>402</v>
      </c>
      <c r="C21" s="271">
        <f>'19th-21stMAY'!E21</f>
        <v>5</v>
      </c>
      <c r="D21" s="272">
        <v>5.0</v>
      </c>
      <c r="E21" s="273">
        <v>9.5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2</v>
      </c>
      <c r="N21" s="268"/>
      <c r="O21" s="269"/>
    </row>
    <row r="22">
      <c r="A22" s="260" t="s">
        <v>431</v>
      </c>
      <c r="B22" s="235" t="s">
        <v>402</v>
      </c>
      <c r="C22" s="271" t="str">
        <f>'19th-21stMAY'!E22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60" t="s">
        <v>432</v>
      </c>
      <c r="B23" s="235" t="s">
        <v>402</v>
      </c>
      <c r="C23" s="271">
        <f>'19th-21stMAY'!E23</f>
        <v>7.5</v>
      </c>
      <c r="D23" s="272">
        <v>4.0</v>
      </c>
      <c r="E23" s="273"/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23</v>
      </c>
      <c r="N23" s="268"/>
      <c r="O23" s="269"/>
    </row>
    <row r="24">
      <c r="A24" s="260" t="s">
        <v>433</v>
      </c>
      <c r="B24" s="235" t="s">
        <v>402</v>
      </c>
      <c r="C24" s="271">
        <f>'19th-21stMAY'!E24</f>
        <v>8</v>
      </c>
      <c r="D24" s="272">
        <v>10.0</v>
      </c>
      <c r="E24" s="273"/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18</v>
      </c>
      <c r="N24" s="268"/>
      <c r="O24" s="269"/>
    </row>
    <row r="25">
      <c r="A25" s="260" t="s">
        <v>435</v>
      </c>
      <c r="B25" s="235" t="s">
        <v>402</v>
      </c>
      <c r="C25" s="271">
        <f>'19th-21stMAY'!E25</f>
        <v>10</v>
      </c>
      <c r="D25" s="272"/>
      <c r="E25" s="273">
        <v>7.0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3</v>
      </c>
      <c r="N25" s="268"/>
      <c r="O25" s="269"/>
    </row>
    <row r="26">
      <c r="A26" s="260" t="s">
        <v>438</v>
      </c>
      <c r="B26" s="235" t="s">
        <v>402</v>
      </c>
      <c r="C26" s="271">
        <f>'19th-21stMAY'!E26</f>
        <v>4</v>
      </c>
      <c r="D26" s="268"/>
      <c r="E26" s="273">
        <v>3.0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1</v>
      </c>
      <c r="N26" s="268"/>
      <c r="O26" s="269"/>
    </row>
    <row r="27">
      <c r="A27" s="260" t="s">
        <v>439</v>
      </c>
      <c r="B27" s="235" t="s">
        <v>402</v>
      </c>
      <c r="C27" s="271" t="str">
        <f>'19th-21stMAY'!E27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260" t="s">
        <v>440</v>
      </c>
      <c r="B28" s="235" t="s">
        <v>402</v>
      </c>
      <c r="C28" s="271">
        <f>'19th-21stMAY'!E28</f>
        <v>8</v>
      </c>
      <c r="D28" s="272">
        <v>10.0</v>
      </c>
      <c r="E28" s="273">
        <v>17.0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1</v>
      </c>
      <c r="N28" s="268"/>
      <c r="O28" s="269"/>
    </row>
    <row r="29">
      <c r="A29" s="260" t="s">
        <v>441</v>
      </c>
      <c r="B29" s="235" t="s">
        <v>402</v>
      </c>
      <c r="C29" s="271">
        <f>'19th-21stMAY'!E29</f>
        <v>8.5</v>
      </c>
      <c r="D29" s="272">
        <v>11.0</v>
      </c>
      <c r="E29" s="273">
        <v>14.1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10.8</v>
      </c>
      <c r="N29" s="268"/>
      <c r="O29" s="269"/>
    </row>
    <row r="30">
      <c r="A30" s="260" t="s">
        <v>442</v>
      </c>
      <c r="B30" s="235" t="s">
        <v>402</v>
      </c>
      <c r="C30" s="271">
        <f>'19th-21stMAY'!E30</f>
        <v>5</v>
      </c>
      <c r="D30" s="272">
        <v>5.0</v>
      </c>
      <c r="E30" s="273">
        <v>4.0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6</v>
      </c>
      <c r="N30" s="268"/>
      <c r="O30" s="269"/>
    </row>
    <row r="31">
      <c r="A31" s="260" t="s">
        <v>444</v>
      </c>
      <c r="B31" s="235" t="s">
        <v>402</v>
      </c>
      <c r="C31" s="271">
        <f>'19th-21stMAY'!E31</f>
        <v>2</v>
      </c>
      <c r="D31" s="272">
        <v>11.0</v>
      </c>
      <c r="E31" s="273">
        <v>13.0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0</v>
      </c>
      <c r="N31" s="268"/>
      <c r="O31" s="269"/>
    </row>
    <row r="32">
      <c r="A32" s="260" t="s">
        <v>445</v>
      </c>
      <c r="B32" s="235" t="s">
        <v>402</v>
      </c>
      <c r="C32" s="271">
        <f>'19th-21stMAY'!E32</f>
        <v>3</v>
      </c>
      <c r="D32" s="272">
        <v>7.0</v>
      </c>
      <c r="E32" s="273">
        <v>2.0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32</v>
      </c>
      <c r="N32" s="268"/>
      <c r="O32" s="269"/>
    </row>
    <row r="33">
      <c r="A33" s="260" t="s">
        <v>446</v>
      </c>
      <c r="B33" s="235" t="s">
        <v>402</v>
      </c>
      <c r="C33" s="271" t="str">
        <f>'19th-21stMAY'!E33</f>
        <v/>
      </c>
      <c r="D33" s="268"/>
      <c r="E33" s="273"/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260" t="s">
        <v>447</v>
      </c>
      <c r="B34" s="235" t="s">
        <v>402</v>
      </c>
      <c r="C34" s="271">
        <f>'19th-21stMAY'!E34</f>
        <v>5</v>
      </c>
      <c r="D34" s="272">
        <v>5.0</v>
      </c>
      <c r="E34" s="273">
        <v>7.0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3</v>
      </c>
      <c r="N34" s="268"/>
      <c r="O34" s="269"/>
    </row>
    <row r="35">
      <c r="A35" s="260" t="s">
        <v>449</v>
      </c>
      <c r="B35" s="235" t="s">
        <v>402</v>
      </c>
      <c r="C35" s="271">
        <f>'19th-21stMAY'!E35</f>
        <v>1</v>
      </c>
      <c r="D35" s="272">
        <v>4.0</v>
      </c>
      <c r="E35" s="273">
        <v>5.0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268"/>
      <c r="O35" s="269"/>
    </row>
    <row r="36">
      <c r="A36" s="260" t="s">
        <v>451</v>
      </c>
      <c r="B36" s="235" t="s">
        <v>402</v>
      </c>
      <c r="C36" s="271">
        <f>'19th-21stMAY'!E36</f>
        <v>10</v>
      </c>
      <c r="D36" s="272"/>
      <c r="E36" s="273">
        <v>4.0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12</v>
      </c>
      <c r="N36" s="268"/>
      <c r="O36" s="269"/>
    </row>
    <row r="37">
      <c r="A37" s="275" t="s">
        <v>452</v>
      </c>
      <c r="B37" s="235" t="s">
        <v>402</v>
      </c>
      <c r="C37" s="271">
        <f>'19th-21stMAY'!E37</f>
        <v>14</v>
      </c>
      <c r="D37" s="268"/>
      <c r="E37" s="273">
        <v>14.0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0</v>
      </c>
      <c r="N37" s="268"/>
      <c r="O37" s="269"/>
    </row>
    <row r="38">
      <c r="A38" s="275" t="s">
        <v>454</v>
      </c>
      <c r="B38" s="235" t="s">
        <v>402</v>
      </c>
      <c r="C38" s="271">
        <f>'19th-21stMAY'!E38</f>
        <v>1</v>
      </c>
      <c r="D38" s="268"/>
      <c r="E38" s="273">
        <v>1.0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76" t="s">
        <v>455</v>
      </c>
      <c r="B39" s="235" t="s">
        <v>402</v>
      </c>
      <c r="C39" s="271">
        <f>'19th-21stMAY'!E39</f>
        <v>1</v>
      </c>
      <c r="D39" s="272">
        <v>3.0</v>
      </c>
      <c r="E39" s="273">
        <v>4.0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0</v>
      </c>
      <c r="N39" s="268"/>
      <c r="O39" s="269"/>
    </row>
    <row r="40">
      <c r="A40" s="276" t="s">
        <v>456</v>
      </c>
      <c r="B40" s="235" t="s">
        <v>402</v>
      </c>
      <c r="C40" s="271">
        <f>'19th-21stMAY'!E40</f>
        <v>3</v>
      </c>
      <c r="D40" s="272">
        <v>5.0</v>
      </c>
      <c r="E40" s="273">
        <v>4.0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4</v>
      </c>
      <c r="N40" s="268"/>
      <c r="O40" s="269"/>
    </row>
    <row r="41">
      <c r="A41" s="276" t="s">
        <v>457</v>
      </c>
      <c r="B41" s="235" t="s">
        <v>402</v>
      </c>
      <c r="C41" s="271" t="str">
        <f>'19th-21stMAY'!E41</f>
        <v/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277" t="s">
        <v>762</v>
      </c>
      <c r="B42" s="235"/>
      <c r="C42" s="271" t="str">
        <f>'19th-21stMAY'!E42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'19th-21stMAY'!E43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'19th-21stMAY'!E44</f>
        <v/>
      </c>
      <c r="D44" s="227"/>
      <c r="E44" s="280"/>
      <c r="F44" s="235" t="s">
        <v>14</v>
      </c>
      <c r="G44" s="235"/>
      <c r="H44" s="272">
        <f>'19th-21stMAY'!J44</f>
        <v>2.25</v>
      </c>
      <c r="I44" s="281">
        <v>1.0</v>
      </c>
      <c r="J44" s="282">
        <v>1.5</v>
      </c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0.75</v>
      </c>
      <c r="N44" s="191"/>
      <c r="O44" s="247"/>
    </row>
    <row r="45">
      <c r="A45" s="12" t="s">
        <v>16</v>
      </c>
      <c r="B45" s="13" t="s">
        <v>17</v>
      </c>
      <c r="C45" s="271" t="str">
        <f>'19th-21stMAY'!E45</f>
        <v/>
      </c>
      <c r="D45" s="227">
        <v>5.0</v>
      </c>
      <c r="E45" s="280"/>
      <c r="F45" s="235" t="s">
        <v>17</v>
      </c>
      <c r="G45" s="235"/>
      <c r="H45" s="272">
        <f>'19th-21stMAY'!J45</f>
        <v>11</v>
      </c>
      <c r="I45" s="281">
        <v>1.0</v>
      </c>
      <c r="J45" s="282">
        <v>15.0</v>
      </c>
      <c r="K45" s="283"/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1</v>
      </c>
      <c r="N45" s="191"/>
      <c r="O45" s="247"/>
    </row>
    <row r="46">
      <c r="A46" s="15" t="s">
        <v>19</v>
      </c>
      <c r="B46" s="13" t="s">
        <v>17</v>
      </c>
      <c r="C46" s="271" t="str">
        <f>'19th-21stMAY'!E46</f>
        <v/>
      </c>
      <c r="D46" s="227">
        <v>5.0</v>
      </c>
      <c r="E46" s="280"/>
      <c r="F46" s="235" t="s">
        <v>17</v>
      </c>
      <c r="G46" s="235"/>
      <c r="H46" s="272">
        <v>6.0</v>
      </c>
      <c r="I46" s="281">
        <v>1.0</v>
      </c>
      <c r="J46" s="282">
        <v>11.0</v>
      </c>
      <c r="K46" s="283"/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0</v>
      </c>
      <c r="N46" s="191"/>
      <c r="O46" s="247"/>
    </row>
    <row r="47">
      <c r="A47" s="12" t="s">
        <v>20</v>
      </c>
      <c r="B47" s="13" t="s">
        <v>17</v>
      </c>
      <c r="C47" s="271" t="str">
        <f>'19th-21stMAY'!E47</f>
        <v/>
      </c>
      <c r="D47" s="227">
        <v>10.0</v>
      </c>
      <c r="E47" s="280"/>
      <c r="F47" s="235" t="s">
        <v>17</v>
      </c>
      <c r="G47" s="235"/>
      <c r="H47" s="272">
        <f>'19th-21stMAY'!J47</f>
        <v>3</v>
      </c>
      <c r="I47" s="281">
        <v>1.0</v>
      </c>
      <c r="J47" s="282">
        <v>6.0</v>
      </c>
      <c r="K47" s="283"/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7</v>
      </c>
      <c r="N47" s="191"/>
      <c r="O47" s="247"/>
    </row>
    <row r="48">
      <c r="A48" s="12" t="s">
        <v>21</v>
      </c>
      <c r="B48" s="13" t="s">
        <v>17</v>
      </c>
      <c r="C48" s="271" t="str">
        <f>'19th-21stMAY'!E48</f>
        <v/>
      </c>
      <c r="D48" s="227">
        <v>2.0</v>
      </c>
      <c r="E48" s="280"/>
      <c r="F48" s="235" t="s">
        <v>17</v>
      </c>
      <c r="G48" s="235"/>
      <c r="H48" s="272">
        <f>'19th-21stMAY'!J48</f>
        <v>4</v>
      </c>
      <c r="I48" s="281">
        <v>1.0</v>
      </c>
      <c r="J48" s="282">
        <v>4.0</v>
      </c>
      <c r="K48" s="283"/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2</v>
      </c>
      <c r="N48" s="191"/>
      <c r="O48" s="247"/>
    </row>
    <row r="49">
      <c r="A49" s="12" t="s">
        <v>22</v>
      </c>
      <c r="B49" s="13" t="s">
        <v>17</v>
      </c>
      <c r="C49" s="271" t="str">
        <f>'19th-21stMAY'!E49</f>
        <v/>
      </c>
      <c r="D49" s="191"/>
      <c r="E49" s="247"/>
      <c r="F49" s="235" t="s">
        <v>17</v>
      </c>
      <c r="G49" s="235"/>
      <c r="H49" s="272" t="str">
        <f>'19th-21stMAY'!J49</f>
        <v/>
      </c>
      <c r="I49" s="281">
        <v>1.0</v>
      </c>
      <c r="J49" s="284"/>
      <c r="K49" s="283"/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'19th-21stMAY'!E50</f>
        <v/>
      </c>
      <c r="D50" s="227">
        <v>1.0</v>
      </c>
      <c r="E50" s="247"/>
      <c r="F50" s="235" t="s">
        <v>25</v>
      </c>
      <c r="G50" s="235"/>
      <c r="H50" s="272">
        <f>'19th-21stMAY'!J50</f>
        <v>0.497</v>
      </c>
      <c r="I50" s="281">
        <v>1.0</v>
      </c>
      <c r="J50" s="282">
        <v>0.51</v>
      </c>
      <c r="K50" s="283"/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0.687</v>
      </c>
      <c r="N50" s="191"/>
      <c r="O50" s="247"/>
    </row>
    <row r="51">
      <c r="A51" s="12" t="s">
        <v>27</v>
      </c>
      <c r="B51" s="12" t="s">
        <v>24</v>
      </c>
      <c r="C51" s="271" t="str">
        <f>'19th-21stMAY'!E51</f>
        <v/>
      </c>
      <c r="D51" s="191"/>
      <c r="E51" s="247"/>
      <c r="F51" s="235" t="s">
        <v>24</v>
      </c>
      <c r="G51" s="235"/>
      <c r="H51" s="272" t="str">
        <f>'19th-21stMAY'!J51</f>
        <v/>
      </c>
      <c r="I51" s="281">
        <v>1.0</v>
      </c>
      <c r="J51" s="284"/>
      <c r="K51" s="283"/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'19th-21stMAY'!E52</f>
        <v/>
      </c>
      <c r="D52" s="227">
        <v>2.0</v>
      </c>
      <c r="E52" s="280"/>
      <c r="F52" s="235" t="s">
        <v>14</v>
      </c>
      <c r="G52" s="285"/>
      <c r="H52" s="272">
        <f>'19th-21stMAY'!J52</f>
        <v>0.488</v>
      </c>
      <c r="I52" s="281">
        <v>1.0</v>
      </c>
      <c r="J52" s="282">
        <v>0.485</v>
      </c>
      <c r="K52" s="283"/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0.949</v>
      </c>
      <c r="N52" s="191"/>
      <c r="O52" s="247"/>
    </row>
    <row r="53">
      <c r="A53" s="286" t="s">
        <v>30</v>
      </c>
      <c r="B53" s="12" t="s">
        <v>24</v>
      </c>
      <c r="C53" s="271" t="str">
        <f>'19th-21stMAY'!E53</f>
        <v/>
      </c>
      <c r="D53" s="227"/>
      <c r="E53" s="280"/>
      <c r="F53" s="235" t="s">
        <v>35</v>
      </c>
      <c r="G53" s="235"/>
      <c r="H53" s="272">
        <f>'19th-21stMAY'!J53</f>
        <v>0.733</v>
      </c>
      <c r="I53" s="281">
        <v>1.0</v>
      </c>
      <c r="J53" s="282">
        <v>0.713</v>
      </c>
      <c r="K53" s="283"/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0.02</v>
      </c>
      <c r="N53" s="191"/>
      <c r="O53" s="247"/>
    </row>
    <row r="54">
      <c r="A54" s="12" t="s">
        <v>33</v>
      </c>
      <c r="B54" s="12" t="s">
        <v>34</v>
      </c>
      <c r="C54" s="271" t="str">
        <f>'19th-21stMAY'!E54</f>
        <v/>
      </c>
      <c r="D54" s="227">
        <v>1.0</v>
      </c>
      <c r="E54" s="247"/>
      <c r="F54" s="235" t="s">
        <v>35</v>
      </c>
      <c r="G54" s="235"/>
      <c r="H54" s="272" t="str">
        <f>'19th-21stMAY'!J54</f>
        <v/>
      </c>
      <c r="I54" s="281">
        <v>1.0</v>
      </c>
      <c r="J54" s="282">
        <v>0.278</v>
      </c>
      <c r="K54" s="283"/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0.122</v>
      </c>
      <c r="N54" s="191"/>
      <c r="O54" s="247"/>
    </row>
    <row r="55">
      <c r="A55" s="12" t="s">
        <v>37</v>
      </c>
      <c r="B55" s="12" t="s">
        <v>17</v>
      </c>
      <c r="C55" s="271" t="str">
        <f>'19th-21stMAY'!E55</f>
        <v/>
      </c>
      <c r="D55" s="191"/>
      <c r="E55" s="247"/>
      <c r="F55" s="235" t="s">
        <v>752</v>
      </c>
      <c r="G55" s="235"/>
      <c r="H55" s="272" t="str">
        <f>'19th-21stMAY'!J55</f>
        <v/>
      </c>
      <c r="I55" s="281">
        <v>1.0</v>
      </c>
      <c r="J55" s="284"/>
      <c r="K55" s="283"/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>
        <f>'19th-21stMAY'!E56</f>
        <v>1</v>
      </c>
      <c r="D56" s="191"/>
      <c r="E56" s="247"/>
      <c r="F56" s="235" t="s">
        <v>17</v>
      </c>
      <c r="G56" s="235"/>
      <c r="H56" s="272" t="str">
        <f>'19th-21stMAY'!J56</f>
        <v/>
      </c>
      <c r="I56" s="281">
        <v>1.0</v>
      </c>
      <c r="J56" s="282">
        <v>50.0</v>
      </c>
      <c r="K56" s="283"/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50</v>
      </c>
      <c r="N56" s="191"/>
      <c r="O56" s="247"/>
    </row>
    <row r="57">
      <c r="A57" s="12" t="s">
        <v>42</v>
      </c>
      <c r="B57" s="12" t="s">
        <v>24</v>
      </c>
      <c r="C57" s="271" t="str">
        <f>'19th-21stMAY'!E57</f>
        <v/>
      </c>
      <c r="D57" s="227">
        <v>1.0</v>
      </c>
      <c r="E57" s="280">
        <v>1.0</v>
      </c>
      <c r="F57" s="235" t="s">
        <v>35</v>
      </c>
      <c r="G57" s="235"/>
      <c r="H57" s="272">
        <f>'19th-21stMAY'!J57</f>
        <v>0.428</v>
      </c>
      <c r="I57" s="281">
        <v>1.0</v>
      </c>
      <c r="J57" s="282">
        <v>0.184</v>
      </c>
      <c r="K57" s="283"/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0.244</v>
      </c>
      <c r="N57" s="191"/>
      <c r="O57" s="247"/>
    </row>
    <row r="58">
      <c r="A58" s="12" t="s">
        <v>44</v>
      </c>
      <c r="B58" s="12" t="s">
        <v>24</v>
      </c>
      <c r="C58" s="271" t="str">
        <f>'19th-21stMAY'!E58</f>
        <v/>
      </c>
      <c r="D58" s="227">
        <v>1.0</v>
      </c>
      <c r="E58" s="280">
        <v>1.0</v>
      </c>
      <c r="F58" s="235" t="s">
        <v>25</v>
      </c>
      <c r="G58" s="235"/>
      <c r="H58" s="272" t="str">
        <f>'19th-21stMAY'!J58</f>
        <v/>
      </c>
      <c r="I58" s="281">
        <v>1.0</v>
      </c>
      <c r="J58" s="282"/>
      <c r="K58" s="283"/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</v>
      </c>
      <c r="N58" s="191"/>
      <c r="O58" s="247"/>
    </row>
    <row r="59">
      <c r="A59" s="12" t="s">
        <v>45</v>
      </c>
      <c r="B59" s="12" t="s">
        <v>24</v>
      </c>
      <c r="C59" s="271" t="str">
        <f>'19th-21stMAY'!E59</f>
        <v/>
      </c>
      <c r="D59" s="191"/>
      <c r="E59" s="247"/>
      <c r="F59" s="235" t="s">
        <v>25</v>
      </c>
      <c r="G59" s="235"/>
      <c r="H59" s="272">
        <f>'19th-21stMAY'!J59</f>
        <v>0.828</v>
      </c>
      <c r="I59" s="281">
        <v>1.0</v>
      </c>
      <c r="J59" s="282">
        <v>0.817</v>
      </c>
      <c r="K59" s="283"/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0.011</v>
      </c>
      <c r="N59" s="191"/>
      <c r="O59" s="247"/>
    </row>
    <row r="60">
      <c r="A60" s="17" t="s">
        <v>46</v>
      </c>
      <c r="B60" s="12" t="s">
        <v>47</v>
      </c>
      <c r="C60" s="271" t="str">
        <f>'19th-21stMAY'!E60</f>
        <v/>
      </c>
      <c r="D60" s="191"/>
      <c r="E60" s="247"/>
      <c r="F60" s="235" t="s">
        <v>51</v>
      </c>
      <c r="G60" s="235"/>
      <c r="H60" s="272" t="str">
        <f>'19th-21stMAY'!J60</f>
        <v/>
      </c>
      <c r="I60" s="281">
        <v>1.0</v>
      </c>
      <c r="J60" s="284"/>
      <c r="K60" s="283"/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'19th-21stMAY'!E61</f>
        <v/>
      </c>
      <c r="D61" s="191"/>
      <c r="E61" s="247"/>
      <c r="F61" s="235" t="s">
        <v>51</v>
      </c>
      <c r="G61" s="235"/>
      <c r="H61" s="272" t="str">
        <f>'19th-21stMAY'!J61</f>
        <v/>
      </c>
      <c r="I61" s="281">
        <v>1.0</v>
      </c>
      <c r="J61" s="284"/>
      <c r="K61" s="283"/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'19th-21stMAY'!E62</f>
        <v/>
      </c>
      <c r="D62" s="191"/>
      <c r="E62" s="247"/>
      <c r="F62" s="235" t="s">
        <v>51</v>
      </c>
      <c r="G62" s="285">
        <v>0.518</v>
      </c>
      <c r="H62" s="272">
        <f>'19th-21stMAY'!J62</f>
        <v>0.118</v>
      </c>
      <c r="I62" s="281">
        <v>1.0</v>
      </c>
      <c r="J62" s="282">
        <v>0.636</v>
      </c>
      <c r="K62" s="283"/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</v>
      </c>
      <c r="N62" s="191"/>
      <c r="O62" s="247"/>
    </row>
    <row r="63">
      <c r="A63" s="12" t="s">
        <v>53</v>
      </c>
      <c r="B63" s="12" t="s">
        <v>35</v>
      </c>
      <c r="C63" s="271" t="str">
        <f>'19th-21stMAY'!E63</f>
        <v/>
      </c>
      <c r="D63" s="191"/>
      <c r="E63" s="247"/>
      <c r="F63" s="235" t="s">
        <v>35</v>
      </c>
      <c r="G63" s="285">
        <v>1.0</v>
      </c>
      <c r="H63" s="272">
        <f>'19th-21stMAY'!J63</f>
        <v>1.136</v>
      </c>
      <c r="I63" s="281">
        <v>1.0</v>
      </c>
      <c r="J63" s="282">
        <v>0.921</v>
      </c>
      <c r="K63" s="283"/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1.215</v>
      </c>
      <c r="N63" s="191"/>
      <c r="O63" s="247"/>
    </row>
    <row r="64">
      <c r="A64" s="11" t="s">
        <v>55</v>
      </c>
      <c r="B64" s="11" t="s">
        <v>56</v>
      </c>
      <c r="C64" s="271" t="str">
        <f>'19th-21stMAY'!E64</f>
        <v/>
      </c>
      <c r="D64" s="191"/>
      <c r="E64" s="247"/>
      <c r="F64" s="235" t="s">
        <v>14</v>
      </c>
      <c r="G64" s="235"/>
      <c r="H64" s="272">
        <f>'19th-21stMAY'!J64</f>
        <v>3.853</v>
      </c>
      <c r="I64" s="281">
        <v>1.0</v>
      </c>
      <c r="J64" s="282">
        <v>3.771</v>
      </c>
      <c r="K64" s="283"/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0.082</v>
      </c>
      <c r="N64" s="191"/>
      <c r="O64" s="247"/>
    </row>
    <row r="65">
      <c r="A65" s="10" t="s">
        <v>57</v>
      </c>
      <c r="B65" s="11"/>
      <c r="C65" s="271" t="str">
        <f>'19th-21stMAY'!E65</f>
        <v/>
      </c>
      <c r="D65" s="191"/>
      <c r="E65" s="247"/>
      <c r="F65" s="235"/>
      <c r="G65" s="235"/>
      <c r="H65" s="272" t="str">
        <f>'19th-21stMAY'!J65</f>
        <v/>
      </c>
      <c r="I65" s="281">
        <v>1.0</v>
      </c>
      <c r="J65" s="284"/>
      <c r="K65" s="283"/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 t="str">
        <f>'19th-21stMAY'!E66</f>
        <v/>
      </c>
      <c r="D66" s="227">
        <v>6.0</v>
      </c>
      <c r="E66" s="280">
        <v>1.0</v>
      </c>
      <c r="F66" s="235" t="s">
        <v>35</v>
      </c>
      <c r="G66" s="235"/>
      <c r="H66" s="272">
        <f>'19th-21stMAY'!J66</f>
        <v>1.281</v>
      </c>
      <c r="I66" s="281">
        <v>1.0</v>
      </c>
      <c r="J66" s="282"/>
      <c r="K66" s="283"/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11.231</v>
      </c>
      <c r="N66" s="191"/>
      <c r="O66" s="247"/>
    </row>
    <row r="67">
      <c r="A67" s="12" t="s">
        <v>61</v>
      </c>
      <c r="B67" s="12" t="s">
        <v>59</v>
      </c>
      <c r="C67" s="271" t="str">
        <f>'19th-21stMAY'!E67</f>
        <v/>
      </c>
      <c r="D67" s="227">
        <v>1.0</v>
      </c>
      <c r="E67" s="280">
        <v>1.0</v>
      </c>
      <c r="F67" s="235" t="s">
        <v>35</v>
      </c>
      <c r="G67" s="235"/>
      <c r="H67" s="272">
        <f>'19th-21stMAY'!J67</f>
        <v>0.121</v>
      </c>
      <c r="I67" s="281">
        <v>1.0</v>
      </c>
      <c r="J67" s="282">
        <v>0.093</v>
      </c>
      <c r="K67" s="283"/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0.028</v>
      </c>
      <c r="N67" s="191"/>
      <c r="O67" s="247"/>
    </row>
    <row r="68">
      <c r="A68" s="12" t="s">
        <v>62</v>
      </c>
      <c r="B68" s="12" t="s">
        <v>35</v>
      </c>
      <c r="C68" s="271" t="str">
        <f>'19th-21stMAY'!E68</f>
        <v/>
      </c>
      <c r="D68" s="227"/>
      <c r="E68" s="280"/>
      <c r="F68" s="235" t="s">
        <v>35</v>
      </c>
      <c r="G68" s="235"/>
      <c r="H68" s="272">
        <f>'19th-21stMAY'!J68</f>
        <v>5</v>
      </c>
      <c r="I68" s="281">
        <v>1.0</v>
      </c>
      <c r="J68" s="284"/>
      <c r="K68" s="283"/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4.9</v>
      </c>
      <c r="N68" s="191"/>
      <c r="O68" s="247"/>
    </row>
    <row r="69">
      <c r="A69" s="12" t="s">
        <v>64</v>
      </c>
      <c r="B69" s="12" t="s">
        <v>59</v>
      </c>
      <c r="C69" s="271">
        <f>'19th-21stMAY'!E69</f>
        <v>1</v>
      </c>
      <c r="D69" s="227">
        <v>1.0</v>
      </c>
      <c r="E69" s="247"/>
      <c r="F69" s="235" t="s">
        <v>35</v>
      </c>
      <c r="G69" s="235"/>
      <c r="H69" s="272" t="str">
        <f>'19th-21stMAY'!J69</f>
        <v/>
      </c>
      <c r="I69" s="281">
        <v>1.0</v>
      </c>
      <c r="J69" s="282">
        <v>0.23</v>
      </c>
      <c r="K69" s="283"/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0.57</v>
      </c>
      <c r="N69" s="191"/>
      <c r="O69" s="247"/>
    </row>
    <row r="70">
      <c r="A70" s="10" t="s">
        <v>65</v>
      </c>
      <c r="B70" s="11"/>
      <c r="C70" s="271" t="str">
        <f>'19th-21stMAY'!E70</f>
        <v/>
      </c>
      <c r="D70" s="191"/>
      <c r="E70" s="247"/>
      <c r="F70" s="235"/>
      <c r="G70" s="235"/>
      <c r="H70" s="272" t="str">
        <f>'19th-21stMAY'!J70</f>
        <v/>
      </c>
      <c r="I70" s="281">
        <v>1.0</v>
      </c>
      <c r="J70" s="284"/>
      <c r="K70" s="283"/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'19th-21stMAY'!E71</f>
        <v/>
      </c>
      <c r="D71" s="191"/>
      <c r="E71" s="247"/>
      <c r="F71" s="235" t="s">
        <v>25</v>
      </c>
      <c r="G71" s="285">
        <v>8.0</v>
      </c>
      <c r="H71" s="272">
        <f>'19th-21stMAY'!J71</f>
        <v>0.988</v>
      </c>
      <c r="I71" s="281">
        <v>1.0</v>
      </c>
      <c r="J71" s="282">
        <v>0.311</v>
      </c>
      <c r="K71" s="283"/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8.677</v>
      </c>
      <c r="N71" s="191"/>
      <c r="O71" s="247"/>
    </row>
    <row r="72">
      <c r="A72" s="12" t="s">
        <v>68</v>
      </c>
      <c r="B72" s="12" t="s">
        <v>35</v>
      </c>
      <c r="C72" s="271" t="str">
        <f>'19th-21stMAY'!E72</f>
        <v/>
      </c>
      <c r="D72" s="227">
        <v>0.8</v>
      </c>
      <c r="E72" s="247"/>
      <c r="F72" s="235" t="s">
        <v>35</v>
      </c>
      <c r="G72" s="235"/>
      <c r="H72" s="272">
        <f>'19th-21stMAY'!J72</f>
        <v>0.63</v>
      </c>
      <c r="I72" s="281">
        <v>1.0</v>
      </c>
      <c r="J72" s="282">
        <v>0.56</v>
      </c>
      <c r="K72" s="283"/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0.87</v>
      </c>
      <c r="N72" s="191"/>
      <c r="O72" s="247"/>
    </row>
    <row r="73">
      <c r="A73" s="12" t="s">
        <v>70</v>
      </c>
      <c r="B73" s="12" t="s">
        <v>35</v>
      </c>
      <c r="C73" s="271" t="str">
        <f>'19th-21stMAY'!E73</f>
        <v/>
      </c>
      <c r="D73" s="191"/>
      <c r="E73" s="247"/>
      <c r="F73" s="235" t="s">
        <v>35</v>
      </c>
      <c r="G73" s="285">
        <v>0.56</v>
      </c>
      <c r="H73" s="272" t="str">
        <f>'19th-21stMAY'!J73</f>
        <v/>
      </c>
      <c r="I73" s="281">
        <v>1.0</v>
      </c>
      <c r="J73" s="282">
        <v>0.56</v>
      </c>
      <c r="K73" s="283"/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'19th-21stMAY'!E74</f>
        <v/>
      </c>
      <c r="D74" s="227">
        <v>1.0</v>
      </c>
      <c r="E74" s="247"/>
      <c r="F74" s="235" t="s">
        <v>25</v>
      </c>
      <c r="G74" s="235"/>
      <c r="H74" s="272">
        <f>'19th-21stMAY'!J74</f>
        <v>0.813</v>
      </c>
      <c r="I74" s="281">
        <v>1.0</v>
      </c>
      <c r="J74" s="282"/>
      <c r="K74" s="283"/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1.751</v>
      </c>
      <c r="N74" s="191"/>
      <c r="O74" s="247"/>
    </row>
    <row r="75">
      <c r="A75" s="12" t="s">
        <v>74</v>
      </c>
      <c r="B75" s="12" t="s">
        <v>17</v>
      </c>
      <c r="C75" s="271" t="str">
        <f>'19th-21stMAY'!E75</f>
        <v/>
      </c>
      <c r="D75" s="191"/>
      <c r="E75" s="247"/>
      <c r="F75" s="235" t="s">
        <v>25</v>
      </c>
      <c r="G75" s="235"/>
      <c r="H75" s="272">
        <f>'19th-21stMAY'!J75</f>
        <v>0.928</v>
      </c>
      <c r="I75" s="281">
        <v>1.0</v>
      </c>
      <c r="J75" s="282">
        <v>0.781</v>
      </c>
      <c r="K75" s="283"/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0.147</v>
      </c>
      <c r="N75" s="191"/>
      <c r="O75" s="247"/>
    </row>
    <row r="76">
      <c r="A76" s="12" t="s">
        <v>76</v>
      </c>
      <c r="B76" s="12" t="s">
        <v>72</v>
      </c>
      <c r="C76" s="271" t="str">
        <f>'19th-21stMAY'!E76</f>
        <v/>
      </c>
      <c r="D76" s="191"/>
      <c r="E76" s="247"/>
      <c r="F76" s="235" t="s">
        <v>35</v>
      </c>
      <c r="G76" s="235"/>
      <c r="H76" s="272">
        <f>'19th-21stMAY'!J76</f>
        <v>1</v>
      </c>
      <c r="I76" s="281">
        <v>1.0</v>
      </c>
      <c r="J76" s="282">
        <v>1.0</v>
      </c>
      <c r="K76" s="283"/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'19th-21stMAY'!E77</f>
        <v/>
      </c>
      <c r="D77" s="191"/>
      <c r="E77" s="247"/>
      <c r="F77" s="235" t="s">
        <v>25</v>
      </c>
      <c r="G77" s="235"/>
      <c r="H77" s="272">
        <f>'19th-21stMAY'!J77</f>
        <v>1.029</v>
      </c>
      <c r="I77" s="281">
        <v>1.0</v>
      </c>
      <c r="J77" s="282">
        <v>0.742</v>
      </c>
      <c r="K77" s="283"/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0.287</v>
      </c>
      <c r="N77" s="191"/>
      <c r="O77" s="247"/>
    </row>
    <row r="78">
      <c r="A78" s="12" t="s">
        <v>80</v>
      </c>
      <c r="B78" s="12" t="s">
        <v>56</v>
      </c>
      <c r="C78" s="271" t="str">
        <f>'19th-21stMAY'!E78</f>
        <v/>
      </c>
      <c r="D78" s="191"/>
      <c r="E78" s="247"/>
      <c r="F78" s="235" t="s">
        <v>35</v>
      </c>
      <c r="G78" s="235"/>
      <c r="H78" s="272" t="str">
        <f>'19th-21stMAY'!J78</f>
        <v/>
      </c>
      <c r="I78" s="281">
        <v>1.0</v>
      </c>
      <c r="J78" s="284"/>
      <c r="K78" s="283"/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'19th-21stMAY'!E79</f>
        <v/>
      </c>
      <c r="D79" s="227"/>
      <c r="E79" s="280"/>
      <c r="F79" s="235" t="s">
        <v>35</v>
      </c>
      <c r="G79" s="285">
        <v>1.0</v>
      </c>
      <c r="H79" s="272">
        <f>'19th-21stMAY'!J79</f>
        <v>0.045</v>
      </c>
      <c r="I79" s="281">
        <v>1.0</v>
      </c>
      <c r="J79" s="282">
        <v>1.0</v>
      </c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0.045</v>
      </c>
      <c r="N79" s="191"/>
      <c r="O79" s="247"/>
    </row>
    <row r="80">
      <c r="A80" s="10" t="s">
        <v>85</v>
      </c>
      <c r="B80" s="11"/>
      <c r="C80" s="271" t="str">
        <f>'19th-21stMAY'!E80</f>
        <v/>
      </c>
      <c r="D80" s="191"/>
      <c r="E80" s="247"/>
      <c r="F80" s="235"/>
      <c r="G80" s="235"/>
      <c r="H80" s="272" t="str">
        <f>'19th-21stMAY'!J80</f>
        <v/>
      </c>
      <c r="I80" s="281">
        <v>1.0</v>
      </c>
      <c r="J80" s="284"/>
      <c r="K80" s="283"/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'19th-21stMAY'!E81</f>
        <v/>
      </c>
      <c r="D81" s="227">
        <v>1.0</v>
      </c>
      <c r="E81" s="247"/>
      <c r="F81" s="235" t="s">
        <v>25</v>
      </c>
      <c r="G81" s="235"/>
      <c r="H81" s="272">
        <f>'19th-21stMAY'!J81</f>
        <v>0.138</v>
      </c>
      <c r="I81" s="281">
        <v>1.0</v>
      </c>
      <c r="J81" s="282"/>
      <c r="K81" s="283"/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0.226</v>
      </c>
      <c r="N81" s="191"/>
      <c r="O81" s="247"/>
    </row>
    <row r="82">
      <c r="A82" s="12" t="s">
        <v>87</v>
      </c>
      <c r="B82" s="12" t="s">
        <v>83</v>
      </c>
      <c r="C82" s="271" t="str">
        <f>'19th-21stMAY'!E82</f>
        <v/>
      </c>
      <c r="D82" s="227">
        <v>2.0</v>
      </c>
      <c r="E82" s="280">
        <v>1.0</v>
      </c>
      <c r="F82" s="235" t="s">
        <v>25</v>
      </c>
      <c r="G82" s="235"/>
      <c r="H82" s="272">
        <f>'19th-21stMAY'!J82</f>
        <v>0.574</v>
      </c>
      <c r="I82" s="281">
        <v>1.0</v>
      </c>
      <c r="J82" s="282">
        <v>0.143</v>
      </c>
      <c r="K82" s="283"/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0.931</v>
      </c>
      <c r="N82" s="191"/>
      <c r="O82" s="247"/>
    </row>
    <row r="83">
      <c r="A83" s="12" t="s">
        <v>88</v>
      </c>
      <c r="B83" s="12" t="s">
        <v>83</v>
      </c>
      <c r="C83" s="271" t="str">
        <f>'19th-21stMAY'!E83</f>
        <v/>
      </c>
      <c r="D83" s="191"/>
      <c r="E83" s="247"/>
      <c r="F83" s="235" t="s">
        <v>25</v>
      </c>
      <c r="G83" s="235"/>
      <c r="H83" s="272">
        <f>'19th-21stMAY'!J83</f>
        <v>1.16</v>
      </c>
      <c r="I83" s="281">
        <v>1.0</v>
      </c>
      <c r="J83" s="282">
        <v>0.734</v>
      </c>
      <c r="K83" s="283"/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0.426</v>
      </c>
      <c r="N83" s="191"/>
      <c r="O83" s="247"/>
    </row>
    <row r="84">
      <c r="A84" s="12" t="s">
        <v>89</v>
      </c>
      <c r="B84" s="12" t="s">
        <v>83</v>
      </c>
      <c r="C84" s="271" t="str">
        <f>'19th-21stMAY'!E84</f>
        <v/>
      </c>
      <c r="D84" s="227">
        <v>1.0</v>
      </c>
      <c r="E84" s="280"/>
      <c r="F84" s="235" t="s">
        <v>25</v>
      </c>
      <c r="G84" s="235"/>
      <c r="H84" s="272">
        <f>'19th-21stMAY'!J84</f>
        <v>0.583</v>
      </c>
      <c r="I84" s="281">
        <v>1.0</v>
      </c>
      <c r="J84" s="282">
        <v>0.667</v>
      </c>
      <c r="K84" s="283"/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0.426</v>
      </c>
      <c r="N84" s="191"/>
      <c r="O84" s="247"/>
    </row>
    <row r="85">
      <c r="A85" s="12" t="s">
        <v>90</v>
      </c>
      <c r="B85" s="12" t="s">
        <v>24</v>
      </c>
      <c r="C85" s="271">
        <f>'19th-21stMAY'!E85</f>
        <v>1</v>
      </c>
      <c r="D85" s="227">
        <v>1.0</v>
      </c>
      <c r="E85" s="280"/>
      <c r="F85" s="235" t="s">
        <v>25</v>
      </c>
      <c r="G85" s="235"/>
      <c r="H85" s="272" t="str">
        <f>'19th-21stMAY'!J85</f>
        <v/>
      </c>
      <c r="I85" s="281">
        <v>1.0</v>
      </c>
      <c r="J85" s="282">
        <v>0.288</v>
      </c>
      <c r="K85" s="283"/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0.302</v>
      </c>
      <c r="N85" s="191"/>
      <c r="O85" s="247"/>
    </row>
    <row r="86">
      <c r="A86" s="12" t="s">
        <v>91</v>
      </c>
      <c r="B86" s="12" t="s">
        <v>56</v>
      </c>
      <c r="C86" s="271">
        <f>'19th-21stMAY'!E86</f>
        <v>1</v>
      </c>
      <c r="D86" s="227">
        <v>1.0</v>
      </c>
      <c r="E86" s="280"/>
      <c r="F86" s="235" t="s">
        <v>25</v>
      </c>
      <c r="G86" s="235"/>
      <c r="H86" s="272" t="str">
        <f>'19th-21stMAY'!J86</f>
        <v/>
      </c>
      <c r="I86" s="281">
        <v>1.0</v>
      </c>
      <c r="J86" s="282">
        <v>2.824</v>
      </c>
      <c r="K86" s="283"/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7.176</v>
      </c>
      <c r="N86" s="191"/>
      <c r="O86" s="247"/>
    </row>
    <row r="87">
      <c r="A87" s="12" t="s">
        <v>92</v>
      </c>
      <c r="B87" s="12" t="s">
        <v>83</v>
      </c>
      <c r="C87" s="271" t="str">
        <f>'19th-21stMAY'!E87</f>
        <v/>
      </c>
      <c r="D87" s="191"/>
      <c r="E87" s="247"/>
      <c r="F87" s="235" t="s">
        <v>25</v>
      </c>
      <c r="G87" s="235"/>
      <c r="H87" s="272">
        <f>'19th-21stMAY'!J87</f>
        <v>0.839</v>
      </c>
      <c r="I87" s="281">
        <v>1.0</v>
      </c>
      <c r="J87" s="282">
        <v>0.751</v>
      </c>
      <c r="K87" s="283"/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0.088</v>
      </c>
      <c r="N87" s="191"/>
      <c r="O87" s="247"/>
    </row>
    <row r="88">
      <c r="A88" s="12" t="s">
        <v>93</v>
      </c>
      <c r="B88" s="12" t="s">
        <v>83</v>
      </c>
      <c r="C88" s="271" t="str">
        <f>'19th-21stMAY'!E88</f>
        <v/>
      </c>
      <c r="D88" s="191"/>
      <c r="E88" s="247"/>
      <c r="F88" s="235" t="s">
        <v>25</v>
      </c>
      <c r="G88" s="235"/>
      <c r="H88" s="272">
        <f>'19th-21stMAY'!J88</f>
        <v>0.663</v>
      </c>
      <c r="I88" s="281">
        <v>1.0</v>
      </c>
      <c r="J88" s="282">
        <v>0.661</v>
      </c>
      <c r="K88" s="283"/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0.002</v>
      </c>
      <c r="N88" s="191"/>
      <c r="O88" s="247"/>
    </row>
    <row r="89">
      <c r="A89" s="12" t="s">
        <v>95</v>
      </c>
      <c r="B89" s="12" t="s">
        <v>83</v>
      </c>
      <c r="C89" s="271" t="str">
        <f>'19th-21stMAY'!E89</f>
        <v/>
      </c>
      <c r="D89" s="191"/>
      <c r="E89" s="247"/>
      <c r="F89" s="235" t="s">
        <v>25</v>
      </c>
      <c r="G89" s="235"/>
      <c r="H89" s="272">
        <f>'19th-21stMAY'!J89</f>
        <v>1.068</v>
      </c>
      <c r="I89" s="281">
        <v>1.0</v>
      </c>
      <c r="J89" s="282">
        <v>0.974</v>
      </c>
      <c r="K89" s="283"/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0.094</v>
      </c>
      <c r="N89" s="191"/>
      <c r="O89" s="247"/>
    </row>
    <row r="90">
      <c r="A90" s="10" t="s">
        <v>96</v>
      </c>
      <c r="B90" s="11"/>
      <c r="C90" s="271" t="str">
        <f>'19th-21stMAY'!E90</f>
        <v/>
      </c>
      <c r="D90" s="191"/>
      <c r="E90" s="247"/>
      <c r="F90" s="235"/>
      <c r="G90" s="235"/>
      <c r="H90" s="272" t="str">
        <f>'19th-21stMAY'!J90</f>
        <v/>
      </c>
      <c r="I90" s="281">
        <v>1.0</v>
      </c>
      <c r="J90" s="284"/>
      <c r="K90" s="283"/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'19th-21stMAY'!E91</f>
        <v/>
      </c>
      <c r="D91" s="191"/>
      <c r="E91" s="247"/>
      <c r="F91" s="235" t="s">
        <v>35</v>
      </c>
      <c r="G91" s="235"/>
      <c r="H91" s="272" t="str">
        <f>'19th-21stMAY'!J91</f>
        <v/>
      </c>
      <c r="I91" s="281">
        <v>1.0</v>
      </c>
      <c r="J91" s="284"/>
      <c r="K91" s="283"/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'19th-21stMAY'!E92</f>
        <v/>
      </c>
      <c r="D92" s="191"/>
      <c r="E92" s="247"/>
      <c r="F92" s="235" t="s">
        <v>35</v>
      </c>
      <c r="G92" s="235"/>
      <c r="H92" s="272">
        <f>'19th-21stMAY'!J92</f>
        <v>0.873</v>
      </c>
      <c r="I92" s="281">
        <v>1.0</v>
      </c>
      <c r="J92" s="282">
        <v>0.698</v>
      </c>
      <c r="K92" s="283"/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0.175</v>
      </c>
      <c r="N92" s="191"/>
      <c r="O92" s="247"/>
    </row>
    <row r="93">
      <c r="A93" s="12" t="s">
        <v>100</v>
      </c>
      <c r="B93" s="12" t="s">
        <v>40</v>
      </c>
      <c r="C93" s="271" t="str">
        <f>'19th-21stMAY'!E93</f>
        <v/>
      </c>
      <c r="D93" s="191"/>
      <c r="E93" s="247"/>
      <c r="F93" s="235" t="s">
        <v>35</v>
      </c>
      <c r="G93" s="235"/>
      <c r="H93" s="272">
        <f>'19th-21stMAY'!J93</f>
        <v>0.181</v>
      </c>
      <c r="I93" s="281">
        <v>1.0</v>
      </c>
      <c r="J93" s="282">
        <v>0.125</v>
      </c>
      <c r="K93" s="283"/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0.056</v>
      </c>
      <c r="N93" s="191"/>
      <c r="O93" s="247"/>
    </row>
    <row r="94">
      <c r="A94" s="12" t="s">
        <v>101</v>
      </c>
      <c r="B94" s="12" t="s">
        <v>40</v>
      </c>
      <c r="C94" s="271" t="str">
        <f>'19th-21stMAY'!E94</f>
        <v/>
      </c>
      <c r="D94" s="191"/>
      <c r="E94" s="247"/>
      <c r="F94" s="235" t="s">
        <v>35</v>
      </c>
      <c r="G94" s="235"/>
      <c r="H94" s="272" t="str">
        <f>'19th-21stMAY'!J94</f>
        <v/>
      </c>
      <c r="I94" s="281">
        <v>1.0</v>
      </c>
      <c r="J94" s="284"/>
      <c r="K94" s="283"/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'19th-21stMAY'!E95</f>
        <v/>
      </c>
      <c r="D95" s="191"/>
      <c r="E95" s="247"/>
      <c r="F95" s="235" t="s">
        <v>35</v>
      </c>
      <c r="G95" s="235"/>
      <c r="H95" s="272">
        <f>'19th-21stMAY'!J95</f>
        <v>0.036</v>
      </c>
      <c r="I95" s="281">
        <v>1.0</v>
      </c>
      <c r="J95" s="282"/>
      <c r="K95" s="283"/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0.032</v>
      </c>
      <c r="N95" s="191"/>
      <c r="O95" s="247"/>
    </row>
    <row r="96">
      <c r="A96" s="12" t="s">
        <v>103</v>
      </c>
      <c r="B96" s="12" t="s">
        <v>40</v>
      </c>
      <c r="C96" s="271" t="str">
        <f>'19th-21stMAY'!E96</f>
        <v/>
      </c>
      <c r="D96" s="191"/>
      <c r="E96" s="247"/>
      <c r="F96" s="235" t="s">
        <v>35</v>
      </c>
      <c r="G96" s="285">
        <v>0.001</v>
      </c>
      <c r="H96" s="272">
        <f>'19th-21stMAY'!J96</f>
        <v>0.302</v>
      </c>
      <c r="I96" s="281">
        <v>1.0</v>
      </c>
      <c r="J96" s="282">
        <v>0.303</v>
      </c>
      <c r="K96" s="283"/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71" t="str">
        <f>'19th-21stMAY'!E97</f>
        <v/>
      </c>
      <c r="D97" s="191"/>
      <c r="E97" s="247"/>
      <c r="F97" s="235" t="s">
        <v>35</v>
      </c>
      <c r="G97" s="235"/>
      <c r="H97" s="272" t="str">
        <f>'19th-21stMAY'!J97</f>
        <v/>
      </c>
      <c r="I97" s="281">
        <v>1.0</v>
      </c>
      <c r="J97" s="284"/>
      <c r="K97" s="283"/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'19th-21stMAY'!E98</f>
        <v/>
      </c>
      <c r="D98" s="191"/>
      <c r="E98" s="247"/>
      <c r="F98" s="235" t="s">
        <v>35</v>
      </c>
      <c r="G98" s="235"/>
      <c r="H98" s="272">
        <f>'19th-21stMAY'!J98</f>
        <v>0.33</v>
      </c>
      <c r="I98" s="281">
        <v>1.0</v>
      </c>
      <c r="J98" s="282">
        <v>0.273</v>
      </c>
      <c r="K98" s="283"/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0.057</v>
      </c>
      <c r="N98" s="191"/>
      <c r="O98" s="247"/>
    </row>
    <row r="99">
      <c r="A99" s="12" t="s">
        <v>108</v>
      </c>
      <c r="B99" s="12" t="s">
        <v>40</v>
      </c>
      <c r="C99" s="271" t="str">
        <f>'19th-21stMAY'!E99</f>
        <v/>
      </c>
      <c r="D99" s="191"/>
      <c r="E99" s="247"/>
      <c r="F99" s="235" t="s">
        <v>35</v>
      </c>
      <c r="G99" s="235"/>
      <c r="H99" s="272">
        <f>'19th-21stMAY'!J99</f>
        <v>0.224</v>
      </c>
      <c r="I99" s="281">
        <v>1.0</v>
      </c>
      <c r="J99" s="282">
        <v>0.218</v>
      </c>
      <c r="K99" s="283"/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0.006</v>
      </c>
      <c r="N99" s="191"/>
      <c r="O99" s="247"/>
    </row>
    <row r="100">
      <c r="A100" s="12" t="s">
        <v>109</v>
      </c>
      <c r="B100" s="12" t="s">
        <v>40</v>
      </c>
      <c r="C100" s="271" t="str">
        <f>'19th-21stMAY'!E100</f>
        <v/>
      </c>
      <c r="D100" s="191"/>
      <c r="E100" s="247"/>
      <c r="F100" s="235" t="s">
        <v>35</v>
      </c>
      <c r="G100" s="235"/>
      <c r="H100" s="272">
        <f>'19th-21stMAY'!J100</f>
        <v>0.242</v>
      </c>
      <c r="I100" s="281">
        <v>1.0</v>
      </c>
      <c r="J100" s="282">
        <v>0.233</v>
      </c>
      <c r="K100" s="283"/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0.009</v>
      </c>
      <c r="N100" s="191"/>
      <c r="O100" s="247"/>
    </row>
    <row r="101">
      <c r="A101" s="12" t="s">
        <v>110</v>
      </c>
      <c r="B101" s="12" t="s">
        <v>40</v>
      </c>
      <c r="C101" s="271" t="str">
        <f>'19th-21stMAY'!E101</f>
        <v/>
      </c>
      <c r="D101" s="191"/>
      <c r="E101" s="247"/>
      <c r="F101" s="235" t="s">
        <v>35</v>
      </c>
      <c r="G101" s="235"/>
      <c r="H101" s="272">
        <f>'19th-21stMAY'!J101</f>
        <v>0.511</v>
      </c>
      <c r="I101" s="281">
        <v>1.0</v>
      </c>
      <c r="J101" s="282">
        <v>0.505</v>
      </c>
      <c r="K101" s="283"/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0.006</v>
      </c>
      <c r="N101" s="191"/>
      <c r="O101" s="247"/>
    </row>
    <row r="102">
      <c r="A102" s="12" t="s">
        <v>111</v>
      </c>
      <c r="B102" s="12" t="s">
        <v>40</v>
      </c>
      <c r="C102" s="271" t="str">
        <f>'19th-21stMAY'!E102</f>
        <v/>
      </c>
      <c r="D102" s="191"/>
      <c r="E102" s="247"/>
      <c r="F102" s="235" t="s">
        <v>35</v>
      </c>
      <c r="G102" s="235"/>
      <c r="H102" s="272" t="str">
        <f>'19th-21stMAY'!J102</f>
        <v/>
      </c>
      <c r="I102" s="281">
        <v>1.0</v>
      </c>
      <c r="J102" s="284"/>
      <c r="K102" s="283"/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 t="str">
        <f>'19th-21stMAY'!E103</f>
        <v/>
      </c>
      <c r="D103" s="191"/>
      <c r="E103" s="247"/>
      <c r="F103" s="235" t="s">
        <v>35</v>
      </c>
      <c r="G103" s="235"/>
      <c r="H103" s="272">
        <f>'19th-21stMAY'!J103</f>
        <v>0.285</v>
      </c>
      <c r="I103" s="281">
        <v>1.0</v>
      </c>
      <c r="J103" s="282">
        <v>0.121</v>
      </c>
      <c r="K103" s="283"/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0.164</v>
      </c>
      <c r="N103" s="191"/>
      <c r="O103" s="247"/>
    </row>
    <row r="104">
      <c r="A104" s="12" t="s">
        <v>114</v>
      </c>
      <c r="B104" s="12" t="s">
        <v>40</v>
      </c>
      <c r="C104" s="271" t="str">
        <f>'19th-21stMAY'!E104</f>
        <v/>
      </c>
      <c r="D104" s="191"/>
      <c r="E104" s="247"/>
      <c r="F104" s="235" t="s">
        <v>35</v>
      </c>
      <c r="G104" s="285"/>
      <c r="H104" s="272">
        <f>'19th-21stMAY'!J104</f>
        <v>0.261</v>
      </c>
      <c r="I104" s="281">
        <v>1.0</v>
      </c>
      <c r="J104" s="282">
        <v>0.254</v>
      </c>
      <c r="K104" s="283"/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0.007</v>
      </c>
      <c r="N104" s="191"/>
      <c r="O104" s="247"/>
    </row>
    <row r="105">
      <c r="A105" s="12" t="s">
        <v>116</v>
      </c>
      <c r="B105" s="12" t="s">
        <v>40</v>
      </c>
      <c r="C105" s="271" t="str">
        <f>'19th-21stMAY'!E105</f>
        <v/>
      </c>
      <c r="D105" s="191"/>
      <c r="E105" s="247"/>
      <c r="F105" s="235" t="s">
        <v>35</v>
      </c>
      <c r="G105" s="235"/>
      <c r="H105" s="272" t="str">
        <f>'19th-21stMAY'!J105</f>
        <v/>
      </c>
      <c r="I105" s="281">
        <v>1.0</v>
      </c>
      <c r="J105" s="284"/>
      <c r="K105" s="283"/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'19th-21stMAY'!E106</f>
        <v/>
      </c>
      <c r="D106" s="191"/>
      <c r="E106" s="247"/>
      <c r="F106" s="235" t="s">
        <v>35</v>
      </c>
      <c r="G106" s="285"/>
      <c r="H106" s="272">
        <f>'19th-21stMAY'!J106</f>
        <v>0.869</v>
      </c>
      <c r="I106" s="281">
        <v>1.0</v>
      </c>
      <c r="J106" s="282">
        <v>0.837</v>
      </c>
      <c r="K106" s="283"/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0.032</v>
      </c>
      <c r="N106" s="191"/>
      <c r="O106" s="247"/>
    </row>
    <row r="107">
      <c r="A107" s="12" t="s">
        <v>118</v>
      </c>
      <c r="B107" s="12" t="s">
        <v>40</v>
      </c>
      <c r="C107" s="271" t="str">
        <f>'19th-21stMAY'!E107</f>
        <v/>
      </c>
      <c r="D107" s="191"/>
      <c r="E107" s="247"/>
      <c r="F107" s="235" t="s">
        <v>35</v>
      </c>
      <c r="G107" s="235"/>
      <c r="H107" s="272">
        <f>'19th-21stMAY'!J107</f>
        <v>0.388</v>
      </c>
      <c r="I107" s="281">
        <v>1.0</v>
      </c>
      <c r="J107" s="282">
        <v>0.32</v>
      </c>
      <c r="K107" s="283"/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0.068</v>
      </c>
      <c r="N107" s="191"/>
      <c r="O107" s="247"/>
    </row>
    <row r="108">
      <c r="A108" s="12" t="s">
        <v>119</v>
      </c>
      <c r="B108" s="12" t="s">
        <v>40</v>
      </c>
      <c r="C108" s="271" t="str">
        <f>'19th-21stMAY'!E108</f>
        <v/>
      </c>
      <c r="D108" s="191"/>
      <c r="E108" s="247"/>
      <c r="F108" s="235" t="s">
        <v>35</v>
      </c>
      <c r="G108" s="235"/>
      <c r="H108" s="272">
        <f>'19th-21stMAY'!J108</f>
        <v>0.649</v>
      </c>
      <c r="I108" s="281">
        <v>1.0</v>
      </c>
      <c r="J108" s="282">
        <v>0.648</v>
      </c>
      <c r="K108" s="283"/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0.001</v>
      </c>
      <c r="N108" s="191"/>
      <c r="O108" s="247"/>
    </row>
    <row r="109">
      <c r="A109" s="12" t="s">
        <v>120</v>
      </c>
      <c r="B109" s="12" t="s">
        <v>40</v>
      </c>
      <c r="C109" s="271" t="str">
        <f>'19th-21stMAY'!E109</f>
        <v/>
      </c>
      <c r="D109" s="191"/>
      <c r="E109" s="247"/>
      <c r="F109" s="235" t="s">
        <v>35</v>
      </c>
      <c r="G109" s="235"/>
      <c r="H109" s="272">
        <f>'19th-21stMAY'!J109</f>
        <v>0.192</v>
      </c>
      <c r="I109" s="281">
        <v>1.0</v>
      </c>
      <c r="J109" s="282">
        <v>0.11</v>
      </c>
      <c r="K109" s="283"/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0.082</v>
      </c>
      <c r="N109" s="191"/>
      <c r="O109" s="247"/>
    </row>
    <row r="110">
      <c r="A110" s="12" t="s">
        <v>121</v>
      </c>
      <c r="B110" s="12" t="s">
        <v>40</v>
      </c>
      <c r="C110" s="271" t="str">
        <f>'19th-21stMAY'!E110</f>
        <v/>
      </c>
      <c r="D110" s="191"/>
      <c r="E110" s="247"/>
      <c r="F110" s="235" t="s">
        <v>35</v>
      </c>
      <c r="G110" s="235"/>
      <c r="H110" s="272">
        <f>'19th-21stMAY'!J110</f>
        <v>0.999</v>
      </c>
      <c r="I110" s="281">
        <v>1.0</v>
      </c>
      <c r="J110" s="282">
        <v>0.98</v>
      </c>
      <c r="K110" s="283"/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0.019</v>
      </c>
      <c r="N110" s="191"/>
      <c r="O110" s="247"/>
    </row>
    <row r="111">
      <c r="A111" s="12" t="s">
        <v>122</v>
      </c>
      <c r="B111" s="12" t="s">
        <v>40</v>
      </c>
      <c r="C111" s="271" t="str">
        <f>'19th-21stMAY'!E111</f>
        <v/>
      </c>
      <c r="D111" s="191"/>
      <c r="E111" s="247"/>
      <c r="F111" s="235" t="s">
        <v>35</v>
      </c>
      <c r="G111" s="235"/>
      <c r="H111" s="272" t="str">
        <f>'19th-21stMAY'!J111</f>
        <v/>
      </c>
      <c r="I111" s="281">
        <v>1.0</v>
      </c>
      <c r="J111" s="284"/>
      <c r="K111" s="283"/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'19th-21stMAY'!E112</f>
        <v/>
      </c>
      <c r="D112" s="191"/>
      <c r="E112" s="247"/>
      <c r="F112" s="235" t="s">
        <v>35</v>
      </c>
      <c r="G112" s="235"/>
      <c r="H112" s="272">
        <f>'19th-21stMAY'!J112</f>
        <v>0.659</v>
      </c>
      <c r="I112" s="281">
        <v>1.0</v>
      </c>
      <c r="J112" s="282">
        <f>0.576+0.071</f>
        <v>0.647</v>
      </c>
      <c r="K112" s="283"/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0.012</v>
      </c>
      <c r="N112" s="191"/>
      <c r="O112" s="247"/>
    </row>
    <row r="113">
      <c r="A113" s="12" t="s">
        <v>124</v>
      </c>
      <c r="B113" s="12" t="s">
        <v>40</v>
      </c>
      <c r="C113" s="271" t="str">
        <f>'19th-21stMAY'!E113</f>
        <v/>
      </c>
      <c r="D113" s="191"/>
      <c r="E113" s="247"/>
      <c r="F113" s="235" t="s">
        <v>35</v>
      </c>
      <c r="G113" s="235"/>
      <c r="H113" s="272">
        <f>'19th-21stMAY'!J113</f>
        <v>0.644</v>
      </c>
      <c r="I113" s="281">
        <v>1.0</v>
      </c>
      <c r="J113" s="282">
        <v>0.633</v>
      </c>
      <c r="K113" s="283"/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0.011</v>
      </c>
      <c r="N113" s="191"/>
      <c r="O113" s="247"/>
    </row>
    <row r="114">
      <c r="A114" s="12" t="s">
        <v>125</v>
      </c>
      <c r="B114" s="12" t="s">
        <v>40</v>
      </c>
      <c r="C114" s="271" t="str">
        <f>'19th-21stMAY'!E114</f>
        <v/>
      </c>
      <c r="D114" s="191"/>
      <c r="E114" s="247"/>
      <c r="F114" s="235" t="s">
        <v>35</v>
      </c>
      <c r="G114" s="235"/>
      <c r="H114" s="272" t="str">
        <f>'19th-21stMAY'!J114</f>
        <v/>
      </c>
      <c r="I114" s="281">
        <v>1.0</v>
      </c>
      <c r="J114" s="284"/>
      <c r="K114" s="283"/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'19th-21stMAY'!E115</f>
        <v/>
      </c>
      <c r="D115" s="191"/>
      <c r="E115" s="247"/>
      <c r="F115" s="235" t="s">
        <v>35</v>
      </c>
      <c r="G115" s="235"/>
      <c r="H115" s="272">
        <f>'19th-21stMAY'!J115</f>
        <v>0.375</v>
      </c>
      <c r="I115" s="281">
        <v>1.0</v>
      </c>
      <c r="J115" s="282">
        <v>0.297</v>
      </c>
      <c r="K115" s="283"/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0.078</v>
      </c>
      <c r="N115" s="191"/>
      <c r="O115" s="247"/>
    </row>
    <row r="116">
      <c r="A116" s="12" t="s">
        <v>127</v>
      </c>
      <c r="B116" s="12" t="s">
        <v>40</v>
      </c>
      <c r="C116" s="271" t="str">
        <f>'19th-21stMAY'!E116</f>
        <v/>
      </c>
      <c r="D116" s="191"/>
      <c r="E116" s="247"/>
      <c r="F116" s="235" t="s">
        <v>35</v>
      </c>
      <c r="G116" s="235"/>
      <c r="H116" s="272">
        <f>'19th-21stMAY'!J116</f>
        <v>0.045</v>
      </c>
      <c r="I116" s="281">
        <v>1.0</v>
      </c>
      <c r="J116" s="282">
        <v>0.04</v>
      </c>
      <c r="K116" s="283"/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0.005</v>
      </c>
      <c r="N116" s="191"/>
      <c r="O116" s="247"/>
    </row>
    <row r="117">
      <c r="A117" s="12" t="s">
        <v>128</v>
      </c>
      <c r="B117" s="12" t="s">
        <v>40</v>
      </c>
      <c r="C117" s="271" t="str">
        <f>'19th-21stMAY'!E117</f>
        <v/>
      </c>
      <c r="D117" s="191"/>
      <c r="E117" s="247"/>
      <c r="F117" s="235" t="s">
        <v>35</v>
      </c>
      <c r="G117" s="235"/>
      <c r="H117" s="272">
        <f>'19th-21stMAY'!J117</f>
        <v>0.033</v>
      </c>
      <c r="I117" s="281">
        <v>1.0</v>
      </c>
      <c r="J117" s="282">
        <v>0.028</v>
      </c>
      <c r="K117" s="283"/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0.005</v>
      </c>
      <c r="N117" s="191"/>
      <c r="O117" s="247"/>
    </row>
    <row r="118">
      <c r="A118" s="12" t="s">
        <v>129</v>
      </c>
      <c r="B118" s="12" t="s">
        <v>40</v>
      </c>
      <c r="C118" s="271" t="str">
        <f>'19th-21stMAY'!E118</f>
        <v/>
      </c>
      <c r="D118" s="191"/>
      <c r="E118" s="247"/>
      <c r="F118" s="235" t="s">
        <v>35</v>
      </c>
      <c r="G118" s="235"/>
      <c r="H118" s="272">
        <f>'19th-21stMAY'!J118</f>
        <v>0.873</v>
      </c>
      <c r="I118" s="281">
        <v>1.0</v>
      </c>
      <c r="J118" s="282">
        <v>0.873</v>
      </c>
      <c r="K118" s="283"/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71" t="str">
        <f>'19th-21stMAY'!E119</f>
        <v/>
      </c>
      <c r="D119" s="191"/>
      <c r="E119" s="247"/>
      <c r="F119" s="235" t="s">
        <v>35</v>
      </c>
      <c r="G119" s="235"/>
      <c r="H119" s="272">
        <f>'19th-21stMAY'!J119</f>
        <v>0.671</v>
      </c>
      <c r="I119" s="281">
        <v>1.0</v>
      </c>
      <c r="J119" s="282">
        <v>0.261</v>
      </c>
      <c r="K119" s="283"/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0.41</v>
      </c>
      <c r="N119" s="191"/>
      <c r="O119" s="247"/>
    </row>
    <row r="120">
      <c r="A120" s="12" t="s">
        <v>131</v>
      </c>
      <c r="B120" s="12" t="s">
        <v>40</v>
      </c>
      <c r="C120" s="271" t="str">
        <f>'19th-21stMAY'!E120</f>
        <v/>
      </c>
      <c r="D120" s="227">
        <v>2.0</v>
      </c>
      <c r="E120" s="247"/>
      <c r="F120" s="235" t="s">
        <v>35</v>
      </c>
      <c r="G120" s="235"/>
      <c r="H120" s="272" t="str">
        <f>'19th-21stMAY'!J120</f>
        <v/>
      </c>
      <c r="I120" s="281">
        <v>1.0</v>
      </c>
      <c r="J120" s="282"/>
      <c r="K120" s="283"/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1</v>
      </c>
      <c r="N120" s="191"/>
      <c r="O120" s="247"/>
    </row>
    <row r="121">
      <c r="A121" s="12" t="s">
        <v>132</v>
      </c>
      <c r="B121" s="12" t="s">
        <v>40</v>
      </c>
      <c r="C121" s="271" t="str">
        <f>'19th-21stMAY'!E121</f>
        <v/>
      </c>
      <c r="D121" s="191"/>
      <c r="E121" s="247"/>
      <c r="F121" s="235" t="s">
        <v>35</v>
      </c>
      <c r="G121" s="235"/>
      <c r="H121" s="272">
        <f>'19th-21stMAY'!J121</f>
        <v>0.699</v>
      </c>
      <c r="I121" s="281">
        <v>1.0</v>
      </c>
      <c r="J121" s="282">
        <v>0.641</v>
      </c>
      <c r="K121" s="283"/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0.058</v>
      </c>
      <c r="N121" s="191"/>
      <c r="O121" s="247"/>
    </row>
    <row r="122">
      <c r="A122" s="12" t="s">
        <v>133</v>
      </c>
      <c r="B122" s="12" t="s">
        <v>40</v>
      </c>
      <c r="C122" s="271">
        <f>'19th-21stMAY'!E122</f>
        <v>1</v>
      </c>
      <c r="D122" s="191"/>
      <c r="E122" s="280">
        <v>1.0</v>
      </c>
      <c r="F122" s="235" t="s">
        <v>35</v>
      </c>
      <c r="G122" s="235"/>
      <c r="H122" s="272">
        <f>'19th-21stMAY'!J122</f>
        <v>0.025</v>
      </c>
      <c r="I122" s="281">
        <v>1.0</v>
      </c>
      <c r="J122" s="282">
        <v>0.016</v>
      </c>
      <c r="K122" s="283"/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0.009</v>
      </c>
      <c r="N122" s="191"/>
      <c r="O122" s="247"/>
    </row>
    <row r="123">
      <c r="A123" s="12" t="s">
        <v>134</v>
      </c>
      <c r="B123" s="12" t="s">
        <v>40</v>
      </c>
      <c r="C123" s="271" t="str">
        <f>'19th-21stMAY'!E123</f>
        <v/>
      </c>
      <c r="D123" s="191"/>
      <c r="E123" s="247"/>
      <c r="F123" s="235" t="s">
        <v>35</v>
      </c>
      <c r="G123" s="235"/>
      <c r="H123" s="272" t="str">
        <f>'19th-21stMAY'!J123</f>
        <v/>
      </c>
      <c r="I123" s="281">
        <v>1.0</v>
      </c>
      <c r="J123" s="284"/>
      <c r="K123" s="283"/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'19th-21stMAY'!E124</f>
        <v/>
      </c>
      <c r="D124" s="191"/>
      <c r="E124" s="247"/>
      <c r="F124" s="235" t="s">
        <v>35</v>
      </c>
      <c r="G124" s="235"/>
      <c r="H124" s="272" t="str">
        <f>'19th-21stMAY'!J124</f>
        <v/>
      </c>
      <c r="I124" s="281">
        <v>1.0</v>
      </c>
      <c r="J124" s="284"/>
      <c r="K124" s="283"/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'19th-21stMAY'!E125</f>
        <v/>
      </c>
      <c r="D125" s="191"/>
      <c r="E125" s="247"/>
      <c r="F125" s="285" t="s">
        <v>35</v>
      </c>
      <c r="G125" s="235"/>
      <c r="H125" s="272" t="str">
        <f>'19th-21stMAY'!J125</f>
        <v/>
      </c>
      <c r="I125" s="281">
        <v>1.0</v>
      </c>
      <c r="J125" s="284"/>
      <c r="K125" s="283"/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247"/>
    </row>
    <row r="126">
      <c r="A126" s="21" t="s">
        <v>143</v>
      </c>
      <c r="B126" s="15" t="s">
        <v>40</v>
      </c>
      <c r="C126" s="271" t="str">
        <f>'19th-21stMAY'!E126</f>
        <v/>
      </c>
      <c r="D126" s="191"/>
      <c r="E126" s="247"/>
      <c r="F126" s="285" t="s">
        <v>35</v>
      </c>
      <c r="G126" s="285">
        <v>0.222</v>
      </c>
      <c r="H126" s="272" t="str">
        <f>'19th-21stMAY'!J126</f>
        <v/>
      </c>
      <c r="I126" s="281">
        <v>1.0</v>
      </c>
      <c r="J126" s="282">
        <v>0.222</v>
      </c>
      <c r="K126" s="283"/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</v>
      </c>
      <c r="N126" s="191"/>
      <c r="O126" s="247"/>
    </row>
    <row r="127">
      <c r="A127" s="10" t="s">
        <v>146</v>
      </c>
      <c r="B127" s="11"/>
      <c r="C127" s="271" t="str">
        <f>'19th-21stMAY'!E127</f>
        <v/>
      </c>
      <c r="D127" s="191"/>
      <c r="E127" s="247"/>
      <c r="F127" s="235"/>
      <c r="G127" s="235"/>
      <c r="H127" s="272" t="str">
        <f>'19th-21stMAY'!J127</f>
        <v/>
      </c>
      <c r="I127" s="281">
        <v>1.0</v>
      </c>
      <c r="J127" s="284"/>
      <c r="K127" s="283"/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'19th-21stMAY'!E128</f>
        <v/>
      </c>
      <c r="D128" s="227">
        <v>1.0</v>
      </c>
      <c r="E128" s="247"/>
      <c r="F128" s="235" t="s">
        <v>35</v>
      </c>
      <c r="G128" s="235"/>
      <c r="H128" s="272" t="str">
        <f>'19th-21stMAY'!J128</f>
        <v/>
      </c>
      <c r="I128" s="281">
        <v>1.0</v>
      </c>
      <c r="J128" s="284"/>
      <c r="K128" s="283"/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1</v>
      </c>
      <c r="N128" s="191"/>
      <c r="O128" s="247"/>
    </row>
    <row r="129">
      <c r="A129" s="12" t="s">
        <v>148</v>
      </c>
      <c r="B129" s="12" t="s">
        <v>35</v>
      </c>
      <c r="C129" s="271" t="str">
        <f>'19th-21stMAY'!E129</f>
        <v/>
      </c>
      <c r="D129" s="191"/>
      <c r="E129" s="247"/>
      <c r="F129" s="235" t="s">
        <v>35</v>
      </c>
      <c r="G129" s="285">
        <v>1.7</v>
      </c>
      <c r="H129" s="272">
        <f>'19th-21stMAY'!J129</f>
        <v>0.33</v>
      </c>
      <c r="I129" s="281">
        <v>1.0</v>
      </c>
      <c r="J129" s="282">
        <v>1.143</v>
      </c>
      <c r="K129" s="283"/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0.887</v>
      </c>
      <c r="N129" s="191"/>
      <c r="O129" s="247"/>
    </row>
    <row r="130">
      <c r="A130" s="12" t="s">
        <v>149</v>
      </c>
      <c r="B130" s="12" t="s">
        <v>40</v>
      </c>
      <c r="C130" s="271" t="str">
        <f>'19th-21stMAY'!E130</f>
        <v/>
      </c>
      <c r="D130" s="191"/>
      <c r="E130" s="247"/>
      <c r="F130" s="235" t="s">
        <v>35</v>
      </c>
      <c r="G130" s="235"/>
      <c r="H130" s="272">
        <f>'19th-21stMAY'!J130</f>
        <v>0.391</v>
      </c>
      <c r="I130" s="281">
        <v>1.0</v>
      </c>
      <c r="J130" s="282">
        <v>0.232</v>
      </c>
      <c r="K130" s="283"/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0.159</v>
      </c>
      <c r="N130" s="191"/>
      <c r="O130" s="247"/>
    </row>
    <row r="131">
      <c r="A131" s="12" t="s">
        <v>150</v>
      </c>
      <c r="B131" s="12" t="s">
        <v>24</v>
      </c>
      <c r="C131" s="271" t="str">
        <f>'19th-21stMAY'!E131</f>
        <v/>
      </c>
      <c r="D131" s="191"/>
      <c r="E131" s="247"/>
      <c r="F131" s="235" t="s">
        <v>25</v>
      </c>
      <c r="G131" s="235"/>
      <c r="H131" s="272" t="str">
        <f>'19th-21stMAY'!J131</f>
        <v/>
      </c>
      <c r="I131" s="281">
        <v>1.0</v>
      </c>
      <c r="J131" s="284"/>
      <c r="K131" s="283"/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'19th-21stMAY'!E132</f>
        <v/>
      </c>
      <c r="D132" s="191"/>
      <c r="E132" s="247"/>
      <c r="F132" s="235"/>
      <c r="G132" s="235"/>
      <c r="H132" s="272" t="str">
        <f>'19th-21stMAY'!J132</f>
        <v/>
      </c>
      <c r="I132" s="281">
        <v>1.0</v>
      </c>
      <c r="J132" s="284"/>
      <c r="K132" s="283"/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'19th-21stMAY'!E133</f>
        <v/>
      </c>
      <c r="D133" s="227">
        <v>3.0</v>
      </c>
      <c r="E133" s="247"/>
      <c r="F133" s="235" t="s">
        <v>35</v>
      </c>
      <c r="G133" s="235"/>
      <c r="H133" s="272" t="str">
        <f>'19th-21stMAY'!J133</f>
        <v/>
      </c>
      <c r="I133" s="281">
        <v>1.0</v>
      </c>
      <c r="J133" s="282">
        <v>0.096</v>
      </c>
      <c r="K133" s="283"/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0.504</v>
      </c>
      <c r="N133" s="191"/>
      <c r="O133" s="247"/>
    </row>
    <row r="134">
      <c r="A134" s="12" t="s">
        <v>154</v>
      </c>
      <c r="B134" s="12" t="s">
        <v>155</v>
      </c>
      <c r="C134" s="271" t="str">
        <f>'19th-21stMAY'!E134</f>
        <v/>
      </c>
      <c r="D134" s="191"/>
      <c r="E134" s="247"/>
      <c r="F134" s="235" t="s">
        <v>35</v>
      </c>
      <c r="G134" s="235"/>
      <c r="H134" s="272" t="str">
        <f>'19th-21stMAY'!J134</f>
        <v/>
      </c>
      <c r="I134" s="281">
        <v>1.0</v>
      </c>
      <c r="J134" s="284"/>
      <c r="K134" s="283"/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 t="str">
        <f>'19th-21stMAY'!E135</f>
        <v/>
      </c>
      <c r="D135" s="227">
        <v>2.0</v>
      </c>
      <c r="E135" s="280">
        <v>1.0</v>
      </c>
      <c r="F135" s="235" t="s">
        <v>35</v>
      </c>
      <c r="G135" s="235"/>
      <c r="H135" s="272">
        <f>'19th-21stMAY'!J135</f>
        <v>0.27</v>
      </c>
      <c r="I135" s="281">
        <v>1.0</v>
      </c>
      <c r="J135" s="282">
        <v>0.352</v>
      </c>
      <c r="K135" s="283"/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0.343</v>
      </c>
      <c r="N135" s="191"/>
      <c r="O135" s="247"/>
    </row>
    <row r="136">
      <c r="A136" s="12" t="s">
        <v>158</v>
      </c>
      <c r="B136" s="12" t="s">
        <v>34</v>
      </c>
      <c r="C136" s="271" t="str">
        <f>'19th-21stMAY'!E136</f>
        <v/>
      </c>
      <c r="D136" s="227">
        <v>1.0</v>
      </c>
      <c r="E136" s="247"/>
      <c r="F136" s="235" t="s">
        <v>35</v>
      </c>
      <c r="G136" s="235"/>
      <c r="H136" s="272" t="str">
        <f>'19th-21stMAY'!J136</f>
        <v/>
      </c>
      <c r="I136" s="281">
        <v>1.0</v>
      </c>
      <c r="J136" s="282">
        <v>0.28</v>
      </c>
      <c r="K136" s="283"/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0.145</v>
      </c>
      <c r="N136" s="191"/>
      <c r="O136" s="247"/>
    </row>
    <row r="137">
      <c r="A137" s="12" t="s">
        <v>159</v>
      </c>
      <c r="B137" s="12" t="s">
        <v>34</v>
      </c>
      <c r="C137" s="271" t="str">
        <f>'19th-21stMAY'!E137</f>
        <v/>
      </c>
      <c r="D137" s="191"/>
      <c r="E137" s="247"/>
      <c r="F137" s="235" t="s">
        <v>35</v>
      </c>
      <c r="G137" s="235"/>
      <c r="H137" s="272" t="str">
        <f>'19th-21stMAY'!J137</f>
        <v/>
      </c>
      <c r="I137" s="281">
        <v>1.0</v>
      </c>
      <c r="J137" s="284"/>
      <c r="K137" s="283"/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'19th-21stMAY'!E138</f>
        <v/>
      </c>
      <c r="D138" s="191"/>
      <c r="E138" s="247"/>
      <c r="F138" s="235" t="s">
        <v>35</v>
      </c>
      <c r="G138" s="235"/>
      <c r="H138" s="272">
        <f>'19th-21stMAY'!J138</f>
        <v>0.439</v>
      </c>
      <c r="I138" s="281">
        <v>1.0</v>
      </c>
      <c r="J138" s="282">
        <v>0.337</v>
      </c>
      <c r="K138" s="283"/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0.102</v>
      </c>
      <c r="N138" s="191"/>
      <c r="O138" s="247"/>
    </row>
    <row r="139">
      <c r="A139" s="12" t="s">
        <v>161</v>
      </c>
      <c r="B139" s="12" t="s">
        <v>34</v>
      </c>
      <c r="C139" s="271" t="str">
        <f>'19th-21stMAY'!E139</f>
        <v/>
      </c>
      <c r="D139" s="191"/>
      <c r="E139" s="247"/>
      <c r="F139" s="235" t="s">
        <v>35</v>
      </c>
      <c r="G139" s="235"/>
      <c r="H139" s="272">
        <f>'19th-21stMAY'!J139</f>
        <v>0.49</v>
      </c>
      <c r="I139" s="281">
        <v>1.0</v>
      </c>
      <c r="J139" s="282">
        <v>0.49</v>
      </c>
      <c r="K139" s="283"/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</v>
      </c>
      <c r="N139" s="191"/>
      <c r="O139" s="247"/>
    </row>
    <row r="140">
      <c r="A140" s="12" t="s">
        <v>162</v>
      </c>
      <c r="B140" s="12" t="s">
        <v>34</v>
      </c>
      <c r="C140" s="271" t="str">
        <f>'19th-21stMAY'!E140</f>
        <v/>
      </c>
      <c r="D140" s="191"/>
      <c r="E140" s="247"/>
      <c r="F140" s="235" t="s">
        <v>35</v>
      </c>
      <c r="G140" s="235"/>
      <c r="H140" s="272">
        <f>'19th-21stMAY'!J140</f>
        <v>0.25</v>
      </c>
      <c r="I140" s="281">
        <v>1.0</v>
      </c>
      <c r="J140" s="282">
        <v>0.25</v>
      </c>
      <c r="K140" s="283"/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 t="str">
        <f>'19th-21stMAY'!E141</f>
        <v/>
      </c>
      <c r="D141" s="191"/>
      <c r="E141" s="247"/>
      <c r="F141" s="235" t="s">
        <v>35</v>
      </c>
      <c r="G141" s="235"/>
      <c r="H141" s="272">
        <f>'19th-21stMAY'!J141</f>
        <v>0.743</v>
      </c>
      <c r="I141" s="281">
        <v>1.0</v>
      </c>
      <c r="J141" s="282">
        <v>0.209</v>
      </c>
      <c r="K141" s="283"/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0.534</v>
      </c>
      <c r="N141" s="191"/>
      <c r="O141" s="247"/>
    </row>
    <row r="142">
      <c r="A142" s="12" t="s">
        <v>164</v>
      </c>
      <c r="B142" s="12" t="s">
        <v>155</v>
      </c>
      <c r="C142" s="271" t="str">
        <f>'19th-21stMAY'!E142</f>
        <v/>
      </c>
      <c r="D142" s="191"/>
      <c r="E142" s="247"/>
      <c r="F142" s="235" t="s">
        <v>35</v>
      </c>
      <c r="G142" s="235"/>
      <c r="H142" s="272">
        <f>'19th-21stMAY'!J142</f>
        <v>0.28</v>
      </c>
      <c r="I142" s="281">
        <v>1.0</v>
      </c>
      <c r="J142" s="282">
        <v>0.198</v>
      </c>
      <c r="K142" s="283"/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0.082</v>
      </c>
      <c r="N142" s="191"/>
      <c r="O142" s="247"/>
    </row>
    <row r="143">
      <c r="A143" s="12" t="s">
        <v>165</v>
      </c>
      <c r="B143" s="12" t="s">
        <v>155</v>
      </c>
      <c r="C143" s="271" t="str">
        <f>'19th-21stMAY'!E143</f>
        <v/>
      </c>
      <c r="D143" s="191"/>
      <c r="E143" s="247"/>
      <c r="F143" s="235" t="s">
        <v>35</v>
      </c>
      <c r="G143" s="235"/>
      <c r="H143" s="272" t="str">
        <f>'19th-21stMAY'!J143</f>
        <v/>
      </c>
      <c r="I143" s="281">
        <v>1.0</v>
      </c>
      <c r="J143" s="284"/>
      <c r="K143" s="283"/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'19th-21stMAY'!E144</f>
        <v/>
      </c>
      <c r="D144" s="191"/>
      <c r="E144" s="247"/>
      <c r="F144" s="235" t="s">
        <v>35</v>
      </c>
      <c r="G144" s="235"/>
      <c r="H144" s="272" t="str">
        <f>'19th-21stMAY'!J144</f>
        <v/>
      </c>
      <c r="I144" s="281">
        <v>1.0</v>
      </c>
      <c r="J144" s="284"/>
      <c r="K144" s="283"/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</v>
      </c>
      <c r="N144" s="191"/>
      <c r="O144" s="247"/>
    </row>
    <row r="145">
      <c r="A145" s="12" t="s">
        <v>167</v>
      </c>
      <c r="B145" s="12" t="s">
        <v>106</v>
      </c>
      <c r="C145" s="271" t="str">
        <f>'19th-21stMAY'!E145</f>
        <v/>
      </c>
      <c r="D145" s="227">
        <v>1.0</v>
      </c>
      <c r="E145" s="247"/>
      <c r="F145" s="235" t="s">
        <v>35</v>
      </c>
      <c r="G145" s="235"/>
      <c r="H145" s="272">
        <f>'19th-21stMAY'!J145</f>
        <v>0.473</v>
      </c>
      <c r="I145" s="281">
        <v>1.0</v>
      </c>
      <c r="J145" s="282">
        <v>0.473</v>
      </c>
      <c r="K145" s="283"/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0.415</v>
      </c>
      <c r="N145" s="191"/>
      <c r="O145" s="247"/>
    </row>
    <row r="146">
      <c r="A146" s="12" t="s">
        <v>168</v>
      </c>
      <c r="B146" s="12" t="s">
        <v>17</v>
      </c>
      <c r="C146" s="271">
        <f>'19th-21stMAY'!E146</f>
        <v>1</v>
      </c>
      <c r="D146" s="227"/>
      <c r="E146" s="280">
        <v>1.0</v>
      </c>
      <c r="F146" s="235" t="s">
        <v>35</v>
      </c>
      <c r="G146" s="235"/>
      <c r="H146" s="272" t="str">
        <f>'19th-21stMAY'!J146</f>
        <v/>
      </c>
      <c r="I146" s="281">
        <v>1.0</v>
      </c>
      <c r="J146" s="284"/>
      <c r="K146" s="283"/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</v>
      </c>
      <c r="N146" s="191"/>
      <c r="O146" s="247"/>
    </row>
    <row r="147">
      <c r="A147" s="12" t="s">
        <v>169</v>
      </c>
      <c r="B147" s="12" t="s">
        <v>106</v>
      </c>
      <c r="C147" s="271" t="str">
        <f>'19th-21stMAY'!E147</f>
        <v/>
      </c>
      <c r="D147" s="191"/>
      <c r="E147" s="247"/>
      <c r="F147" s="235" t="s">
        <v>35</v>
      </c>
      <c r="G147" s="235"/>
      <c r="H147" s="272" t="str">
        <f>'19th-21stMAY'!J147</f>
        <v/>
      </c>
      <c r="I147" s="281">
        <v>1.0</v>
      </c>
      <c r="J147" s="284"/>
      <c r="K147" s="283"/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'19th-21stMAY'!E148</f>
        <v/>
      </c>
      <c r="D148" s="191"/>
      <c r="E148" s="247"/>
      <c r="F148" s="235" t="s">
        <v>35</v>
      </c>
      <c r="G148" s="235"/>
      <c r="H148" s="272" t="str">
        <f>'19th-21stMAY'!J148</f>
        <v/>
      </c>
      <c r="I148" s="281">
        <v>1.0</v>
      </c>
      <c r="J148" s="284"/>
      <c r="K148" s="283"/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 t="str">
        <f>'19th-21stMAY'!E149</f>
        <v/>
      </c>
      <c r="D149" s="191"/>
      <c r="E149" s="247"/>
      <c r="F149" s="235" t="s">
        <v>14</v>
      </c>
      <c r="G149" s="285">
        <v>0.002</v>
      </c>
      <c r="H149" s="272">
        <f>'19th-21stMAY'!J149</f>
        <v>0.197</v>
      </c>
      <c r="I149" s="281">
        <v>1.0</v>
      </c>
      <c r="J149" s="282">
        <v>0.199</v>
      </c>
      <c r="K149" s="283"/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</v>
      </c>
      <c r="N149" s="191"/>
      <c r="O149" s="247"/>
    </row>
    <row r="150">
      <c r="A150" s="11" t="s">
        <v>173</v>
      </c>
      <c r="B150" s="11" t="s">
        <v>106</v>
      </c>
      <c r="C150" s="271" t="str">
        <f>'19th-21stMAY'!E150</f>
        <v/>
      </c>
      <c r="D150" s="287">
        <v>1.0</v>
      </c>
      <c r="E150" s="288"/>
      <c r="F150" s="235" t="s">
        <v>14</v>
      </c>
      <c r="G150" s="289"/>
      <c r="H150" s="272">
        <f>'19th-21stMAY'!J150</f>
        <v>0.713</v>
      </c>
      <c r="I150" s="281">
        <v>1.0</v>
      </c>
      <c r="J150" s="301">
        <v>0.473</v>
      </c>
      <c r="K150" s="283"/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1.125</v>
      </c>
      <c r="N150" s="216"/>
      <c r="O150" s="292"/>
    </row>
    <row r="151">
      <c r="A151" s="22" t="s">
        <v>174</v>
      </c>
      <c r="B151" s="23" t="s">
        <v>106</v>
      </c>
      <c r="C151" s="271" t="str">
        <f>'19th-21stMAY'!E151</f>
        <v/>
      </c>
      <c r="D151" s="216"/>
      <c r="E151" s="288"/>
      <c r="F151" s="235" t="s">
        <v>14</v>
      </c>
      <c r="G151" s="289"/>
      <c r="H151" s="272">
        <f>'19th-21stMAY'!J151</f>
        <v>0.324</v>
      </c>
      <c r="I151" s="281">
        <v>1.0</v>
      </c>
      <c r="J151" s="301">
        <v>0.321</v>
      </c>
      <c r="K151" s="283"/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0.003</v>
      </c>
      <c r="N151" s="216"/>
      <c r="O151" s="292"/>
    </row>
    <row r="152">
      <c r="A152" s="10" t="s">
        <v>175</v>
      </c>
      <c r="B152" s="11"/>
      <c r="C152" s="271" t="str">
        <f>'19th-21stMAY'!E152</f>
        <v/>
      </c>
      <c r="D152" s="191"/>
      <c r="E152" s="247"/>
      <c r="F152" s="235"/>
      <c r="G152" s="235"/>
      <c r="H152" s="272" t="str">
        <f>'19th-21stMAY'!J152</f>
        <v/>
      </c>
      <c r="I152" s="281">
        <v>1.0</v>
      </c>
      <c r="J152" s="284"/>
      <c r="K152" s="283"/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'19th-21stMAY'!E153</f>
        <v/>
      </c>
      <c r="D153" s="227">
        <v>5.0</v>
      </c>
      <c r="E153" s="247"/>
      <c r="F153" s="235" t="s">
        <v>25</v>
      </c>
      <c r="G153" s="235"/>
      <c r="H153" s="272">
        <f>'19th-21stMAY'!J153</f>
        <v>1.57</v>
      </c>
      <c r="I153" s="281">
        <v>1.0</v>
      </c>
      <c r="J153" s="284"/>
      <c r="K153" s="283"/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6.57</v>
      </c>
      <c r="N153" s="191"/>
      <c r="O153" s="247"/>
    </row>
    <row r="154">
      <c r="A154" s="12" t="s">
        <v>178</v>
      </c>
      <c r="B154" s="12" t="s">
        <v>35</v>
      </c>
      <c r="C154" s="271" t="str">
        <f>'19th-21stMAY'!E154</f>
        <v/>
      </c>
      <c r="D154" s="227">
        <v>18.0</v>
      </c>
      <c r="E154" s="280">
        <v>12.0</v>
      </c>
      <c r="F154" s="235" t="s">
        <v>35</v>
      </c>
      <c r="G154" s="235"/>
      <c r="H154" s="272">
        <f>'19th-21stMAY'!J154</f>
        <v>2.193</v>
      </c>
      <c r="I154" s="281">
        <v>1.0</v>
      </c>
      <c r="J154" s="284"/>
      <c r="K154" s="283"/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5.181</v>
      </c>
      <c r="N154" s="191"/>
      <c r="O154" s="247"/>
    </row>
    <row r="155">
      <c r="A155" s="12" t="s">
        <v>180</v>
      </c>
      <c r="B155" s="12" t="s">
        <v>35</v>
      </c>
      <c r="C155" s="271" t="str">
        <f>'19th-21stMAY'!E155</f>
        <v/>
      </c>
      <c r="D155" s="191"/>
      <c r="E155" s="247"/>
      <c r="F155" s="235" t="s">
        <v>35</v>
      </c>
      <c r="G155" s="235"/>
      <c r="H155" s="272">
        <f>'19th-21stMAY'!J155</f>
        <v>0.39</v>
      </c>
      <c r="I155" s="281">
        <v>1.0</v>
      </c>
      <c r="J155" s="282">
        <v>0.159</v>
      </c>
      <c r="K155" s="283"/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0.231</v>
      </c>
      <c r="N155" s="191"/>
      <c r="O155" s="247"/>
    </row>
    <row r="156">
      <c r="A156" s="12" t="s">
        <v>181</v>
      </c>
      <c r="B156" s="12" t="s">
        <v>35</v>
      </c>
      <c r="C156" s="271" t="str">
        <f>'19th-21stMAY'!E156</f>
        <v/>
      </c>
      <c r="D156" s="227">
        <v>1.0</v>
      </c>
      <c r="E156" s="280"/>
      <c r="F156" s="235" t="s">
        <v>35</v>
      </c>
      <c r="G156" s="235"/>
      <c r="H156" s="272">
        <f>'19th-21stMAY'!J156</f>
        <v>0.719</v>
      </c>
      <c r="I156" s="281">
        <v>1.0</v>
      </c>
      <c r="J156" s="282">
        <v>0.735</v>
      </c>
      <c r="K156" s="283"/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1.172</v>
      </c>
      <c r="N156" s="191"/>
      <c r="O156" s="247"/>
    </row>
    <row r="157">
      <c r="A157" s="12" t="s">
        <v>182</v>
      </c>
      <c r="B157" s="12" t="s">
        <v>35</v>
      </c>
      <c r="C157" s="271" t="str">
        <f>'19th-21stMAY'!E157</f>
        <v/>
      </c>
      <c r="D157" s="191"/>
      <c r="E157" s="247"/>
      <c r="F157" s="235" t="s">
        <v>35</v>
      </c>
      <c r="G157" s="285"/>
      <c r="H157" s="272" t="str">
        <f>'19th-21stMAY'!J157</f>
        <v/>
      </c>
      <c r="I157" s="281">
        <v>1.0</v>
      </c>
      <c r="J157" s="282"/>
      <c r="K157" s="283"/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71" t="str">
        <f>'19th-21stMAY'!E158</f>
        <v/>
      </c>
      <c r="D158" s="191"/>
      <c r="E158" s="247"/>
      <c r="F158" s="235" t="s">
        <v>14</v>
      </c>
      <c r="G158" s="235"/>
      <c r="H158" s="272" t="str">
        <f>'19th-21stMAY'!J158</f>
        <v/>
      </c>
      <c r="I158" s="281">
        <v>1.0</v>
      </c>
      <c r="J158" s="284"/>
      <c r="K158" s="283"/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'19th-21stMAY'!E159</f>
        <v/>
      </c>
      <c r="D159" s="191"/>
      <c r="E159" s="247"/>
      <c r="F159" s="235"/>
      <c r="G159" s="235"/>
      <c r="H159" s="272" t="str">
        <f>'19th-21stMAY'!J159</f>
        <v/>
      </c>
      <c r="I159" s="281">
        <v>1.0</v>
      </c>
      <c r="J159" s="284"/>
      <c r="K159" s="283"/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'19th-21stMAY'!E160</f>
        <v/>
      </c>
      <c r="D160" s="227">
        <v>5.0</v>
      </c>
      <c r="E160" s="247"/>
      <c r="F160" s="235" t="s">
        <v>17</v>
      </c>
      <c r="G160" s="235"/>
      <c r="H160" s="272" t="str">
        <f>'19th-21stMAY'!J160</f>
        <v/>
      </c>
      <c r="I160" s="281">
        <v>1.0</v>
      </c>
      <c r="J160" s="282">
        <v>3.0</v>
      </c>
      <c r="K160" s="283"/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2</v>
      </c>
      <c r="N160" s="191"/>
      <c r="O160" s="247"/>
    </row>
    <row r="161">
      <c r="A161" s="12" t="s">
        <v>187</v>
      </c>
      <c r="B161" s="12" t="s">
        <v>17</v>
      </c>
      <c r="C161" s="271" t="str">
        <f>'19th-21stMAY'!E161</f>
        <v/>
      </c>
      <c r="D161" s="227">
        <v>5.0</v>
      </c>
      <c r="E161" s="247"/>
      <c r="F161" s="235" t="s">
        <v>17</v>
      </c>
      <c r="G161" s="235"/>
      <c r="H161" s="272">
        <f>'19th-21stMAY'!J161</f>
        <v>1.5</v>
      </c>
      <c r="I161" s="281">
        <v>1.0</v>
      </c>
      <c r="J161" s="282">
        <v>3.0</v>
      </c>
      <c r="K161" s="283"/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3.5</v>
      </c>
      <c r="N161" s="191"/>
      <c r="O161" s="247"/>
    </row>
    <row r="162">
      <c r="A162" s="12" t="s">
        <v>188</v>
      </c>
      <c r="B162" s="12" t="s">
        <v>35</v>
      </c>
      <c r="C162" s="271" t="str">
        <f>'19th-21stMAY'!E162</f>
        <v/>
      </c>
      <c r="D162" s="227">
        <v>6.5</v>
      </c>
      <c r="E162" s="280"/>
      <c r="F162" s="235" t="s">
        <v>35</v>
      </c>
      <c r="G162" s="235"/>
      <c r="H162" s="272">
        <f>'19th-21stMAY'!J162</f>
        <v>0.989</v>
      </c>
      <c r="I162" s="281">
        <v>1.0</v>
      </c>
      <c r="J162" s="284"/>
      <c r="K162" s="283"/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7.489</v>
      </c>
      <c r="N162" s="191"/>
      <c r="O162" s="247"/>
    </row>
    <row r="163">
      <c r="A163" s="12" t="s">
        <v>189</v>
      </c>
      <c r="B163" s="12" t="s">
        <v>17</v>
      </c>
      <c r="C163" s="271" t="str">
        <f>'19th-21stMAY'!E163</f>
        <v/>
      </c>
      <c r="D163" s="227">
        <v>2.0</v>
      </c>
      <c r="E163" s="280"/>
      <c r="F163" s="235" t="s">
        <v>17</v>
      </c>
      <c r="G163" s="235"/>
      <c r="H163" s="272" t="str">
        <f>'19th-21stMAY'!J163</f>
        <v/>
      </c>
      <c r="I163" s="281">
        <v>1.0</v>
      </c>
      <c r="J163" s="282">
        <v>1.0</v>
      </c>
      <c r="K163" s="283"/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1</v>
      </c>
      <c r="N163" s="191"/>
      <c r="O163" s="247"/>
    </row>
    <row r="164">
      <c r="A164" s="12" t="s">
        <v>190</v>
      </c>
      <c r="B164" s="12" t="s">
        <v>17</v>
      </c>
      <c r="C164" s="271" t="str">
        <f>'19th-21stMAY'!E164</f>
        <v/>
      </c>
      <c r="D164" s="191"/>
      <c r="E164" s="247"/>
      <c r="F164" s="235" t="s">
        <v>17</v>
      </c>
      <c r="G164" s="235"/>
      <c r="H164" s="272" t="str">
        <f>'19th-21stMAY'!J164</f>
        <v/>
      </c>
      <c r="I164" s="281">
        <v>1.0</v>
      </c>
      <c r="J164" s="284"/>
      <c r="K164" s="283"/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'19th-21stMAY'!E165</f>
        <v/>
      </c>
      <c r="D165" s="227">
        <v>0.8</v>
      </c>
      <c r="E165" s="247"/>
      <c r="F165" s="235" t="s">
        <v>35</v>
      </c>
      <c r="G165" s="235"/>
      <c r="H165" s="272" t="str">
        <f>'19th-21stMAY'!J165</f>
        <v/>
      </c>
      <c r="I165" s="281">
        <v>1.0</v>
      </c>
      <c r="J165" s="284"/>
      <c r="K165" s="283"/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0.8</v>
      </c>
      <c r="N165" s="191"/>
      <c r="O165" s="247"/>
    </row>
    <row r="166">
      <c r="A166" s="12" t="s">
        <v>192</v>
      </c>
      <c r="B166" s="12" t="s">
        <v>35</v>
      </c>
      <c r="C166" s="271" t="str">
        <f>'19th-21stMAY'!E166</f>
        <v/>
      </c>
      <c r="D166" s="227">
        <v>1.5</v>
      </c>
      <c r="E166" s="247"/>
      <c r="F166" s="235" t="s">
        <v>35</v>
      </c>
      <c r="G166" s="285"/>
      <c r="H166" s="272">
        <f>'19th-21stMAY'!J166</f>
        <v>0.27</v>
      </c>
      <c r="I166" s="281">
        <v>1.0</v>
      </c>
      <c r="J166" s="282">
        <v>0.319</v>
      </c>
      <c r="K166" s="283"/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1.451</v>
      </c>
      <c r="N166" s="191"/>
      <c r="O166" s="247"/>
    </row>
    <row r="167">
      <c r="A167" s="12" t="s">
        <v>193</v>
      </c>
      <c r="B167" s="12" t="s">
        <v>35</v>
      </c>
      <c r="C167" s="271" t="str">
        <f>'19th-21stMAY'!E167</f>
        <v/>
      </c>
      <c r="D167" s="227">
        <v>12.0</v>
      </c>
      <c r="E167" s="280"/>
      <c r="F167" s="235" t="s">
        <v>35</v>
      </c>
      <c r="G167" s="235"/>
      <c r="H167" s="272">
        <f>'19th-21stMAY'!J167</f>
        <v>2</v>
      </c>
      <c r="I167" s="281">
        <v>1.0</v>
      </c>
      <c r="J167" s="282">
        <v>0.626</v>
      </c>
      <c r="K167" s="283"/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13.374</v>
      </c>
      <c r="N167" s="191"/>
      <c r="O167" s="247"/>
    </row>
    <row r="168">
      <c r="A168" s="12" t="s">
        <v>194</v>
      </c>
      <c r="B168" s="12" t="s">
        <v>17</v>
      </c>
      <c r="C168" s="271" t="str">
        <f>'19th-21stMAY'!E168</f>
        <v/>
      </c>
      <c r="D168" s="227">
        <v>2.0</v>
      </c>
      <c r="E168" s="247"/>
      <c r="F168" s="235" t="s">
        <v>17</v>
      </c>
      <c r="G168" s="235"/>
      <c r="H168" s="272" t="str">
        <f>'19th-21stMAY'!J168</f>
        <v/>
      </c>
      <c r="I168" s="281">
        <v>1.0</v>
      </c>
      <c r="J168" s="284"/>
      <c r="K168" s="283"/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2</v>
      </c>
      <c r="N168" s="191"/>
      <c r="O168" s="247"/>
    </row>
    <row r="169">
      <c r="A169" s="12" t="s">
        <v>195</v>
      </c>
      <c r="B169" s="12" t="s">
        <v>35</v>
      </c>
      <c r="C169" s="271" t="str">
        <f>'19th-21stMAY'!E169</f>
        <v/>
      </c>
      <c r="D169" s="191"/>
      <c r="E169" s="247"/>
      <c r="F169" s="235" t="s">
        <v>35</v>
      </c>
      <c r="G169" s="235"/>
      <c r="H169" s="272">
        <v>0.57</v>
      </c>
      <c r="I169" s="281">
        <v>1.0</v>
      </c>
      <c r="J169" s="282">
        <v>0.57</v>
      </c>
      <c r="K169" s="283"/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</v>
      </c>
      <c r="N169" s="191"/>
      <c r="O169" s="247"/>
    </row>
    <row r="170">
      <c r="A170" s="12" t="s">
        <v>196</v>
      </c>
      <c r="B170" s="12" t="s">
        <v>35</v>
      </c>
      <c r="C170" s="271" t="str">
        <f>'19th-21stMAY'!E170</f>
        <v/>
      </c>
      <c r="D170" s="227">
        <v>1.0</v>
      </c>
      <c r="E170" s="247"/>
      <c r="F170" s="235" t="s">
        <v>35</v>
      </c>
      <c r="G170" s="235"/>
      <c r="H170" s="272" t="str">
        <f>'19th-21stMAY'!J170</f>
        <v/>
      </c>
      <c r="I170" s="281">
        <v>1.0</v>
      </c>
      <c r="J170" s="282">
        <v>0.261</v>
      </c>
      <c r="K170" s="283"/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0.739</v>
      </c>
      <c r="N170" s="191"/>
      <c r="O170" s="247"/>
    </row>
    <row r="171">
      <c r="A171" s="12" t="s">
        <v>197</v>
      </c>
      <c r="B171" s="12" t="s">
        <v>35</v>
      </c>
      <c r="C171" s="271" t="str">
        <f>'19th-21stMAY'!E171</f>
        <v/>
      </c>
      <c r="D171" s="227">
        <v>1.0</v>
      </c>
      <c r="E171" s="247"/>
      <c r="F171" s="235" t="s">
        <v>35</v>
      </c>
      <c r="G171" s="285"/>
      <c r="H171" s="272">
        <f>'19th-21stMAY'!J171</f>
        <v>0.37</v>
      </c>
      <c r="I171" s="281">
        <v>1.0</v>
      </c>
      <c r="J171" s="282">
        <v>0.327</v>
      </c>
      <c r="K171" s="283"/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1.043</v>
      </c>
      <c r="N171" s="191"/>
      <c r="O171" s="247"/>
    </row>
    <row r="172">
      <c r="A172" s="12" t="s">
        <v>198</v>
      </c>
      <c r="B172" s="12" t="s">
        <v>35</v>
      </c>
      <c r="C172" s="271" t="str">
        <f>'19th-21stMAY'!E172</f>
        <v/>
      </c>
      <c r="D172" s="227">
        <v>1.2</v>
      </c>
      <c r="E172" s="247"/>
      <c r="F172" s="235" t="s">
        <v>35</v>
      </c>
      <c r="G172" s="235"/>
      <c r="H172" s="272">
        <f>'19th-21stMAY'!J172</f>
        <v>1.5</v>
      </c>
      <c r="I172" s="281">
        <v>1.0</v>
      </c>
      <c r="J172" s="282"/>
      <c r="K172" s="283"/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2.7</v>
      </c>
      <c r="N172" s="191"/>
      <c r="O172" s="247"/>
    </row>
    <row r="173">
      <c r="A173" s="12" t="s">
        <v>199</v>
      </c>
      <c r="B173" s="12" t="s">
        <v>35</v>
      </c>
      <c r="C173" s="271" t="str">
        <f>'19th-21stMAY'!E173</f>
        <v/>
      </c>
      <c r="D173" s="227">
        <v>1.4</v>
      </c>
      <c r="E173" s="247"/>
      <c r="F173" s="235" t="s">
        <v>35</v>
      </c>
      <c r="G173" s="235"/>
      <c r="H173" s="272">
        <f>'19th-21stMAY'!J173</f>
        <v>0.553</v>
      </c>
      <c r="I173" s="281">
        <v>1.0</v>
      </c>
      <c r="J173" s="282">
        <v>0.243</v>
      </c>
      <c r="K173" s="283"/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1.71</v>
      </c>
      <c r="N173" s="191"/>
      <c r="O173" s="247"/>
    </row>
    <row r="174">
      <c r="A174" s="12" t="s">
        <v>200</v>
      </c>
      <c r="B174" s="12" t="s">
        <v>35</v>
      </c>
      <c r="C174" s="271" t="str">
        <f>'19th-21stMAY'!E174</f>
        <v/>
      </c>
      <c r="D174" s="227">
        <v>1.85</v>
      </c>
      <c r="E174" s="247"/>
      <c r="F174" s="235" t="s">
        <v>35</v>
      </c>
      <c r="G174" s="235"/>
      <c r="H174" s="272">
        <f>'19th-21stMAY'!J174</f>
        <v>0.526</v>
      </c>
      <c r="I174" s="281">
        <v>1.0</v>
      </c>
      <c r="J174" s="284"/>
      <c r="K174" s="283"/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2.376</v>
      </c>
      <c r="N174" s="191"/>
      <c r="O174" s="247"/>
    </row>
    <row r="175">
      <c r="A175" s="12" t="s">
        <v>201</v>
      </c>
      <c r="B175" s="12" t="s">
        <v>202</v>
      </c>
      <c r="C175" s="271" t="str">
        <f>'19th-21stMAY'!E175</f>
        <v/>
      </c>
      <c r="D175" s="191"/>
      <c r="E175" s="247"/>
      <c r="F175" s="235" t="s">
        <v>202</v>
      </c>
      <c r="G175" s="235"/>
      <c r="H175" s="272" t="str">
        <f>'19th-21stMAY'!J175</f>
        <v/>
      </c>
      <c r="I175" s="281">
        <v>1.0</v>
      </c>
      <c r="J175" s="284"/>
      <c r="K175" s="283"/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'19th-21stMAY'!E176</f>
        <v/>
      </c>
      <c r="D176" s="227">
        <v>1.0</v>
      </c>
      <c r="E176" s="247"/>
      <c r="F176" s="235" t="s">
        <v>202</v>
      </c>
      <c r="G176" s="235"/>
      <c r="H176" s="272" t="str">
        <f>'19th-21stMAY'!J176</f>
        <v/>
      </c>
      <c r="I176" s="281">
        <v>1.0</v>
      </c>
      <c r="J176" s="282">
        <v>1.0</v>
      </c>
      <c r="K176" s="283"/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0</v>
      </c>
      <c r="N176" s="191"/>
      <c r="O176" s="247"/>
    </row>
    <row r="177">
      <c r="A177" s="12" t="s">
        <v>205</v>
      </c>
      <c r="B177" s="12" t="s">
        <v>202</v>
      </c>
      <c r="C177" s="271" t="str">
        <f>'19th-21stMAY'!E177</f>
        <v/>
      </c>
      <c r="D177" s="227">
        <v>4.0</v>
      </c>
      <c r="E177" s="247"/>
      <c r="F177" s="235" t="s">
        <v>202</v>
      </c>
      <c r="G177" s="235"/>
      <c r="H177" s="272" t="str">
        <f>'19th-21stMAY'!J177</f>
        <v/>
      </c>
      <c r="I177" s="281">
        <v>1.0</v>
      </c>
      <c r="J177" s="284"/>
      <c r="K177" s="283"/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4</v>
      </c>
      <c r="N177" s="191"/>
      <c r="O177" s="247"/>
    </row>
    <row r="178">
      <c r="A178" s="12" t="s">
        <v>206</v>
      </c>
      <c r="B178" s="12" t="s">
        <v>207</v>
      </c>
      <c r="C178" s="271" t="str">
        <f>'19th-21stMAY'!E178</f>
        <v/>
      </c>
      <c r="D178" s="227">
        <v>1.0</v>
      </c>
      <c r="E178" s="280">
        <v>1.0</v>
      </c>
      <c r="F178" s="235" t="s">
        <v>17</v>
      </c>
      <c r="G178" s="235"/>
      <c r="H178" s="272">
        <f>'19th-21stMAY'!J178</f>
        <v>32</v>
      </c>
      <c r="I178" s="281">
        <v>1.0</v>
      </c>
      <c r="J178" s="282"/>
      <c r="K178" s="283"/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32</v>
      </c>
      <c r="N178" s="191"/>
      <c r="O178" s="247"/>
    </row>
    <row r="179">
      <c r="A179" s="12" t="s">
        <v>209</v>
      </c>
      <c r="B179" s="12" t="s">
        <v>17</v>
      </c>
      <c r="C179" s="271" t="str">
        <f>'19th-21stMAY'!E179</f>
        <v/>
      </c>
      <c r="D179" s="191"/>
      <c r="E179" s="247"/>
      <c r="F179" s="235" t="s">
        <v>17</v>
      </c>
      <c r="G179" s="235"/>
      <c r="H179" s="272" t="str">
        <f>'19th-21stMAY'!J179</f>
        <v/>
      </c>
      <c r="I179" s="281">
        <v>1.0</v>
      </c>
      <c r="J179" s="284"/>
      <c r="K179" s="283"/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'19th-21stMAY'!E180</f>
        <v/>
      </c>
      <c r="D180" s="227">
        <v>1.0</v>
      </c>
      <c r="E180" s="247"/>
      <c r="F180" s="235" t="s">
        <v>202</v>
      </c>
      <c r="G180" s="285"/>
      <c r="H180" s="272" t="str">
        <f>'19th-21stMAY'!J180</f>
        <v/>
      </c>
      <c r="I180" s="281">
        <v>1.0</v>
      </c>
      <c r="J180" s="282">
        <v>1.0</v>
      </c>
      <c r="K180" s="283"/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0</v>
      </c>
      <c r="N180" s="191"/>
      <c r="O180" s="247"/>
    </row>
    <row r="181">
      <c r="A181" s="12" t="s">
        <v>211</v>
      </c>
      <c r="B181" s="12" t="s">
        <v>202</v>
      </c>
      <c r="C181" s="271" t="str">
        <f>'19th-21stMAY'!E181</f>
        <v/>
      </c>
      <c r="D181" s="227">
        <v>1.0</v>
      </c>
      <c r="E181" s="247"/>
      <c r="F181" s="235" t="s">
        <v>202</v>
      </c>
      <c r="G181" s="235"/>
      <c r="H181" s="272" t="str">
        <f>'19th-21stMAY'!J181</f>
        <v/>
      </c>
      <c r="I181" s="281">
        <v>1.0</v>
      </c>
      <c r="J181" s="282"/>
      <c r="K181" s="283"/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1</v>
      </c>
      <c r="N181" s="191"/>
      <c r="O181" s="247"/>
    </row>
    <row r="182">
      <c r="A182" s="12" t="s">
        <v>212</v>
      </c>
      <c r="B182" s="12" t="s">
        <v>202</v>
      </c>
      <c r="C182" s="271" t="str">
        <f>'19th-21stMAY'!E182</f>
        <v/>
      </c>
      <c r="D182" s="191"/>
      <c r="E182" s="247"/>
      <c r="F182" s="235" t="s">
        <v>202</v>
      </c>
      <c r="G182" s="235"/>
      <c r="H182" s="272">
        <f>'19th-21stMAY'!J182</f>
        <v>1</v>
      </c>
      <c r="I182" s="281">
        <v>1.0</v>
      </c>
      <c r="J182" s="284"/>
      <c r="K182" s="283"/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1</v>
      </c>
      <c r="N182" s="191"/>
      <c r="O182" s="247"/>
    </row>
    <row r="183">
      <c r="A183" s="12" t="s">
        <v>213</v>
      </c>
      <c r="B183" s="12" t="s">
        <v>35</v>
      </c>
      <c r="C183" s="271" t="str">
        <f>'19th-21stMAY'!E183</f>
        <v/>
      </c>
      <c r="D183" s="191"/>
      <c r="E183" s="247"/>
      <c r="F183" s="235" t="s">
        <v>35</v>
      </c>
      <c r="G183" s="235"/>
      <c r="H183" s="272" t="str">
        <f>'19th-21stMAY'!J183</f>
        <v/>
      </c>
      <c r="I183" s="281">
        <v>1.0</v>
      </c>
      <c r="J183" s="284"/>
      <c r="K183" s="283"/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'19th-21stMAY'!E184</f>
        <v/>
      </c>
      <c r="D184" s="227">
        <v>1.0</v>
      </c>
      <c r="E184" s="280">
        <v>1.0</v>
      </c>
      <c r="F184" s="235" t="s">
        <v>35</v>
      </c>
      <c r="G184" s="235"/>
      <c r="H184" s="272" t="str">
        <f>'19th-21stMAY'!J184</f>
        <v/>
      </c>
      <c r="I184" s="281">
        <v>1.0</v>
      </c>
      <c r="J184" s="282"/>
      <c r="K184" s="283"/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</v>
      </c>
      <c r="N184" s="191"/>
      <c r="O184" s="247"/>
    </row>
    <row r="185">
      <c r="A185" s="12" t="s">
        <v>215</v>
      </c>
      <c r="B185" s="12" t="s">
        <v>35</v>
      </c>
      <c r="C185" s="271" t="str">
        <f>'19th-21stMAY'!E185</f>
        <v/>
      </c>
      <c r="D185" s="227">
        <v>1.5</v>
      </c>
      <c r="E185" s="247"/>
      <c r="F185" s="235" t="s">
        <v>35</v>
      </c>
      <c r="G185" s="235"/>
      <c r="H185" s="272" t="str">
        <f>'19th-21stMAY'!J185</f>
        <v/>
      </c>
      <c r="I185" s="281">
        <v>1.0</v>
      </c>
      <c r="J185" s="282">
        <v>0.307</v>
      </c>
      <c r="K185" s="283"/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1.193</v>
      </c>
      <c r="N185" s="191"/>
      <c r="O185" s="247"/>
    </row>
    <row r="186">
      <c r="A186" s="12" t="s">
        <v>216</v>
      </c>
      <c r="B186" s="12" t="s">
        <v>17</v>
      </c>
      <c r="C186" s="271" t="str">
        <f>'19th-21stMAY'!E186</f>
        <v/>
      </c>
      <c r="D186" s="191"/>
      <c r="E186" s="247"/>
      <c r="F186" s="235" t="s">
        <v>17</v>
      </c>
      <c r="G186" s="235"/>
      <c r="H186" s="272">
        <f>'19th-21stMAY'!J186</f>
        <v>1.25</v>
      </c>
      <c r="I186" s="281">
        <v>1.0</v>
      </c>
      <c r="J186" s="282">
        <v>1.25</v>
      </c>
      <c r="K186" s="283"/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</v>
      </c>
      <c r="N186" s="191"/>
      <c r="O186" s="247"/>
    </row>
    <row r="187">
      <c r="A187" s="12" t="s">
        <v>217</v>
      </c>
      <c r="B187" s="12" t="s">
        <v>35</v>
      </c>
      <c r="C187" s="271" t="str">
        <f>'19th-21stMAY'!E187</f>
        <v/>
      </c>
      <c r="D187" s="191"/>
      <c r="E187" s="247"/>
      <c r="F187" s="235" t="s">
        <v>35</v>
      </c>
      <c r="G187" s="235"/>
      <c r="H187" s="272">
        <f>'19th-21stMAY'!J187</f>
        <v>0.872</v>
      </c>
      <c r="I187" s="281">
        <v>1.0</v>
      </c>
      <c r="J187" s="282">
        <v>0.2</v>
      </c>
      <c r="K187" s="283"/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0.672</v>
      </c>
      <c r="N187" s="191"/>
      <c r="O187" s="247"/>
    </row>
    <row r="188">
      <c r="A188" s="12" t="s">
        <v>218</v>
      </c>
      <c r="B188" s="12" t="s">
        <v>17</v>
      </c>
      <c r="C188" s="271" t="str">
        <f>'19th-21stMAY'!E188</f>
        <v/>
      </c>
      <c r="D188" s="227"/>
      <c r="E188" s="247"/>
      <c r="F188" s="235" t="s">
        <v>17</v>
      </c>
      <c r="G188" s="235"/>
      <c r="H188" s="272">
        <f>'19th-21stMAY'!J188</f>
        <v>4</v>
      </c>
      <c r="I188" s="281">
        <v>1.0</v>
      </c>
      <c r="J188" s="282"/>
      <c r="K188" s="283"/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4</v>
      </c>
      <c r="N188" s="191"/>
      <c r="O188" s="247"/>
    </row>
    <row r="189">
      <c r="A189" s="12" t="s">
        <v>220</v>
      </c>
      <c r="B189" s="12" t="s">
        <v>35</v>
      </c>
      <c r="C189" s="271" t="str">
        <f>'19th-21stMAY'!E189</f>
        <v/>
      </c>
      <c r="D189" s="191"/>
      <c r="E189" s="247"/>
      <c r="F189" s="235" t="s">
        <v>35</v>
      </c>
      <c r="G189" s="235"/>
      <c r="H189" s="272" t="str">
        <f>'19th-21stMAY'!J189</f>
        <v/>
      </c>
      <c r="I189" s="281">
        <v>1.0</v>
      </c>
      <c r="J189" s="284"/>
      <c r="K189" s="283"/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'19th-21stMAY'!E190</f>
        <v/>
      </c>
      <c r="D190" s="227">
        <v>14.0</v>
      </c>
      <c r="E190" s="247"/>
      <c r="F190" s="235" t="s">
        <v>17</v>
      </c>
      <c r="G190" s="235"/>
      <c r="H190" s="272">
        <f>'19th-21stMAY'!J190</f>
        <v>2</v>
      </c>
      <c r="I190" s="281">
        <v>1.0</v>
      </c>
      <c r="J190" s="282">
        <v>7.0</v>
      </c>
      <c r="K190" s="283"/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9</v>
      </c>
      <c r="N190" s="191"/>
      <c r="O190" s="247"/>
    </row>
    <row r="191">
      <c r="A191" s="12" t="s">
        <v>222</v>
      </c>
      <c r="B191" s="12" t="s">
        <v>17</v>
      </c>
      <c r="C191" s="271" t="str">
        <f>'19th-21stMAY'!E191</f>
        <v/>
      </c>
      <c r="D191" s="191"/>
      <c r="E191" s="247"/>
      <c r="F191" s="235" t="s">
        <v>17</v>
      </c>
      <c r="G191" s="235"/>
      <c r="H191" s="272" t="str">
        <f>'19th-21stMAY'!J191</f>
        <v/>
      </c>
      <c r="I191" s="281">
        <v>1.0</v>
      </c>
      <c r="J191" s="284"/>
      <c r="K191" s="283"/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'19th-21stMAY'!E192</f>
        <v/>
      </c>
      <c r="D192" s="227">
        <v>5.0</v>
      </c>
      <c r="E192" s="247"/>
      <c r="F192" s="235" t="s">
        <v>17</v>
      </c>
      <c r="G192" s="235"/>
      <c r="H192" s="272" t="str">
        <f>'19th-21stMAY'!J192</f>
        <v/>
      </c>
      <c r="I192" s="281">
        <v>1.0</v>
      </c>
      <c r="J192" s="282">
        <v>1.0</v>
      </c>
      <c r="K192" s="283"/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4</v>
      </c>
      <c r="N192" s="191"/>
      <c r="O192" s="247"/>
    </row>
    <row r="193">
      <c r="A193" s="12" t="s">
        <v>224</v>
      </c>
      <c r="B193" s="12" t="s">
        <v>202</v>
      </c>
      <c r="C193" s="271" t="str">
        <f>'19th-21stMAY'!E193</f>
        <v/>
      </c>
      <c r="D193" s="227"/>
      <c r="E193" s="247"/>
      <c r="F193" s="235" t="s">
        <v>202</v>
      </c>
      <c r="G193" s="235"/>
      <c r="H193" s="272">
        <f>'19th-21stMAY'!J193</f>
        <v>2</v>
      </c>
      <c r="I193" s="281">
        <v>1.0</v>
      </c>
      <c r="J193" s="282">
        <v>2.0</v>
      </c>
      <c r="K193" s="283"/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</v>
      </c>
      <c r="N193" s="191"/>
      <c r="O193" s="247"/>
    </row>
    <row r="194">
      <c r="A194" s="12" t="s">
        <v>225</v>
      </c>
      <c r="B194" s="12" t="s">
        <v>35</v>
      </c>
      <c r="C194" s="271" t="str">
        <f>'19th-21stMAY'!E194</f>
        <v/>
      </c>
      <c r="D194" s="191"/>
      <c r="E194" s="247"/>
      <c r="F194" s="235" t="s">
        <v>35</v>
      </c>
      <c r="G194" s="235"/>
      <c r="H194" s="272">
        <f>'19th-21stMAY'!J194</f>
        <v>0.57</v>
      </c>
      <c r="I194" s="281">
        <v>1.0</v>
      </c>
      <c r="J194" s="282">
        <v>0.428</v>
      </c>
      <c r="K194" s="283"/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0.142</v>
      </c>
      <c r="N194" s="191"/>
      <c r="O194" s="247"/>
    </row>
    <row r="195">
      <c r="A195" s="12" t="s">
        <v>227</v>
      </c>
      <c r="B195" s="12" t="s">
        <v>35</v>
      </c>
      <c r="C195" s="271" t="str">
        <f>'19th-21stMAY'!E195</f>
        <v/>
      </c>
      <c r="D195" s="191"/>
      <c r="E195" s="247"/>
      <c r="F195" s="235" t="s">
        <v>35</v>
      </c>
      <c r="G195" s="285"/>
      <c r="H195" s="272">
        <f>'19th-21stMAY'!J195</f>
        <v>1.25</v>
      </c>
      <c r="I195" s="281">
        <v>1.0</v>
      </c>
      <c r="J195" s="282">
        <v>0.899</v>
      </c>
      <c r="K195" s="283"/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0.351</v>
      </c>
      <c r="N195" s="191"/>
      <c r="O195" s="247"/>
    </row>
    <row r="196">
      <c r="A196" s="12" t="s">
        <v>228</v>
      </c>
      <c r="B196" s="12" t="s">
        <v>155</v>
      </c>
      <c r="C196" s="271" t="str">
        <f>'19th-21stMAY'!E196</f>
        <v/>
      </c>
      <c r="D196" s="227">
        <v>1.0</v>
      </c>
      <c r="E196" s="280">
        <v>1.0</v>
      </c>
      <c r="F196" s="235" t="s">
        <v>35</v>
      </c>
      <c r="G196" s="235"/>
      <c r="H196" s="272">
        <f>'19th-21stMAY'!J196</f>
        <v>0.236</v>
      </c>
      <c r="I196" s="281">
        <v>1.0</v>
      </c>
      <c r="J196" s="282">
        <v>0.124</v>
      </c>
      <c r="K196" s="283"/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0.112</v>
      </c>
      <c r="N196" s="191"/>
      <c r="O196" s="247"/>
    </row>
    <row r="197">
      <c r="A197" s="12" t="s">
        <v>229</v>
      </c>
      <c r="B197" s="12" t="s">
        <v>17</v>
      </c>
      <c r="C197" s="271" t="str">
        <f>'19th-21stMAY'!E197</f>
        <v/>
      </c>
      <c r="D197" s="227">
        <v>3.0</v>
      </c>
      <c r="E197" s="247"/>
      <c r="F197" s="235" t="s">
        <v>17</v>
      </c>
      <c r="G197" s="235"/>
      <c r="H197" s="272" t="str">
        <f>'19th-21stMAY'!J197</f>
        <v/>
      </c>
      <c r="I197" s="281">
        <v>1.0</v>
      </c>
      <c r="J197" s="282">
        <v>0.3</v>
      </c>
      <c r="K197" s="283"/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2.7</v>
      </c>
      <c r="N197" s="191"/>
      <c r="O197" s="247"/>
    </row>
    <row r="198">
      <c r="A198" s="12" t="s">
        <v>231</v>
      </c>
      <c r="B198" s="12" t="s">
        <v>35</v>
      </c>
      <c r="C198" s="271" t="str">
        <f>'19th-21stMAY'!E198</f>
        <v/>
      </c>
      <c r="D198" s="191"/>
      <c r="E198" s="247"/>
      <c r="F198" s="235" t="s">
        <v>35</v>
      </c>
      <c r="G198" s="235"/>
      <c r="H198" s="272">
        <f>'19th-21stMAY'!J198</f>
        <v>0.265</v>
      </c>
      <c r="I198" s="281">
        <v>1.0</v>
      </c>
      <c r="J198" s="282"/>
      <c r="K198" s="283"/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0.265</v>
      </c>
      <c r="N198" s="191"/>
      <c r="O198" s="247"/>
    </row>
    <row r="199">
      <c r="A199" s="12" t="s">
        <v>232</v>
      </c>
      <c r="B199" s="12" t="s">
        <v>202</v>
      </c>
      <c r="C199" s="271" t="str">
        <f>'19th-21stMAY'!E199</f>
        <v/>
      </c>
      <c r="D199" s="227">
        <v>1.0</v>
      </c>
      <c r="E199" s="247"/>
      <c r="F199" s="235" t="s">
        <v>202</v>
      </c>
      <c r="G199" s="285"/>
      <c r="H199" s="272">
        <f>'19th-21stMAY'!J199</f>
        <v>0.25</v>
      </c>
      <c r="I199" s="281">
        <v>1.0</v>
      </c>
      <c r="J199" s="282">
        <v>0.25</v>
      </c>
      <c r="K199" s="283"/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1</v>
      </c>
      <c r="N199" s="191"/>
      <c r="O199" s="247"/>
    </row>
    <row r="200">
      <c r="A200" s="12" t="s">
        <v>233</v>
      </c>
      <c r="B200" s="12" t="s">
        <v>17</v>
      </c>
      <c r="C200" s="271" t="str">
        <f>'19th-21stMAY'!E200</f>
        <v/>
      </c>
      <c r="D200" s="227">
        <v>2.0</v>
      </c>
      <c r="E200" s="280"/>
      <c r="F200" s="235" t="s">
        <v>234</v>
      </c>
      <c r="G200" s="285"/>
      <c r="H200" s="272" t="str">
        <f>'19th-21stMAY'!J200</f>
        <v/>
      </c>
      <c r="I200" s="281">
        <v>1.0</v>
      </c>
      <c r="J200" s="282">
        <v>2.0</v>
      </c>
      <c r="K200" s="283"/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0</v>
      </c>
      <c r="N200" s="191"/>
      <c r="O200" s="247"/>
    </row>
    <row r="201">
      <c r="A201" s="25" t="s">
        <v>235</v>
      </c>
      <c r="B201" s="26" t="s">
        <v>202</v>
      </c>
      <c r="C201" s="271" t="str">
        <f>'19th-21stMAY'!E201</f>
        <v/>
      </c>
      <c r="D201" s="227">
        <v>1.0</v>
      </c>
      <c r="E201" s="247"/>
      <c r="F201" s="235" t="s">
        <v>202</v>
      </c>
      <c r="G201" s="235"/>
      <c r="H201" s="272">
        <f>'19th-21stMAY'!J201</f>
        <v>1</v>
      </c>
      <c r="I201" s="281">
        <v>1.0</v>
      </c>
      <c r="J201" s="282">
        <v>1.0</v>
      </c>
      <c r="K201" s="283"/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1</v>
      </c>
      <c r="N201" s="191"/>
      <c r="O201" s="247"/>
    </row>
    <row r="202">
      <c r="A202" s="25" t="s">
        <v>236</v>
      </c>
      <c r="B202" s="26" t="s">
        <v>237</v>
      </c>
      <c r="C202" s="271" t="str">
        <f>'19th-21stMAY'!E202</f>
        <v/>
      </c>
      <c r="D202" s="191"/>
      <c r="E202" s="247"/>
      <c r="F202" s="235" t="s">
        <v>35</v>
      </c>
      <c r="G202" s="235"/>
      <c r="H202" s="272">
        <f>'19th-21stMAY'!J202</f>
        <v>0.341</v>
      </c>
      <c r="I202" s="281">
        <v>1.0</v>
      </c>
      <c r="J202" s="282">
        <v>0.231</v>
      </c>
      <c r="K202" s="283"/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0.11</v>
      </c>
      <c r="N202" s="191"/>
      <c r="O202" s="247"/>
    </row>
    <row r="203">
      <c r="A203" s="25" t="s">
        <v>238</v>
      </c>
      <c r="B203" s="26" t="s">
        <v>202</v>
      </c>
      <c r="C203" s="271" t="str">
        <f>'19th-21stMAY'!E203</f>
        <v/>
      </c>
      <c r="D203" s="227"/>
      <c r="E203" s="247"/>
      <c r="F203" s="235" t="s">
        <v>202</v>
      </c>
      <c r="G203" s="235"/>
      <c r="H203" s="272">
        <f>'19th-21stMAY'!J203</f>
        <v>1</v>
      </c>
      <c r="I203" s="281">
        <v>1.0</v>
      </c>
      <c r="J203" s="282">
        <v>0.5</v>
      </c>
      <c r="K203" s="283"/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0.5</v>
      </c>
      <c r="N203" s="191"/>
      <c r="O203" s="247"/>
    </row>
    <row r="204">
      <c r="A204" s="25" t="s">
        <v>239</v>
      </c>
      <c r="B204" s="26" t="s">
        <v>35</v>
      </c>
      <c r="C204" s="271" t="str">
        <f>'19th-21stMAY'!E204</f>
        <v/>
      </c>
      <c r="D204" s="191"/>
      <c r="E204" s="247"/>
      <c r="F204" s="235" t="s">
        <v>35</v>
      </c>
      <c r="G204" s="235"/>
      <c r="H204" s="272" t="str">
        <f>'19th-21stMAY'!J204</f>
        <v/>
      </c>
      <c r="I204" s="281">
        <v>1.0</v>
      </c>
      <c r="J204" s="284"/>
      <c r="K204" s="283"/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'19th-21stMAY'!E205</f>
        <v/>
      </c>
      <c r="D205" s="227"/>
      <c r="E205" s="247"/>
      <c r="F205" s="235" t="s">
        <v>17</v>
      </c>
      <c r="G205" s="235"/>
      <c r="H205" s="272">
        <f>'19th-21stMAY'!J205</f>
        <v>2</v>
      </c>
      <c r="I205" s="281">
        <v>1.0</v>
      </c>
      <c r="J205" s="282"/>
      <c r="K205" s="283"/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2</v>
      </c>
      <c r="N205" s="191"/>
      <c r="O205" s="247"/>
    </row>
    <row r="206">
      <c r="A206" s="12" t="s">
        <v>242</v>
      </c>
      <c r="B206" s="12" t="s">
        <v>35</v>
      </c>
      <c r="C206" s="271" t="str">
        <f>'19th-21stMAY'!E206</f>
        <v/>
      </c>
      <c r="D206" s="227">
        <v>200.0</v>
      </c>
      <c r="E206" s="247"/>
      <c r="F206" s="235" t="s">
        <v>35</v>
      </c>
      <c r="G206" s="235"/>
      <c r="H206" s="272" t="str">
        <f>'19th-21stMAY'!J206</f>
        <v/>
      </c>
      <c r="I206" s="281">
        <v>1.0</v>
      </c>
      <c r="J206" s="282">
        <v>155.78</v>
      </c>
      <c r="K206" s="283"/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44.22</v>
      </c>
      <c r="N206" s="191"/>
      <c r="O206" s="247"/>
    </row>
    <row r="207">
      <c r="A207" s="12" t="s">
        <v>243</v>
      </c>
      <c r="B207" s="12" t="s">
        <v>241</v>
      </c>
      <c r="C207" s="271" t="str">
        <f>'19th-21stMAY'!E207</f>
        <v/>
      </c>
      <c r="D207" s="227">
        <v>16.0</v>
      </c>
      <c r="E207" s="280">
        <v>4.0</v>
      </c>
      <c r="F207" s="235" t="s">
        <v>17</v>
      </c>
      <c r="G207" s="285"/>
      <c r="H207" s="272">
        <f>'19th-21stMAY'!J207</f>
        <v>0.5</v>
      </c>
      <c r="I207" s="281">
        <v>1.0</v>
      </c>
      <c r="J207" s="282"/>
      <c r="K207" s="283"/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12.5</v>
      </c>
      <c r="N207" s="191"/>
      <c r="O207" s="247"/>
    </row>
    <row r="208">
      <c r="A208" s="10" t="s">
        <v>245</v>
      </c>
      <c r="B208" s="11"/>
      <c r="C208" s="271" t="str">
        <f>'19th-21stMAY'!E208</f>
        <v/>
      </c>
      <c r="D208" s="191"/>
      <c r="E208" s="247"/>
      <c r="F208" s="235"/>
      <c r="G208" s="235"/>
      <c r="H208" s="272" t="str">
        <f>'19th-21stMAY'!J208</f>
        <v/>
      </c>
      <c r="I208" s="281">
        <v>1.0</v>
      </c>
      <c r="J208" s="284"/>
      <c r="K208" s="283"/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'19th-21stMAY'!E209</f>
        <v/>
      </c>
      <c r="D209" s="227"/>
      <c r="E209" s="247"/>
      <c r="F209" s="235" t="s">
        <v>155</v>
      </c>
      <c r="G209" s="285"/>
      <c r="H209" s="272">
        <f>'19th-21stMAY'!J209</f>
        <v>2</v>
      </c>
      <c r="I209" s="281">
        <v>1.0</v>
      </c>
      <c r="J209" s="282">
        <v>1.0</v>
      </c>
      <c r="K209" s="283"/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1</v>
      </c>
      <c r="N209" s="191"/>
      <c r="O209" s="247"/>
    </row>
    <row r="210">
      <c r="A210" s="12" t="s">
        <v>247</v>
      </c>
      <c r="B210" s="13" t="s">
        <v>59</v>
      </c>
      <c r="C210" s="271">
        <f>'19th-21stMAY'!E210</f>
        <v>1</v>
      </c>
      <c r="D210" s="191"/>
      <c r="E210" s="280"/>
      <c r="F210" s="235" t="s">
        <v>35</v>
      </c>
      <c r="G210" s="235"/>
      <c r="H210" s="272" t="str">
        <f>'19th-21stMAY'!J210</f>
        <v/>
      </c>
      <c r="I210" s="281">
        <v>1.0</v>
      </c>
      <c r="J210" s="282"/>
      <c r="K210" s="283"/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0.5</v>
      </c>
      <c r="N210" s="191"/>
      <c r="O210" s="247"/>
    </row>
    <row r="211">
      <c r="A211" s="12" t="s">
        <v>248</v>
      </c>
      <c r="B211" s="13" t="s">
        <v>59</v>
      </c>
      <c r="C211" s="271">
        <f>'19th-21stMAY'!E211</f>
        <v>2</v>
      </c>
      <c r="D211" s="191"/>
      <c r="E211" s="280"/>
      <c r="F211" s="235" t="s">
        <v>35</v>
      </c>
      <c r="G211" s="235"/>
      <c r="H211" s="272" t="str">
        <f>'19th-21stMAY'!J211</f>
        <v/>
      </c>
      <c r="I211" s="281">
        <v>1.0</v>
      </c>
      <c r="J211" s="284"/>
      <c r="K211" s="283"/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0.9</v>
      </c>
      <c r="N211" s="191"/>
      <c r="O211" s="247"/>
    </row>
    <row r="212">
      <c r="A212" s="12" t="s">
        <v>250</v>
      </c>
      <c r="B212" s="13" t="s">
        <v>59</v>
      </c>
      <c r="C212" s="271" t="str">
        <f>'19th-21stMAY'!E212</f>
        <v/>
      </c>
      <c r="D212" s="191"/>
      <c r="E212" s="280"/>
      <c r="F212" s="235" t="s">
        <v>35</v>
      </c>
      <c r="G212" s="235"/>
      <c r="H212" s="272">
        <f>'19th-21stMAY'!J212</f>
        <v>0.325</v>
      </c>
      <c r="I212" s="281">
        <v>1.0</v>
      </c>
      <c r="J212" s="282">
        <v>0.225</v>
      </c>
      <c r="K212" s="283"/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0.1</v>
      </c>
      <c r="N212" s="191"/>
      <c r="O212" s="247"/>
    </row>
    <row r="213">
      <c r="A213" s="12" t="s">
        <v>251</v>
      </c>
      <c r="B213" s="13" t="s">
        <v>34</v>
      </c>
      <c r="C213" s="271" t="str">
        <f>'19th-21stMAY'!E213</f>
        <v/>
      </c>
      <c r="D213" s="191"/>
      <c r="E213" s="247"/>
      <c r="F213" s="235" t="s">
        <v>35</v>
      </c>
      <c r="G213" s="235"/>
      <c r="H213" s="272" t="str">
        <f>'19th-21stMAY'!J213</f>
        <v/>
      </c>
      <c r="I213" s="281">
        <v>1.0</v>
      </c>
      <c r="J213" s="284"/>
      <c r="K213" s="283"/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'19th-21stMAY'!E214</f>
        <v/>
      </c>
      <c r="D214" s="191"/>
      <c r="E214" s="247"/>
      <c r="F214" s="235"/>
      <c r="G214" s="235"/>
      <c r="H214" s="272" t="str">
        <f>'19th-21stMAY'!J214</f>
        <v/>
      </c>
      <c r="I214" s="281">
        <v>1.0</v>
      </c>
      <c r="J214" s="284"/>
      <c r="K214" s="283"/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'19th-21stMAY'!E215</f>
        <v/>
      </c>
      <c r="D215" s="191"/>
      <c r="E215" s="247"/>
      <c r="F215" s="235" t="s">
        <v>254</v>
      </c>
      <c r="G215" s="235"/>
      <c r="H215" s="272" t="str">
        <f>'19th-21stMAY'!J215</f>
        <v/>
      </c>
      <c r="I215" s="281">
        <v>1.0</v>
      </c>
      <c r="J215" s="284"/>
      <c r="K215" s="283"/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'19th-21stMAY'!E216</f>
        <v/>
      </c>
      <c r="D216" s="191"/>
      <c r="E216" s="247"/>
      <c r="F216" s="235" t="s">
        <v>234</v>
      </c>
      <c r="G216" s="235"/>
      <c r="H216" s="272" t="str">
        <f>'19th-21stMAY'!J216</f>
        <v/>
      </c>
      <c r="I216" s="281">
        <v>1.0</v>
      </c>
      <c r="J216" s="284"/>
      <c r="K216" s="283"/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'19th-21stMAY'!E217</f>
        <v/>
      </c>
      <c r="D217" s="227">
        <v>7.0</v>
      </c>
      <c r="E217" s="247"/>
      <c r="F217" s="235" t="s">
        <v>17</v>
      </c>
      <c r="G217" s="235"/>
      <c r="H217" s="272">
        <f>'19th-21stMAY'!J217</f>
        <v>5</v>
      </c>
      <c r="I217" s="281">
        <v>1.0</v>
      </c>
      <c r="J217" s="282">
        <v>12.0</v>
      </c>
      <c r="K217" s="283"/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0</v>
      </c>
      <c r="N217" s="191"/>
      <c r="O217" s="247"/>
    </row>
    <row r="218">
      <c r="A218" s="12" t="s">
        <v>260</v>
      </c>
      <c r="B218" s="12" t="s">
        <v>261</v>
      </c>
      <c r="C218" s="271" t="str">
        <f>'19th-21stMAY'!E218</f>
        <v/>
      </c>
      <c r="D218" s="191"/>
      <c r="E218" s="247"/>
      <c r="F218" s="235" t="s">
        <v>35</v>
      </c>
      <c r="G218" s="235"/>
      <c r="H218" s="272">
        <f>'19th-21stMAY'!J218</f>
        <v>4.398</v>
      </c>
      <c r="I218" s="281">
        <v>1.0</v>
      </c>
      <c r="J218" s="282">
        <v>0.293</v>
      </c>
      <c r="K218" s="283"/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4.105</v>
      </c>
      <c r="N218" s="191"/>
      <c r="O218" s="247"/>
    </row>
    <row r="219">
      <c r="A219" s="12" t="s">
        <v>263</v>
      </c>
      <c r="B219" s="12" t="s">
        <v>17</v>
      </c>
      <c r="C219" s="271" t="str">
        <f>'19th-21stMAY'!E219</f>
        <v/>
      </c>
      <c r="D219" s="227"/>
      <c r="E219" s="247"/>
      <c r="F219" s="235" t="s">
        <v>17</v>
      </c>
      <c r="G219" s="235"/>
      <c r="H219" s="272">
        <f>'19th-21stMAY'!J219</f>
        <v>53</v>
      </c>
      <c r="I219" s="281">
        <v>1.0</v>
      </c>
      <c r="J219" s="282">
        <v>23.0</v>
      </c>
      <c r="K219" s="283"/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30</v>
      </c>
      <c r="N219" s="191"/>
      <c r="O219" s="247"/>
    </row>
    <row r="220">
      <c r="A220" s="12" t="s">
        <v>264</v>
      </c>
      <c r="B220" s="12" t="s">
        <v>261</v>
      </c>
      <c r="C220" s="271">
        <f>'19th-21stMAY'!E220</f>
        <v>1</v>
      </c>
      <c r="D220" s="191"/>
      <c r="E220" s="280">
        <v>1.0</v>
      </c>
      <c r="F220" s="235" t="s">
        <v>35</v>
      </c>
      <c r="G220" s="235"/>
      <c r="H220" s="272" t="str">
        <f>'19th-21stMAY'!J220</f>
        <v/>
      </c>
      <c r="I220" s="281">
        <v>1.0</v>
      </c>
      <c r="J220" s="284"/>
      <c r="K220" s="283"/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</v>
      </c>
      <c r="N220" s="191"/>
      <c r="O220" s="247"/>
    </row>
    <row r="221">
      <c r="A221" s="12" t="s">
        <v>265</v>
      </c>
      <c r="B221" s="12" t="s">
        <v>40</v>
      </c>
      <c r="C221" s="271" t="str">
        <f>'19th-21stMAY'!E221</f>
        <v/>
      </c>
      <c r="D221" s="227">
        <v>2.0</v>
      </c>
      <c r="E221" s="247"/>
      <c r="F221" s="235" t="s">
        <v>17</v>
      </c>
      <c r="G221" s="235"/>
      <c r="H221" s="272">
        <f>'19th-21stMAY'!J221</f>
        <v>26</v>
      </c>
      <c r="I221" s="281">
        <v>1.0</v>
      </c>
      <c r="J221" s="282">
        <v>18.0</v>
      </c>
      <c r="K221" s="283"/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58</v>
      </c>
      <c r="N221" s="191"/>
      <c r="O221" s="247"/>
    </row>
    <row r="222">
      <c r="A222" s="12" t="s">
        <v>266</v>
      </c>
      <c r="B222" s="12" t="s">
        <v>267</v>
      </c>
      <c r="C222" s="271" t="str">
        <f>'19th-21stMAY'!E222</f>
        <v/>
      </c>
      <c r="D222" s="191"/>
      <c r="E222" s="247"/>
      <c r="F222" s="235" t="s">
        <v>17</v>
      </c>
      <c r="G222" s="235"/>
      <c r="H222" s="272">
        <f>'19th-21stMAY'!J222</f>
        <v>43</v>
      </c>
      <c r="I222" s="281">
        <v>1.0</v>
      </c>
      <c r="J222" s="282">
        <v>39.0</v>
      </c>
      <c r="K222" s="283"/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4</v>
      </c>
      <c r="N222" s="191"/>
      <c r="O222" s="247"/>
    </row>
    <row r="223">
      <c r="A223" s="12" t="s">
        <v>268</v>
      </c>
      <c r="B223" s="12" t="s">
        <v>40</v>
      </c>
      <c r="C223" s="271" t="str">
        <f>'19th-21stMAY'!E223</f>
        <v/>
      </c>
      <c r="D223" s="227">
        <v>1.0</v>
      </c>
      <c r="E223" s="247"/>
      <c r="F223" s="235" t="s">
        <v>17</v>
      </c>
      <c r="G223" s="235"/>
      <c r="H223" s="272">
        <f>'19th-21stMAY'!J223</f>
        <v>21</v>
      </c>
      <c r="I223" s="281">
        <v>1.0</v>
      </c>
      <c r="J223" s="282">
        <v>17.0</v>
      </c>
      <c r="K223" s="283"/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29</v>
      </c>
      <c r="N223" s="191"/>
      <c r="O223" s="247"/>
    </row>
    <row r="224">
      <c r="A224" s="12" t="s">
        <v>269</v>
      </c>
      <c r="B224" s="294" t="s">
        <v>40</v>
      </c>
      <c r="C224" s="271" t="str">
        <f>'19th-21stMAY'!E224</f>
        <v/>
      </c>
      <c r="D224" s="191"/>
      <c r="E224" s="191"/>
      <c r="F224" s="191" t="s">
        <v>17</v>
      </c>
      <c r="G224" s="191"/>
      <c r="H224" s="272">
        <f>'19th-21stMAY'!J224</f>
        <v>31</v>
      </c>
      <c r="I224" s="281">
        <v>1.0</v>
      </c>
      <c r="J224" s="227">
        <v>11.0</v>
      </c>
      <c r="K224" s="283"/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20</v>
      </c>
      <c r="N224" s="191"/>
      <c r="O224" s="247"/>
    </row>
    <row r="225">
      <c r="A225" s="12" t="s">
        <v>270</v>
      </c>
      <c r="B225" s="294" t="s">
        <v>40</v>
      </c>
      <c r="C225" s="271" t="str">
        <f>'19th-21stMAY'!E225</f>
        <v/>
      </c>
      <c r="D225" s="227">
        <v>1.0</v>
      </c>
      <c r="E225" s="191"/>
      <c r="F225" s="191" t="s">
        <v>17</v>
      </c>
      <c r="G225" s="191"/>
      <c r="H225" s="272">
        <f>'19th-21stMAY'!J225</f>
        <v>37</v>
      </c>
      <c r="I225" s="281">
        <v>1.0</v>
      </c>
      <c r="J225" s="227">
        <v>53.0</v>
      </c>
      <c r="K225" s="283"/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34</v>
      </c>
      <c r="N225" s="191"/>
      <c r="O225" s="247"/>
    </row>
    <row r="226">
      <c r="A226" s="12" t="s">
        <v>271</v>
      </c>
      <c r="B226" s="294" t="s">
        <v>40</v>
      </c>
      <c r="C226" s="271" t="str">
        <f>'19th-21stMAY'!E226</f>
        <v/>
      </c>
      <c r="D226" s="227">
        <v>1.0</v>
      </c>
      <c r="E226" s="191"/>
      <c r="F226" s="191" t="s">
        <v>17</v>
      </c>
      <c r="G226" s="191"/>
      <c r="H226" s="272">
        <f>'19th-21stMAY'!J226</f>
        <v>16</v>
      </c>
      <c r="I226" s="281">
        <v>1.0</v>
      </c>
      <c r="J226" s="227">
        <v>17.0</v>
      </c>
      <c r="K226" s="283"/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49</v>
      </c>
      <c r="N226" s="191"/>
      <c r="O226" s="247"/>
    </row>
    <row r="227">
      <c r="A227" s="12" t="s">
        <v>272</v>
      </c>
      <c r="B227" s="294" t="s">
        <v>40</v>
      </c>
      <c r="C227" s="271" t="str">
        <f>'19th-21stMAY'!E227</f>
        <v/>
      </c>
      <c r="D227" s="297">
        <v>5.0</v>
      </c>
      <c r="E227" s="296"/>
      <c r="F227" s="296" t="s">
        <v>17</v>
      </c>
      <c r="G227" s="296"/>
      <c r="H227" s="272">
        <f>'19th-21stMAY'!J227</f>
        <v>7</v>
      </c>
      <c r="I227" s="281">
        <v>1.0</v>
      </c>
      <c r="J227" s="297">
        <v>9.0</v>
      </c>
      <c r="K227" s="283"/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3</v>
      </c>
      <c r="N227" s="296"/>
      <c r="O227" s="299"/>
    </row>
    <row r="228">
      <c r="A228" s="23"/>
      <c r="B228" s="23"/>
      <c r="C228" s="271" t="str">
        <f>'19th-21stMAY'!E228</f>
        <v/>
      </c>
      <c r="D228" s="297"/>
      <c r="E228" s="296"/>
      <c r="F228" s="11"/>
      <c r="G228" s="296"/>
      <c r="H228" s="272" t="str">
        <f>'19th-21stMAY'!J228</f>
        <v/>
      </c>
      <c r="I228" s="281"/>
      <c r="J228" s="297"/>
      <c r="K228" s="283"/>
      <c r="L228" s="11"/>
      <c r="M228" s="298"/>
      <c r="N228" s="296"/>
      <c r="O228" s="299"/>
    </row>
    <row r="229">
      <c r="A229" s="11"/>
      <c r="B229" s="11"/>
      <c r="C229" s="271" t="str">
        <f>'19th-21stMAY'!E229</f>
        <v/>
      </c>
      <c r="D229" s="11"/>
      <c r="E229" s="11"/>
      <c r="F229" s="11"/>
      <c r="G229" s="11"/>
      <c r="H229" s="272" t="str">
        <f>'19th-21stMAY'!J229</f>
        <v/>
      </c>
      <c r="I229" s="281"/>
      <c r="J229" s="11"/>
      <c r="K229" s="11"/>
      <c r="L229" s="11"/>
      <c r="M229" s="11"/>
      <c r="N229" s="11"/>
      <c r="O229" s="11"/>
    </row>
    <row r="230">
      <c r="A230" s="11"/>
      <c r="B230" s="11"/>
      <c r="C230" s="271" t="str">
        <f>'19th-21stMAY'!E230</f>
        <v/>
      </c>
      <c r="D230" s="11"/>
      <c r="E230" s="11"/>
      <c r="F230" s="11"/>
      <c r="G230" s="11"/>
      <c r="H230" s="272" t="str">
        <f>'19th-21stMAY'!J230</f>
        <v/>
      </c>
      <c r="I230" s="281"/>
      <c r="J230" s="11"/>
      <c r="K230" s="11"/>
      <c r="L230" s="11"/>
      <c r="M230" s="11"/>
      <c r="N230" s="11"/>
      <c r="O230" s="11"/>
    </row>
    <row r="231">
      <c r="A231" s="11"/>
      <c r="B231" s="11"/>
      <c r="C231" s="271" t="str">
        <f>'19th-21stMAY'!E231</f>
        <v/>
      </c>
      <c r="D231" s="11"/>
      <c r="E231" s="11"/>
      <c r="F231" s="11"/>
      <c r="G231" s="11"/>
      <c r="H231" s="272" t="str">
        <f>'19th-21stMAY'!J231</f>
        <v/>
      </c>
      <c r="I231" s="281"/>
      <c r="J231" s="11"/>
      <c r="K231" s="11"/>
      <c r="L231" s="11"/>
      <c r="M231" s="11"/>
      <c r="N231" s="11"/>
      <c r="O231" s="11"/>
    </row>
    <row r="232">
      <c r="A232" s="11"/>
      <c r="B232" s="11"/>
      <c r="C232" s="271" t="str">
        <f>'19th-21stMAY'!E232</f>
        <v/>
      </c>
      <c r="D232" s="11"/>
      <c r="E232" s="11"/>
      <c r="F232" s="11"/>
      <c r="G232" s="11"/>
      <c r="H232" s="272" t="str">
        <f>'19th-21stMAY'!J232</f>
        <v/>
      </c>
      <c r="I232" s="281"/>
      <c r="J232" s="11"/>
      <c r="K232" s="11"/>
      <c r="L232" s="11"/>
      <c r="M232" s="11"/>
      <c r="N232" s="11"/>
      <c r="O232" s="11"/>
    </row>
    <row r="233">
      <c r="A233" s="11"/>
      <c r="B233" s="11"/>
      <c r="C233" s="271" t="str">
        <f>'19th-21stMAY'!E233</f>
        <v/>
      </c>
      <c r="D233" s="11"/>
      <c r="E233" s="11"/>
      <c r="F233" s="11"/>
      <c r="G233" s="11"/>
      <c r="H233" s="272" t="str">
        <f>'19th-21stMAY'!J233</f>
        <v/>
      </c>
      <c r="I233" s="281"/>
      <c r="J233" s="11"/>
      <c r="K233" s="11"/>
      <c r="L233" s="11"/>
      <c r="M233" s="11"/>
      <c r="N233" s="11"/>
      <c r="O233" s="11"/>
    </row>
    <row r="234">
      <c r="A234" s="11"/>
      <c r="B234" s="11"/>
      <c r="C234" s="271" t="str">
        <f>'19th-21stMAY'!E234</f>
        <v/>
      </c>
      <c r="D234" s="11"/>
      <c r="E234" s="11"/>
      <c r="F234" s="11"/>
      <c r="G234" s="11"/>
      <c r="H234" s="272" t="str">
        <f>'19th-21stMAY'!J234</f>
        <v/>
      </c>
      <c r="I234" s="281"/>
      <c r="J234" s="11"/>
      <c r="K234" s="11"/>
      <c r="L234" s="11"/>
      <c r="M234" s="11"/>
      <c r="N234" s="11"/>
      <c r="O234" s="11"/>
    </row>
    <row r="235">
      <c r="A235" s="11"/>
      <c r="B235" s="11"/>
      <c r="C235" s="271" t="str">
        <f>'19th-21stMAY'!E235</f>
        <v/>
      </c>
      <c r="D235" s="11"/>
      <c r="E235" s="11"/>
      <c r="F235" s="11"/>
      <c r="G235" s="11"/>
      <c r="H235" s="272" t="str">
        <f>'19th-21stMAY'!J235</f>
        <v/>
      </c>
      <c r="I235" s="281"/>
      <c r="J235" s="11"/>
      <c r="K235" s="11"/>
      <c r="L235" s="11"/>
      <c r="M235" s="11"/>
      <c r="N235" s="11"/>
      <c r="O235" s="11"/>
    </row>
    <row r="236">
      <c r="A236" s="11"/>
      <c r="B236" s="11"/>
      <c r="C236" s="271" t="str">
        <f>'19th-21stMAY'!E236</f>
        <v/>
      </c>
      <c r="D236" s="11"/>
      <c r="E236" s="11"/>
      <c r="F236" s="11"/>
      <c r="G236" s="11"/>
      <c r="H236" s="272" t="str">
        <f>'19th-21stMAY'!J236</f>
        <v/>
      </c>
      <c r="I236" s="281"/>
      <c r="J236" s="11"/>
      <c r="K236" s="11"/>
      <c r="L236" s="11"/>
      <c r="M236" s="11"/>
      <c r="N236" s="11"/>
      <c r="O236" s="11"/>
    </row>
    <row r="237">
      <c r="A237" s="11"/>
      <c r="B237" s="11"/>
      <c r="C237" s="271" t="str">
        <f>'19th-21stMAY'!E237</f>
        <v/>
      </c>
      <c r="D237" s="11"/>
      <c r="E237" s="11"/>
      <c r="F237" s="11"/>
      <c r="G237" s="11"/>
      <c r="H237" s="272" t="str">
        <f>'19th-21stMAY'!J237</f>
        <v/>
      </c>
      <c r="I237" s="281"/>
      <c r="J237" s="11"/>
      <c r="K237" s="11"/>
      <c r="L237" s="11"/>
      <c r="M237" s="11"/>
      <c r="N237" s="11"/>
      <c r="O237" s="11"/>
    </row>
    <row r="238">
      <c r="A238" s="11"/>
      <c r="B238" s="11"/>
      <c r="C238" s="271" t="str">
        <f>'19th-21stMAY'!E238</f>
        <v/>
      </c>
      <c r="D238" s="11"/>
      <c r="E238" s="11"/>
      <c r="F238" s="11"/>
      <c r="G238" s="11"/>
      <c r="H238" s="272" t="str">
        <f>'19th-21stMAY'!J238</f>
        <v/>
      </c>
      <c r="I238" s="281"/>
      <c r="J238" s="11"/>
      <c r="K238" s="11"/>
      <c r="L238" s="11"/>
      <c r="M238" s="11"/>
      <c r="N238" s="11"/>
      <c r="O238" s="11"/>
    </row>
    <row r="239">
      <c r="A239" s="11"/>
      <c r="B239" s="11"/>
      <c r="C239" s="271" t="str">
        <f>'19th-21stMAY'!E239</f>
        <v/>
      </c>
      <c r="D239" s="11"/>
      <c r="E239" s="11"/>
      <c r="F239" s="11"/>
      <c r="G239" s="11"/>
      <c r="H239" s="272" t="str">
        <f>'19th-21stMAY'!J239</f>
        <v/>
      </c>
      <c r="I239" s="281"/>
      <c r="J239" s="11"/>
      <c r="K239" s="11"/>
      <c r="L239" s="11"/>
      <c r="M239" s="11"/>
      <c r="N239" s="11"/>
      <c r="O239" s="11"/>
    </row>
    <row r="240">
      <c r="A240" s="11"/>
      <c r="B240" s="11"/>
      <c r="C240" s="271" t="str">
        <f>'19th-21stMAY'!E240</f>
        <v/>
      </c>
      <c r="D240" s="11"/>
      <c r="E240" s="11"/>
      <c r="F240" s="11"/>
      <c r="G240" s="11"/>
      <c r="H240" s="272" t="str">
        <f>'19th-21stMAY'!J240</f>
        <v/>
      </c>
      <c r="I240" s="281"/>
      <c r="J240" s="11"/>
      <c r="K240" s="11"/>
      <c r="L240" s="11"/>
      <c r="M240" s="11"/>
      <c r="N240" s="11"/>
      <c r="O240" s="11"/>
    </row>
    <row r="241">
      <c r="A241" s="11"/>
      <c r="B241" s="11"/>
      <c r="C241" s="271" t="str">
        <f>'19th-21stMAY'!E241</f>
        <v/>
      </c>
      <c r="D241" s="11"/>
      <c r="E241" s="11"/>
      <c r="F241" s="11"/>
      <c r="G241" s="11"/>
      <c r="H241" s="272" t="str">
        <f>'19th-21stMAY'!J241</f>
        <v/>
      </c>
      <c r="I241" s="281"/>
      <c r="J241" s="11"/>
      <c r="K241" s="11"/>
      <c r="L241" s="11"/>
      <c r="M241" s="11"/>
      <c r="N241" s="11"/>
      <c r="O241" s="11"/>
    </row>
    <row r="242">
      <c r="A242" s="11"/>
      <c r="B242" s="11"/>
      <c r="C242" s="271" t="str">
        <f>'19th-21stMAY'!E242</f>
        <v/>
      </c>
      <c r="D242" s="11"/>
      <c r="E242" s="11"/>
      <c r="F242" s="11"/>
      <c r="G242" s="11"/>
      <c r="H242" s="272" t="str">
        <f>'19th-21stMAY'!J242</f>
        <v/>
      </c>
      <c r="I242" s="281"/>
      <c r="J242" s="11"/>
      <c r="K242" s="11"/>
      <c r="L242" s="11"/>
      <c r="M242" s="11"/>
      <c r="N242" s="11"/>
      <c r="O242" s="11"/>
    </row>
    <row r="243">
      <c r="A243" s="11"/>
      <c r="B243" s="11"/>
      <c r="C243" s="271" t="str">
        <f>'19th-21stMAY'!E243</f>
        <v/>
      </c>
      <c r="D243" s="11"/>
      <c r="E243" s="11"/>
      <c r="F243" s="11"/>
      <c r="G243" s="11"/>
      <c r="H243" s="272" t="str">
        <f>'19th-21stMAY'!J243</f>
        <v/>
      </c>
      <c r="I243" s="281"/>
      <c r="J243" s="11"/>
      <c r="K243" s="11"/>
      <c r="L243" s="11"/>
      <c r="M243" s="11"/>
      <c r="N243" s="11"/>
      <c r="O243" s="11"/>
    </row>
    <row r="244">
      <c r="A244" s="11"/>
      <c r="B244" s="11"/>
      <c r="C244" s="271" t="str">
        <f>'19th-21stMAY'!E244</f>
        <v/>
      </c>
      <c r="D244" s="11"/>
      <c r="E244" s="11"/>
      <c r="F244" s="11"/>
      <c r="G244" s="11"/>
      <c r="H244" s="272" t="str">
        <f>'19th-21stMAY'!J244</f>
        <v/>
      </c>
      <c r="I244" s="281"/>
      <c r="J244" s="11"/>
      <c r="K244" s="11"/>
      <c r="L244" s="11"/>
      <c r="M244" s="11"/>
      <c r="N244" s="11"/>
      <c r="O244" s="11"/>
    </row>
    <row r="245">
      <c r="A245" s="11"/>
      <c r="B245" s="11"/>
      <c r="C245" s="271" t="str">
        <f>'19th-21stMAY'!E245</f>
        <v/>
      </c>
      <c r="D245" s="11"/>
      <c r="E245" s="11"/>
      <c r="F245" s="11"/>
      <c r="G245" s="11"/>
      <c r="H245" s="272" t="str">
        <f>'19th-21stMAY'!J245</f>
        <v/>
      </c>
      <c r="I245" s="281"/>
      <c r="J245" s="11"/>
      <c r="K245" s="11"/>
      <c r="L245" s="11"/>
      <c r="M245" s="11"/>
      <c r="N245" s="11"/>
      <c r="O245" s="11"/>
    </row>
    <row r="246">
      <c r="A246" s="11"/>
      <c r="B246" s="11"/>
      <c r="C246" s="271" t="str">
        <f>'19th-21stMAY'!E246</f>
        <v/>
      </c>
      <c r="D246" s="11"/>
      <c r="E246" s="11"/>
      <c r="F246" s="11"/>
      <c r="G246" s="11"/>
      <c r="H246" s="272" t="str">
        <f>'19th-21stMAY'!J246</f>
        <v/>
      </c>
      <c r="I246" s="281"/>
      <c r="J246" s="11"/>
      <c r="K246" s="11"/>
      <c r="L246" s="11"/>
      <c r="M246" s="11"/>
      <c r="N246" s="11"/>
      <c r="O246" s="11"/>
    </row>
    <row r="247">
      <c r="A247" s="11"/>
      <c r="B247" s="11"/>
      <c r="C247" s="271" t="str">
        <f>'19th-21stMAY'!E247</f>
        <v/>
      </c>
      <c r="D247" s="11"/>
      <c r="E247" s="11"/>
      <c r="F247" s="11"/>
      <c r="G247" s="11"/>
      <c r="H247" s="272" t="str">
        <f>'19th-21stMAY'!J247</f>
        <v/>
      </c>
      <c r="I247" s="281"/>
      <c r="J247" s="11"/>
      <c r="K247" s="11"/>
      <c r="L247" s="11"/>
      <c r="M247" s="11"/>
      <c r="N247" s="11"/>
      <c r="O247" s="11"/>
    </row>
    <row r="248">
      <c r="A248" s="11"/>
      <c r="B248" s="11"/>
      <c r="C248" s="271" t="str">
        <f>'19th-21stMAY'!E248</f>
        <v/>
      </c>
      <c r="D248" s="11"/>
      <c r="E248" s="11"/>
      <c r="F248" s="11"/>
      <c r="G248" s="11"/>
      <c r="H248" s="272" t="str">
        <f>'19th-21stMAY'!J248</f>
        <v/>
      </c>
      <c r="I248" s="281"/>
      <c r="J248" s="11"/>
      <c r="K248" s="11"/>
      <c r="L248" s="11"/>
      <c r="M248" s="11"/>
      <c r="N248" s="11"/>
      <c r="O248" s="11"/>
    </row>
    <row r="249">
      <c r="A249" s="11"/>
      <c r="B249" s="11"/>
      <c r="C249" s="271" t="str">
        <f>'19th-21stMAY'!E249</f>
        <v/>
      </c>
      <c r="D249" s="11"/>
      <c r="E249" s="11"/>
      <c r="F249" s="11"/>
      <c r="G249" s="11"/>
      <c r="H249" s="272" t="str">
        <f>'19th-21stMAY'!J249</f>
        <v/>
      </c>
      <c r="I249" s="281"/>
      <c r="J249" s="11"/>
      <c r="K249" s="11"/>
      <c r="L249" s="11"/>
      <c r="M249" s="11"/>
      <c r="N249" s="11"/>
      <c r="O249" s="11"/>
    </row>
    <row r="250">
      <c r="A250" s="11"/>
      <c r="B250" s="11"/>
      <c r="C250" s="271" t="str">
        <f>'19th-21stMAY'!E250</f>
        <v/>
      </c>
      <c r="D250" s="11"/>
      <c r="E250" s="11"/>
      <c r="F250" s="11"/>
      <c r="G250" s="11"/>
      <c r="H250" s="272" t="str">
        <f>'19th-21stMAY'!J250</f>
        <v/>
      </c>
      <c r="I250" s="281"/>
      <c r="J250" s="11"/>
      <c r="K250" s="11"/>
      <c r="L250" s="11"/>
      <c r="M250" s="11"/>
      <c r="N250" s="11"/>
      <c r="O250" s="11"/>
    </row>
    <row r="251">
      <c r="A251" s="11"/>
      <c r="B251" s="11"/>
      <c r="C251" s="271" t="str">
        <f>'19th-21stMAY'!E251</f>
        <v/>
      </c>
      <c r="D251" s="11"/>
      <c r="E251" s="11"/>
      <c r="F251" s="11"/>
      <c r="G251" s="11"/>
      <c r="H251" s="272" t="str">
        <f>'19th-21stMAY'!J251</f>
        <v/>
      </c>
      <c r="I251" s="281"/>
      <c r="J251" s="11"/>
      <c r="K251" s="11"/>
      <c r="L251" s="11"/>
      <c r="M251" s="11"/>
      <c r="N251" s="11"/>
      <c r="O251" s="11"/>
    </row>
    <row r="252">
      <c r="A252" s="11"/>
      <c r="B252" s="11"/>
      <c r="C252" s="271" t="str">
        <f>'19th-21stMAY'!E252</f>
        <v/>
      </c>
      <c r="D252" s="11"/>
      <c r="E252" s="11"/>
      <c r="F252" s="11"/>
      <c r="G252" s="11"/>
      <c r="H252" s="272" t="str">
        <f>'19th-21stMAY'!J252</f>
        <v/>
      </c>
      <c r="I252" s="281"/>
      <c r="J252" s="11"/>
      <c r="K252" s="11"/>
      <c r="L252" s="11"/>
      <c r="M252" s="11"/>
      <c r="N252" s="11"/>
      <c r="O252" s="11"/>
    </row>
    <row r="253">
      <c r="A253" s="11"/>
      <c r="B253" s="11"/>
      <c r="C253" s="271" t="str">
        <f>'19th-21stMAY'!E253</f>
        <v/>
      </c>
      <c r="D253" s="11"/>
      <c r="E253" s="11"/>
      <c r="F253" s="11"/>
      <c r="G253" s="11"/>
      <c r="H253" s="272" t="str">
        <f>'19th-21stMAY'!J253</f>
        <v/>
      </c>
      <c r="I253" s="281"/>
      <c r="J253" s="11"/>
      <c r="K253" s="11"/>
      <c r="L253" s="11"/>
      <c r="M253" s="11"/>
      <c r="N253" s="11"/>
      <c r="O253" s="11"/>
    </row>
    <row r="254">
      <c r="A254" s="11"/>
      <c r="B254" s="11"/>
      <c r="C254" s="271" t="str">
        <f>'19th-21stMAY'!E254</f>
        <v/>
      </c>
      <c r="D254" s="11"/>
      <c r="E254" s="11"/>
      <c r="F254" s="11"/>
      <c r="G254" s="11"/>
      <c r="H254" s="272" t="str">
        <f>'19th-21stMAY'!J254</f>
        <v/>
      </c>
      <c r="I254" s="281"/>
      <c r="J254" s="11"/>
      <c r="K254" s="11"/>
      <c r="L254" s="11"/>
      <c r="M254" s="11"/>
      <c r="N254" s="11"/>
      <c r="O254" s="11"/>
    </row>
    <row r="255">
      <c r="A255" s="11"/>
      <c r="B255" s="11"/>
      <c r="C255" s="271" t="str">
        <f>'19th-21stMAY'!E255</f>
        <v/>
      </c>
      <c r="D255" s="11"/>
      <c r="E255" s="11"/>
      <c r="F255" s="11"/>
      <c r="G255" s="11"/>
      <c r="H255" s="272" t="str">
        <f>'19th-21stMAY'!J255</f>
        <v/>
      </c>
      <c r="I255" s="281"/>
      <c r="J255" s="11"/>
      <c r="K255" s="11"/>
      <c r="L255" s="11"/>
      <c r="M255" s="11"/>
      <c r="N255" s="11"/>
      <c r="O255" s="11"/>
    </row>
    <row r="256">
      <c r="A256" s="11"/>
      <c r="B256" s="11"/>
      <c r="C256" s="271" t="str">
        <f>'19th-21stMAY'!E256</f>
        <v/>
      </c>
      <c r="D256" s="11"/>
      <c r="E256" s="11"/>
      <c r="F256" s="11"/>
      <c r="G256" s="11"/>
      <c r="H256" s="272" t="str">
        <f>'19th-21stMAY'!J256</f>
        <v/>
      </c>
      <c r="I256" s="281"/>
      <c r="J256" s="11"/>
      <c r="K256" s="11"/>
      <c r="L256" s="11"/>
      <c r="M256" s="11"/>
      <c r="N256" s="11"/>
      <c r="O256" s="11"/>
    </row>
    <row r="257">
      <c r="A257" s="11"/>
      <c r="B257" s="11"/>
      <c r="C257" s="271" t="str">
        <f>'19th-21stMAY'!E257</f>
        <v/>
      </c>
      <c r="D257" s="11"/>
      <c r="E257" s="11"/>
      <c r="F257" s="11"/>
      <c r="G257" s="11"/>
      <c r="H257" s="272" t="str">
        <f>'19th-21stMAY'!J257</f>
        <v/>
      </c>
      <c r="I257" s="281"/>
      <c r="J257" s="11"/>
      <c r="K257" s="11"/>
      <c r="L257" s="11"/>
      <c r="M257" s="11"/>
      <c r="N257" s="11"/>
      <c r="O257" s="11"/>
    </row>
    <row r="258">
      <c r="A258" s="11"/>
      <c r="B258" s="11"/>
      <c r="C258" s="271" t="str">
        <f>'19th-21stMAY'!E258</f>
        <v/>
      </c>
      <c r="D258" s="11"/>
      <c r="E258" s="11"/>
      <c r="F258" s="11"/>
      <c r="G258" s="11"/>
      <c r="H258" s="272" t="str">
        <f>'19th-21stMAY'!J258</f>
        <v/>
      </c>
      <c r="I258" s="281"/>
      <c r="J258" s="11"/>
      <c r="K258" s="11"/>
      <c r="L258" s="11"/>
      <c r="M258" s="11"/>
      <c r="N258" s="11"/>
      <c r="O258" s="11"/>
    </row>
    <row r="259">
      <c r="A259" s="11"/>
      <c r="B259" s="11"/>
      <c r="C259" s="271" t="str">
        <f>'19th-21stMAY'!E259</f>
        <v/>
      </c>
      <c r="D259" s="11"/>
      <c r="E259" s="11"/>
      <c r="F259" s="11"/>
      <c r="G259" s="11"/>
      <c r="H259" s="272" t="str">
        <f>'19th-21stMAY'!J259</f>
        <v/>
      </c>
      <c r="I259" s="281"/>
      <c r="J259" s="11"/>
      <c r="K259" s="11"/>
      <c r="L259" s="11"/>
      <c r="M259" s="11"/>
      <c r="N259" s="11"/>
      <c r="O259" s="11"/>
    </row>
    <row r="260">
      <c r="A260" s="11"/>
      <c r="B260" s="11"/>
      <c r="C260" s="271" t="str">
        <f>'19th-21stMAY'!E260</f>
        <v/>
      </c>
      <c r="D260" s="11"/>
      <c r="E260" s="11"/>
      <c r="F260" s="11"/>
      <c r="G260" s="11"/>
      <c r="H260" s="272" t="str">
        <f>'19th-21stMAY'!J260</f>
        <v/>
      </c>
      <c r="I260" s="281"/>
      <c r="J260" s="11"/>
      <c r="K260" s="11"/>
      <c r="L260" s="11"/>
      <c r="M260" s="11"/>
      <c r="N260" s="11"/>
      <c r="O260" s="11"/>
    </row>
    <row r="261">
      <c r="A261" s="11"/>
      <c r="B261" s="11"/>
      <c r="C261" s="271" t="str">
        <f>'19th-21stMAY'!E261</f>
        <v/>
      </c>
      <c r="D261" s="11"/>
      <c r="E261" s="11"/>
      <c r="F261" s="11"/>
      <c r="G261" s="11"/>
      <c r="H261" s="272" t="str">
        <f>'19th-21stMAY'!J261</f>
        <v/>
      </c>
      <c r="I261" s="281"/>
      <c r="J261" s="11"/>
      <c r="K261" s="11"/>
      <c r="L261" s="11"/>
      <c r="M261" s="11"/>
      <c r="N261" s="11"/>
      <c r="O261" s="11"/>
    </row>
    <row r="262">
      <c r="A262" s="11"/>
      <c r="B262" s="11"/>
      <c r="C262" s="271" t="str">
        <f>'19th-21stMAY'!E262</f>
        <v/>
      </c>
      <c r="D262" s="11"/>
      <c r="E262" s="11"/>
      <c r="F262" s="11"/>
      <c r="G262" s="11"/>
      <c r="H262" s="272" t="str">
        <f>'19th-21stMAY'!J262</f>
        <v/>
      </c>
      <c r="I262" s="281"/>
      <c r="J262" s="11"/>
      <c r="K262" s="11"/>
      <c r="L262" s="11"/>
      <c r="M262" s="11"/>
      <c r="N262" s="11"/>
      <c r="O262" s="11"/>
    </row>
    <row r="263">
      <c r="A263" s="11"/>
      <c r="B263" s="11"/>
      <c r="C263" s="271" t="str">
        <f>'19th-21stMAY'!E263</f>
        <v/>
      </c>
      <c r="D263" s="11"/>
      <c r="E263" s="11"/>
      <c r="F263" s="11"/>
      <c r="G263" s="11"/>
      <c r="H263" s="11"/>
      <c r="I263" s="281"/>
      <c r="J263" s="11"/>
      <c r="K263" s="11"/>
      <c r="L263" s="11"/>
      <c r="M263" s="11"/>
      <c r="N263" s="11"/>
      <c r="O263" s="11"/>
    </row>
    <row r="264">
      <c r="A264" s="11"/>
      <c r="B264" s="11"/>
      <c r="C264" s="271" t="str">
        <f>'19th-21stMAY'!E264</f>
        <v/>
      </c>
      <c r="D264" s="11"/>
      <c r="E264" s="11"/>
      <c r="F264" s="11"/>
      <c r="G264" s="11"/>
      <c r="H264" s="11"/>
      <c r="I264" s="281"/>
      <c r="J264" s="11"/>
      <c r="K264" s="11"/>
      <c r="L264" s="11"/>
      <c r="M264" s="11"/>
      <c r="N264" s="11"/>
      <c r="O264" s="11"/>
    </row>
    <row r="265">
      <c r="A265" s="11"/>
      <c r="B265" s="11"/>
      <c r="C265" s="271" t="str">
        <f>'19th-21stMAY'!E265</f>
        <v/>
      </c>
      <c r="D265" s="11"/>
      <c r="E265" s="11"/>
      <c r="F265" s="11"/>
      <c r="G265" s="11"/>
      <c r="H265" s="11"/>
      <c r="I265" s="281"/>
      <c r="J265" s="11"/>
      <c r="K265" s="11"/>
      <c r="L265" s="11"/>
      <c r="M265" s="11"/>
      <c r="N265" s="11"/>
      <c r="O265" s="11"/>
    </row>
    <row r="266">
      <c r="A266" s="11"/>
      <c r="B266" s="11"/>
      <c r="C266" s="271" t="str">
        <f>'19th-21stMAY'!E266</f>
        <v/>
      </c>
      <c r="D266" s="11"/>
      <c r="E266" s="11"/>
      <c r="F266" s="11"/>
      <c r="G266" s="11"/>
      <c r="H266" s="11"/>
      <c r="I266" s="281"/>
      <c r="J266" s="11"/>
      <c r="K266" s="11"/>
      <c r="L266" s="11"/>
      <c r="M266" s="11"/>
      <c r="N266" s="11"/>
      <c r="O266" s="11"/>
    </row>
    <row r="267">
      <c r="A267" s="11"/>
      <c r="B267" s="28"/>
      <c r="C267" s="271" t="str">
        <f>'19th-21stMAY'!E267</f>
        <v/>
      </c>
      <c r="D267" s="28"/>
      <c r="E267" s="28"/>
      <c r="F267" s="28"/>
      <c r="G267" s="28"/>
      <c r="H267" s="28"/>
      <c r="I267" s="281"/>
      <c r="J267" s="28"/>
      <c r="K267" s="28"/>
      <c r="L267" s="28"/>
      <c r="M267" s="28"/>
      <c r="N267" s="28"/>
      <c r="O267" s="28"/>
    </row>
    <row r="268">
      <c r="A268" s="11"/>
      <c r="B268" s="28"/>
      <c r="C268" s="271" t="str">
        <f>'19th-21stMAY'!E268</f>
        <v/>
      </c>
      <c r="D268" s="28"/>
      <c r="E268" s="28"/>
      <c r="F268" s="28"/>
      <c r="G268" s="28"/>
      <c r="H268" s="28"/>
      <c r="I268" s="281"/>
      <c r="J268" s="28"/>
      <c r="K268" s="28"/>
      <c r="L268" s="28"/>
      <c r="M268" s="28"/>
      <c r="N268" s="28"/>
      <c r="O268" s="28"/>
    </row>
    <row r="269">
      <c r="A269" s="11"/>
      <c r="B269" s="28"/>
      <c r="C269" s="28"/>
      <c r="D269" s="28"/>
      <c r="E269" s="28"/>
      <c r="F269" s="28"/>
      <c r="G269" s="28"/>
      <c r="H269" s="28"/>
      <c r="I269" s="281"/>
      <c r="J269" s="28"/>
      <c r="K269" s="28"/>
      <c r="L269" s="28"/>
      <c r="M269" s="28"/>
      <c r="N269" s="28"/>
      <c r="O269" s="28"/>
    </row>
    <row r="270">
      <c r="A270" s="11"/>
      <c r="B270" s="28"/>
      <c r="C270" s="28"/>
      <c r="D270" s="28"/>
      <c r="E270" s="28"/>
      <c r="F270" s="28"/>
      <c r="G270" s="28"/>
      <c r="H270" s="28"/>
      <c r="I270" s="281"/>
      <c r="J270" s="28"/>
      <c r="K270" s="28"/>
      <c r="L270" s="28"/>
      <c r="M270" s="28"/>
      <c r="N270" s="28"/>
      <c r="O270" s="28"/>
    </row>
    <row r="271">
      <c r="A271" s="11"/>
      <c r="B271" s="28"/>
      <c r="C271" s="28"/>
      <c r="D271" s="28"/>
      <c r="E271" s="28"/>
      <c r="F271" s="28"/>
      <c r="G271" s="28"/>
      <c r="H271" s="28"/>
      <c r="I271" s="281"/>
      <c r="J271" s="28"/>
      <c r="K271" s="28"/>
      <c r="L271" s="28"/>
      <c r="M271" s="28"/>
      <c r="N271" s="28"/>
      <c r="O271" s="28"/>
    </row>
    <row r="272">
      <c r="A272" s="11"/>
      <c r="B272" s="28"/>
      <c r="C272" s="28"/>
      <c r="D272" s="28"/>
      <c r="E272" s="28"/>
      <c r="F272" s="28"/>
      <c r="G272" s="28"/>
      <c r="H272" s="28"/>
      <c r="I272" s="281"/>
      <c r="J272" s="28"/>
      <c r="K272" s="28"/>
      <c r="L272" s="28"/>
      <c r="M272" s="28"/>
      <c r="N272" s="28"/>
      <c r="O272" s="28"/>
    </row>
    <row r="273">
      <c r="A273" s="11"/>
      <c r="B273" s="28"/>
      <c r="C273" s="28"/>
      <c r="D273" s="28"/>
      <c r="E273" s="28"/>
      <c r="F273" s="28"/>
      <c r="G273" s="28"/>
      <c r="H273" s="28"/>
      <c r="I273" s="281"/>
      <c r="J273" s="28"/>
      <c r="K273" s="28"/>
      <c r="L273" s="28"/>
      <c r="M273" s="28"/>
      <c r="N273" s="28"/>
      <c r="O273" s="28"/>
    </row>
    <row r="274">
      <c r="A274" s="11"/>
      <c r="B274" s="28"/>
      <c r="C274" s="28"/>
      <c r="D274" s="28"/>
      <c r="E274" s="28"/>
      <c r="F274" s="28"/>
      <c r="G274" s="28"/>
      <c r="H274" s="28"/>
      <c r="I274" s="281"/>
      <c r="J274" s="28"/>
      <c r="K274" s="28"/>
      <c r="L274" s="28"/>
      <c r="M274" s="28"/>
      <c r="N274" s="28"/>
      <c r="O274" s="28"/>
    </row>
    <row r="275">
      <c r="A275" s="11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11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11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11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11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11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11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11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11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11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11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11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11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11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11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11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11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11"/>
      <c r="B292" s="235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11"/>
      <c r="B293" s="235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11"/>
      <c r="B294" s="235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11"/>
      <c r="B295" s="235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11"/>
      <c r="B296" s="235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11"/>
      <c r="B297" s="235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11"/>
      <c r="B298" s="235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11"/>
      <c r="B299" s="235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11"/>
      <c r="B300" s="235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11"/>
      <c r="B301" s="235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11"/>
      <c r="B302" s="235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11"/>
      <c r="B303" s="235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11"/>
      <c r="B304" s="235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11"/>
      <c r="B305" s="235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11"/>
      <c r="B306" s="235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11"/>
      <c r="B307" s="235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11"/>
      <c r="B308" s="235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11"/>
      <c r="B309" s="235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11"/>
      <c r="B310" s="235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11"/>
      <c r="B311" s="235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11"/>
      <c r="B312" s="235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11"/>
      <c r="B313" s="235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11"/>
      <c r="B314" s="235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11"/>
      <c r="B315" s="235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11"/>
      <c r="B316" s="235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11"/>
      <c r="B317" s="235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11"/>
      <c r="B318" s="235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11"/>
      <c r="B319" s="235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11"/>
      <c r="B320" s="235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11"/>
      <c r="B321" s="235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11"/>
      <c r="B322" s="235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11"/>
      <c r="B323" s="235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11"/>
      <c r="B324" s="235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11"/>
      <c r="B325" s="235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11"/>
      <c r="B326" s="235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11"/>
      <c r="B327" s="235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11"/>
      <c r="B328" s="235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11"/>
      <c r="B329" s="235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11"/>
      <c r="B330" s="235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11"/>
      <c r="B331" s="235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11"/>
      <c r="B332" s="235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11"/>
      <c r="B333" s="235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11"/>
      <c r="B334" s="235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11"/>
      <c r="B335" s="235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11"/>
      <c r="B336" s="235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A337" s="300"/>
    </row>
    <row r="338">
      <c r="A338" s="300"/>
    </row>
    <row r="339">
      <c r="A339" s="300"/>
    </row>
    <row r="340">
      <c r="A340" s="300"/>
    </row>
    <row r="341">
      <c r="A341" s="300"/>
    </row>
    <row r="342">
      <c r="A342" s="300"/>
    </row>
    <row r="343">
      <c r="A343" s="300"/>
    </row>
    <row r="344">
      <c r="A344" s="300"/>
    </row>
    <row r="345">
      <c r="A345" s="300"/>
    </row>
    <row r="346">
      <c r="A346" s="300"/>
    </row>
    <row r="347">
      <c r="A347" s="300"/>
    </row>
    <row r="348">
      <c r="A348" s="300"/>
    </row>
    <row r="349">
      <c r="A349" s="300"/>
    </row>
    <row r="350">
      <c r="A350" s="300"/>
    </row>
    <row r="351">
      <c r="A351" s="300"/>
    </row>
    <row r="352">
      <c r="A352" s="300"/>
    </row>
    <row r="353">
      <c r="A353" s="300"/>
    </row>
    <row r="354">
      <c r="A354" s="300"/>
    </row>
    <row r="355">
      <c r="A355" s="300"/>
    </row>
    <row r="356">
      <c r="A356" s="300"/>
    </row>
    <row r="357">
      <c r="A357" s="300"/>
    </row>
    <row r="358">
      <c r="A358" s="300"/>
    </row>
    <row r="359">
      <c r="A359" s="300"/>
    </row>
    <row r="360">
      <c r="A360" s="300"/>
    </row>
    <row r="361">
      <c r="A361" s="300"/>
    </row>
    <row r="362">
      <c r="A362" s="300"/>
    </row>
    <row r="363">
      <c r="A363" s="300"/>
    </row>
    <row r="364">
      <c r="A364" s="300"/>
    </row>
    <row r="365">
      <c r="A365" s="300"/>
    </row>
    <row r="366">
      <c r="A366" s="300"/>
    </row>
    <row r="367">
      <c r="A367" s="300"/>
    </row>
    <row r="368">
      <c r="A368" s="300"/>
    </row>
    <row r="369">
      <c r="A369" s="300"/>
    </row>
    <row r="370">
      <c r="A370" s="300"/>
    </row>
    <row r="371">
      <c r="A371" s="300"/>
    </row>
    <row r="372">
      <c r="A372" s="300"/>
    </row>
    <row r="373">
      <c r="A373" s="300"/>
    </row>
    <row r="374">
      <c r="A374" s="300"/>
    </row>
    <row r="375">
      <c r="A375" s="300"/>
    </row>
    <row r="376">
      <c r="A376" s="300"/>
    </row>
    <row r="377">
      <c r="A377" s="300"/>
    </row>
    <row r="378">
      <c r="A378" s="300"/>
    </row>
    <row r="379">
      <c r="A379" s="300"/>
    </row>
    <row r="380">
      <c r="A380" s="300"/>
    </row>
    <row r="381">
      <c r="A381" s="300"/>
    </row>
    <row r="382">
      <c r="A382" s="300"/>
    </row>
    <row r="383">
      <c r="A383" s="300"/>
    </row>
    <row r="384">
      <c r="A384" s="300"/>
    </row>
    <row r="385">
      <c r="A385" s="300"/>
    </row>
    <row r="386">
      <c r="A386" s="300"/>
    </row>
    <row r="387">
      <c r="A387" s="300"/>
    </row>
    <row r="388">
      <c r="A388" s="300"/>
    </row>
    <row r="389">
      <c r="A389" s="300"/>
    </row>
    <row r="390">
      <c r="A390" s="300"/>
    </row>
    <row r="391">
      <c r="A391" s="300"/>
    </row>
    <row r="392">
      <c r="A392" s="300"/>
    </row>
    <row r="393">
      <c r="A393" s="300"/>
    </row>
    <row r="394">
      <c r="A394" s="300"/>
    </row>
    <row r="395">
      <c r="A395" s="300"/>
    </row>
    <row r="396">
      <c r="A396" s="300"/>
    </row>
    <row r="397">
      <c r="A397" s="300"/>
    </row>
    <row r="398">
      <c r="A398" s="300"/>
    </row>
    <row r="399">
      <c r="A399" s="300"/>
    </row>
    <row r="400">
      <c r="A400" s="300"/>
    </row>
    <row r="401">
      <c r="A401" s="300"/>
    </row>
    <row r="402">
      <c r="A402" s="300"/>
    </row>
    <row r="403">
      <c r="A403" s="300"/>
    </row>
    <row r="404">
      <c r="A404" s="300"/>
    </row>
    <row r="405">
      <c r="A405" s="300"/>
    </row>
    <row r="406">
      <c r="A406" s="300"/>
    </row>
    <row r="407">
      <c r="A407" s="300"/>
    </row>
    <row r="408">
      <c r="A408" s="300"/>
    </row>
    <row r="409">
      <c r="A409" s="300"/>
    </row>
    <row r="410">
      <c r="A410" s="300"/>
    </row>
    <row r="411">
      <c r="A411" s="300"/>
    </row>
    <row r="412">
      <c r="A412" s="300"/>
    </row>
    <row r="413">
      <c r="A413" s="300"/>
    </row>
    <row r="414">
      <c r="A414" s="300"/>
    </row>
    <row r="415">
      <c r="A415" s="300"/>
    </row>
    <row r="416">
      <c r="A416" s="300"/>
    </row>
    <row r="417">
      <c r="A417" s="300"/>
    </row>
    <row r="418">
      <c r="A418" s="300"/>
    </row>
    <row r="419">
      <c r="A419" s="300"/>
    </row>
    <row r="420">
      <c r="A420" s="300"/>
    </row>
    <row r="421">
      <c r="A421" s="300"/>
    </row>
    <row r="422">
      <c r="A422" s="300"/>
    </row>
    <row r="423">
      <c r="A423" s="300"/>
    </row>
    <row r="424">
      <c r="A424" s="300"/>
    </row>
    <row r="425">
      <c r="A425" s="300"/>
    </row>
    <row r="426">
      <c r="A426" s="300"/>
    </row>
    <row r="427">
      <c r="A427" s="300"/>
    </row>
    <row r="428">
      <c r="A428" s="300"/>
    </row>
    <row r="429">
      <c r="A429" s="300"/>
    </row>
    <row r="430">
      <c r="A430" s="300"/>
    </row>
    <row r="431">
      <c r="A431" s="300"/>
    </row>
    <row r="432">
      <c r="A432" s="300"/>
    </row>
    <row r="433">
      <c r="A433" s="300"/>
    </row>
    <row r="434">
      <c r="A434" s="300"/>
    </row>
    <row r="435">
      <c r="A435" s="300"/>
    </row>
    <row r="436">
      <c r="A436" s="300"/>
    </row>
    <row r="437">
      <c r="A437" s="300"/>
    </row>
    <row r="438">
      <c r="A438" s="300"/>
    </row>
    <row r="439">
      <c r="A439" s="300"/>
    </row>
    <row r="440">
      <c r="A440" s="300"/>
    </row>
    <row r="441">
      <c r="A441" s="300"/>
    </row>
    <row r="442">
      <c r="A442" s="300"/>
    </row>
    <row r="443">
      <c r="A443" s="300"/>
    </row>
    <row r="444">
      <c r="A444" s="300"/>
    </row>
    <row r="445">
      <c r="A445" s="300"/>
    </row>
    <row r="446">
      <c r="A446" s="300"/>
    </row>
    <row r="447">
      <c r="A447" s="300"/>
    </row>
    <row r="448">
      <c r="A448" s="300"/>
    </row>
    <row r="449">
      <c r="A449" s="300"/>
    </row>
    <row r="450">
      <c r="A450" s="300"/>
    </row>
    <row r="451">
      <c r="A451" s="300"/>
    </row>
    <row r="452">
      <c r="A452" s="300"/>
    </row>
    <row r="453">
      <c r="A453" s="300"/>
    </row>
    <row r="454">
      <c r="A454" s="300"/>
    </row>
    <row r="455">
      <c r="A455" s="300"/>
    </row>
    <row r="456">
      <c r="A456" s="300"/>
    </row>
    <row r="457">
      <c r="A457" s="300"/>
    </row>
    <row r="458">
      <c r="A458" s="300"/>
    </row>
    <row r="459">
      <c r="A459" s="300"/>
    </row>
    <row r="460">
      <c r="A460" s="300"/>
    </row>
    <row r="461">
      <c r="A461" s="300"/>
    </row>
    <row r="462">
      <c r="A462" s="300"/>
    </row>
    <row r="463">
      <c r="A463" s="300"/>
    </row>
    <row r="464">
      <c r="A464" s="300"/>
    </row>
    <row r="465">
      <c r="A465" s="300"/>
    </row>
    <row r="466">
      <c r="A466" s="300"/>
    </row>
    <row r="467">
      <c r="A467" s="300"/>
    </row>
    <row r="468">
      <c r="A468" s="300"/>
    </row>
    <row r="469">
      <c r="A469" s="300"/>
    </row>
    <row r="470">
      <c r="A470" s="300"/>
    </row>
    <row r="471">
      <c r="A471" s="300"/>
    </row>
    <row r="472">
      <c r="A472" s="300"/>
    </row>
    <row r="473">
      <c r="A473" s="300"/>
    </row>
    <row r="474">
      <c r="A474" s="300"/>
    </row>
    <row r="475">
      <c r="A475" s="300"/>
    </row>
    <row r="476">
      <c r="A476" s="300"/>
    </row>
    <row r="477">
      <c r="A477" s="300"/>
    </row>
    <row r="478">
      <c r="A478" s="300"/>
    </row>
    <row r="479">
      <c r="A479" s="300"/>
    </row>
    <row r="480">
      <c r="A480" s="300"/>
    </row>
    <row r="481">
      <c r="A481" s="300"/>
    </row>
    <row r="482">
      <c r="A482" s="300"/>
    </row>
    <row r="483">
      <c r="A483" s="300"/>
    </row>
    <row r="484">
      <c r="A484" s="300"/>
    </row>
    <row r="485">
      <c r="A485" s="300"/>
    </row>
    <row r="486">
      <c r="A486" s="300"/>
    </row>
    <row r="487">
      <c r="A487" s="300"/>
    </row>
    <row r="488">
      <c r="A488" s="300"/>
    </row>
    <row r="489">
      <c r="A489" s="300"/>
    </row>
    <row r="490">
      <c r="A490" s="300"/>
    </row>
    <row r="491">
      <c r="A491" s="300"/>
    </row>
    <row r="492">
      <c r="A492" s="300"/>
    </row>
    <row r="493">
      <c r="A493" s="300"/>
    </row>
    <row r="494">
      <c r="A494" s="300"/>
    </row>
    <row r="495">
      <c r="A495" s="300"/>
    </row>
    <row r="496">
      <c r="A496" s="300"/>
    </row>
    <row r="497">
      <c r="A497" s="300"/>
    </row>
    <row r="498">
      <c r="A498" s="300"/>
    </row>
    <row r="499">
      <c r="A499" s="300"/>
    </row>
    <row r="500">
      <c r="A500" s="300"/>
    </row>
    <row r="501">
      <c r="A501" s="300"/>
    </row>
    <row r="502">
      <c r="A502" s="300"/>
    </row>
    <row r="503">
      <c r="A503" s="300"/>
    </row>
    <row r="504">
      <c r="A504" s="300"/>
    </row>
    <row r="505">
      <c r="A505" s="300"/>
    </row>
    <row r="506">
      <c r="A506" s="300"/>
    </row>
    <row r="507">
      <c r="A507" s="300"/>
    </row>
    <row r="508">
      <c r="A508" s="300"/>
    </row>
    <row r="509">
      <c r="A509" s="300"/>
    </row>
    <row r="510">
      <c r="A510" s="300"/>
    </row>
    <row r="511">
      <c r="A511" s="300"/>
    </row>
    <row r="512">
      <c r="A512" s="300"/>
    </row>
    <row r="513">
      <c r="A513" s="300"/>
    </row>
    <row r="514">
      <c r="A514" s="300"/>
    </row>
    <row r="515">
      <c r="A515" s="300"/>
    </row>
    <row r="516">
      <c r="A516" s="300"/>
    </row>
    <row r="517">
      <c r="A517" s="300"/>
    </row>
    <row r="518">
      <c r="A518" s="300"/>
    </row>
    <row r="519">
      <c r="A519" s="300"/>
    </row>
    <row r="520">
      <c r="A520" s="300"/>
    </row>
    <row r="521">
      <c r="A521" s="300"/>
    </row>
    <row r="522">
      <c r="A522" s="300"/>
    </row>
    <row r="523">
      <c r="A523" s="300"/>
    </row>
    <row r="524">
      <c r="A524" s="300"/>
    </row>
    <row r="525">
      <c r="A525" s="300"/>
    </row>
    <row r="526">
      <c r="A526" s="300"/>
    </row>
    <row r="527">
      <c r="A527" s="300"/>
    </row>
    <row r="528">
      <c r="A528" s="300"/>
    </row>
    <row r="529">
      <c r="A529" s="300"/>
    </row>
    <row r="530">
      <c r="A530" s="300"/>
    </row>
    <row r="531">
      <c r="A531" s="300"/>
    </row>
    <row r="532">
      <c r="A532" s="300"/>
    </row>
    <row r="533">
      <c r="A533" s="300"/>
    </row>
    <row r="534">
      <c r="A534" s="300"/>
    </row>
    <row r="535">
      <c r="A535" s="300"/>
    </row>
    <row r="536">
      <c r="A536" s="300"/>
    </row>
    <row r="537">
      <c r="A537" s="300"/>
    </row>
    <row r="538">
      <c r="A538" s="300"/>
    </row>
    <row r="539">
      <c r="A539" s="300"/>
    </row>
    <row r="540">
      <c r="A540" s="300"/>
    </row>
    <row r="541">
      <c r="A541" s="300"/>
    </row>
    <row r="542">
      <c r="A542" s="300"/>
    </row>
    <row r="543">
      <c r="A543" s="300"/>
    </row>
    <row r="544">
      <c r="A544" s="300"/>
    </row>
    <row r="545">
      <c r="A545" s="300"/>
    </row>
    <row r="546">
      <c r="A546" s="300"/>
    </row>
    <row r="547">
      <c r="A547" s="300"/>
    </row>
    <row r="548">
      <c r="A548" s="300"/>
    </row>
    <row r="549">
      <c r="A549" s="300"/>
    </row>
    <row r="550">
      <c r="A550" s="300"/>
    </row>
    <row r="551">
      <c r="A551" s="300"/>
    </row>
    <row r="552">
      <c r="A552" s="300"/>
    </row>
    <row r="553">
      <c r="A553" s="300"/>
    </row>
    <row r="554">
      <c r="A554" s="300"/>
    </row>
    <row r="555">
      <c r="A555" s="300"/>
    </row>
    <row r="556">
      <c r="A556" s="300"/>
    </row>
    <row r="557">
      <c r="A557" s="300"/>
    </row>
    <row r="558">
      <c r="A558" s="300"/>
    </row>
    <row r="559">
      <c r="A559" s="300"/>
    </row>
    <row r="560">
      <c r="A560" s="300"/>
    </row>
    <row r="561">
      <c r="A561" s="300"/>
    </row>
    <row r="562">
      <c r="A562" s="300"/>
    </row>
    <row r="563">
      <c r="A563" s="300"/>
    </row>
    <row r="564">
      <c r="A564" s="300"/>
    </row>
    <row r="565">
      <c r="A565" s="300"/>
    </row>
    <row r="566">
      <c r="A566" s="300"/>
    </row>
    <row r="567">
      <c r="A567" s="300"/>
    </row>
    <row r="568">
      <c r="A568" s="300"/>
    </row>
    <row r="569">
      <c r="A569" s="300"/>
    </row>
    <row r="570">
      <c r="A570" s="300"/>
    </row>
    <row r="571">
      <c r="A571" s="300"/>
    </row>
    <row r="572">
      <c r="A572" s="300"/>
    </row>
    <row r="573">
      <c r="A573" s="300"/>
    </row>
    <row r="574">
      <c r="A574" s="300"/>
    </row>
    <row r="575">
      <c r="A575" s="300"/>
    </row>
    <row r="576">
      <c r="A576" s="300"/>
    </row>
    <row r="577">
      <c r="A577" s="300"/>
    </row>
    <row r="578">
      <c r="A578" s="300"/>
    </row>
    <row r="579">
      <c r="A579" s="300"/>
    </row>
    <row r="580">
      <c r="A580" s="300"/>
    </row>
    <row r="581">
      <c r="A581" s="300"/>
    </row>
    <row r="582">
      <c r="A582" s="300"/>
    </row>
    <row r="583">
      <c r="A583" s="300"/>
    </row>
    <row r="584">
      <c r="A584" s="300"/>
    </row>
    <row r="585">
      <c r="A585" s="300"/>
    </row>
    <row r="586">
      <c r="A586" s="300"/>
    </row>
    <row r="587">
      <c r="A587" s="300"/>
    </row>
    <row r="588">
      <c r="A588" s="300"/>
    </row>
    <row r="589">
      <c r="A589" s="300"/>
    </row>
    <row r="590">
      <c r="A590" s="300"/>
    </row>
    <row r="591">
      <c r="A591" s="300"/>
    </row>
    <row r="592">
      <c r="A592" s="300"/>
    </row>
    <row r="593">
      <c r="A593" s="300"/>
    </row>
    <row r="594">
      <c r="A594" s="300"/>
    </row>
    <row r="595">
      <c r="A595" s="300"/>
    </row>
    <row r="596">
      <c r="A596" s="300"/>
    </row>
    <row r="597">
      <c r="A597" s="300"/>
    </row>
    <row r="598">
      <c r="A598" s="300"/>
    </row>
    <row r="599">
      <c r="A599" s="300"/>
    </row>
    <row r="600">
      <c r="A600" s="300"/>
    </row>
    <row r="601">
      <c r="A601" s="300"/>
    </row>
    <row r="602">
      <c r="A602" s="300"/>
    </row>
    <row r="603">
      <c r="A603" s="300"/>
    </row>
    <row r="604">
      <c r="A604" s="300"/>
    </row>
    <row r="605">
      <c r="A605" s="300"/>
    </row>
    <row r="606">
      <c r="A606" s="300"/>
    </row>
    <row r="607">
      <c r="A607" s="300"/>
    </row>
    <row r="608">
      <c r="A608" s="300"/>
    </row>
    <row r="609">
      <c r="A609" s="300"/>
    </row>
    <row r="610">
      <c r="A610" s="300"/>
    </row>
    <row r="611">
      <c r="A611" s="300"/>
    </row>
    <row r="612">
      <c r="A612" s="300"/>
    </row>
    <row r="613">
      <c r="A613" s="300"/>
    </row>
    <row r="614">
      <c r="A614" s="300"/>
    </row>
    <row r="615">
      <c r="A615" s="300"/>
    </row>
    <row r="616">
      <c r="A616" s="300"/>
    </row>
    <row r="617">
      <c r="A617" s="300"/>
    </row>
    <row r="618">
      <c r="A618" s="300"/>
    </row>
    <row r="619">
      <c r="A619" s="300"/>
    </row>
    <row r="620">
      <c r="A620" s="300"/>
    </row>
    <row r="621">
      <c r="A621" s="300"/>
    </row>
    <row r="622">
      <c r="A622" s="300"/>
    </row>
    <row r="623">
      <c r="A623" s="300"/>
    </row>
    <row r="624">
      <c r="A624" s="300"/>
    </row>
    <row r="625">
      <c r="A625" s="300"/>
    </row>
    <row r="626">
      <c r="A626" s="300"/>
    </row>
    <row r="627">
      <c r="A627" s="300"/>
    </row>
    <row r="628">
      <c r="A628" s="300"/>
    </row>
    <row r="629">
      <c r="A629" s="300"/>
    </row>
    <row r="630">
      <c r="A630" s="300"/>
    </row>
    <row r="631">
      <c r="A631" s="300"/>
    </row>
    <row r="632">
      <c r="A632" s="300"/>
    </row>
    <row r="633">
      <c r="A633" s="300"/>
    </row>
    <row r="634">
      <c r="A634" s="300"/>
    </row>
    <row r="635">
      <c r="A635" s="300"/>
    </row>
    <row r="636">
      <c r="A636" s="300"/>
    </row>
    <row r="637">
      <c r="A637" s="300"/>
    </row>
    <row r="638">
      <c r="A638" s="300"/>
    </row>
    <row r="639">
      <c r="A639" s="300"/>
    </row>
    <row r="640">
      <c r="A640" s="300"/>
    </row>
    <row r="641">
      <c r="A641" s="300"/>
    </row>
    <row r="642">
      <c r="A642" s="300"/>
    </row>
    <row r="643">
      <c r="A643" s="300"/>
    </row>
    <row r="644">
      <c r="A644" s="300"/>
    </row>
    <row r="645">
      <c r="A645" s="300"/>
    </row>
    <row r="646">
      <c r="A646" s="300"/>
    </row>
    <row r="647">
      <c r="A647" s="300"/>
    </row>
    <row r="648">
      <c r="A648" s="300"/>
    </row>
    <row r="649">
      <c r="A649" s="300"/>
    </row>
    <row r="650">
      <c r="A650" s="300"/>
    </row>
    <row r="651">
      <c r="A651" s="300"/>
    </row>
    <row r="652">
      <c r="A652" s="300"/>
    </row>
    <row r="653">
      <c r="A653" s="300"/>
    </row>
    <row r="654">
      <c r="A654" s="300"/>
    </row>
    <row r="655">
      <c r="A655" s="300"/>
    </row>
    <row r="656">
      <c r="A656" s="300"/>
    </row>
    <row r="657">
      <c r="A657" s="300"/>
    </row>
    <row r="658">
      <c r="A658" s="300"/>
    </row>
    <row r="659">
      <c r="A659" s="300"/>
    </row>
    <row r="660">
      <c r="A660" s="300"/>
    </row>
    <row r="661">
      <c r="A661" s="300"/>
    </row>
    <row r="662">
      <c r="A662" s="300"/>
    </row>
    <row r="663">
      <c r="A663" s="300"/>
    </row>
    <row r="664">
      <c r="A664" s="300"/>
    </row>
    <row r="665">
      <c r="A665" s="300"/>
    </row>
    <row r="666">
      <c r="A666" s="300"/>
    </row>
    <row r="667">
      <c r="A667" s="300"/>
    </row>
    <row r="668">
      <c r="A668" s="300"/>
    </row>
    <row r="669">
      <c r="A669" s="300"/>
    </row>
    <row r="670">
      <c r="A670" s="300"/>
    </row>
    <row r="671">
      <c r="A671" s="300"/>
    </row>
    <row r="672">
      <c r="A672" s="300"/>
    </row>
    <row r="673">
      <c r="A673" s="300"/>
    </row>
    <row r="674">
      <c r="A674" s="300"/>
    </row>
    <row r="675">
      <c r="A675" s="300"/>
    </row>
    <row r="676">
      <c r="A676" s="300"/>
    </row>
    <row r="677">
      <c r="A677" s="300"/>
    </row>
    <row r="678">
      <c r="A678" s="300"/>
    </row>
    <row r="679">
      <c r="A679" s="300"/>
    </row>
    <row r="680">
      <c r="A680" s="300"/>
    </row>
    <row r="681">
      <c r="A681" s="300"/>
    </row>
    <row r="682">
      <c r="A682" s="300"/>
    </row>
    <row r="683">
      <c r="A683" s="300"/>
    </row>
    <row r="684">
      <c r="A684" s="300"/>
    </row>
    <row r="685">
      <c r="A685" s="300"/>
    </row>
    <row r="686">
      <c r="A686" s="300"/>
    </row>
    <row r="687">
      <c r="A687" s="300"/>
    </row>
    <row r="688">
      <c r="A688" s="300"/>
    </row>
    <row r="689">
      <c r="A689" s="300"/>
    </row>
    <row r="690">
      <c r="A690" s="300"/>
    </row>
    <row r="691">
      <c r="A691" s="300"/>
    </row>
    <row r="692">
      <c r="A692" s="300"/>
    </row>
    <row r="693">
      <c r="A693" s="300"/>
    </row>
    <row r="694">
      <c r="A694" s="300"/>
    </row>
    <row r="695">
      <c r="A695" s="300"/>
    </row>
    <row r="696">
      <c r="A696" s="300"/>
    </row>
    <row r="697">
      <c r="A697" s="300"/>
    </row>
    <row r="698">
      <c r="A698" s="300"/>
    </row>
    <row r="699">
      <c r="A699" s="300"/>
    </row>
    <row r="700">
      <c r="A700" s="300"/>
    </row>
    <row r="701">
      <c r="A701" s="300"/>
    </row>
    <row r="702">
      <c r="A702" s="300"/>
    </row>
    <row r="703">
      <c r="A703" s="300"/>
    </row>
    <row r="704">
      <c r="A704" s="300"/>
    </row>
    <row r="705">
      <c r="A705" s="300"/>
    </row>
    <row r="706">
      <c r="A706" s="300"/>
    </row>
    <row r="707">
      <c r="A707" s="300"/>
    </row>
    <row r="708">
      <c r="A708" s="300"/>
    </row>
    <row r="709">
      <c r="A709" s="300"/>
    </row>
    <row r="710">
      <c r="A710" s="300"/>
    </row>
    <row r="711">
      <c r="A711" s="300"/>
    </row>
    <row r="712">
      <c r="A712" s="300"/>
    </row>
    <row r="713">
      <c r="A713" s="300"/>
    </row>
    <row r="714">
      <c r="A714" s="300"/>
    </row>
    <row r="715">
      <c r="A715" s="300"/>
    </row>
    <row r="716">
      <c r="A716" s="300"/>
    </row>
    <row r="717">
      <c r="A717" s="300"/>
    </row>
    <row r="718">
      <c r="A718" s="300"/>
    </row>
    <row r="719">
      <c r="A719" s="300"/>
    </row>
    <row r="720">
      <c r="A720" s="300"/>
    </row>
    <row r="721">
      <c r="A721" s="300"/>
    </row>
    <row r="722">
      <c r="A722" s="300"/>
    </row>
    <row r="723">
      <c r="A723" s="300"/>
    </row>
    <row r="724">
      <c r="A724" s="300"/>
    </row>
    <row r="725">
      <c r="A725" s="300"/>
    </row>
    <row r="726">
      <c r="A726" s="300"/>
    </row>
    <row r="727">
      <c r="A727" s="300"/>
    </row>
    <row r="728">
      <c r="A728" s="300"/>
    </row>
    <row r="729">
      <c r="A729" s="300"/>
    </row>
    <row r="730">
      <c r="A730" s="300"/>
    </row>
    <row r="731">
      <c r="A731" s="300"/>
    </row>
    <row r="732">
      <c r="A732" s="300"/>
    </row>
    <row r="733">
      <c r="A733" s="300"/>
    </row>
    <row r="734">
      <c r="A734" s="300"/>
    </row>
    <row r="735">
      <c r="A735" s="300"/>
    </row>
    <row r="736">
      <c r="A736" s="300"/>
    </row>
    <row r="737">
      <c r="A737" s="300"/>
    </row>
    <row r="738">
      <c r="A738" s="300"/>
    </row>
    <row r="739">
      <c r="A739" s="300"/>
    </row>
    <row r="740">
      <c r="A740" s="300"/>
    </row>
    <row r="741">
      <c r="A741" s="300"/>
    </row>
    <row r="742">
      <c r="A742" s="300"/>
    </row>
    <row r="743">
      <c r="A743" s="300"/>
    </row>
    <row r="744">
      <c r="A744" s="300"/>
    </row>
    <row r="745">
      <c r="A745" s="300"/>
    </row>
    <row r="746">
      <c r="A746" s="300"/>
    </row>
    <row r="747">
      <c r="A747" s="300"/>
    </row>
    <row r="748">
      <c r="A748" s="300"/>
    </row>
    <row r="749">
      <c r="A749" s="300"/>
    </row>
    <row r="750">
      <c r="A750" s="300"/>
    </row>
    <row r="751">
      <c r="A751" s="300"/>
    </row>
    <row r="752">
      <c r="A752" s="300"/>
    </row>
    <row r="753">
      <c r="A753" s="300"/>
    </row>
    <row r="754">
      <c r="A754" s="300"/>
    </row>
    <row r="755">
      <c r="A755" s="300"/>
    </row>
    <row r="756">
      <c r="A756" s="300"/>
    </row>
    <row r="757">
      <c r="A757" s="300"/>
    </row>
    <row r="758">
      <c r="A758" s="300"/>
    </row>
    <row r="759">
      <c r="A759" s="300"/>
    </row>
    <row r="760">
      <c r="A760" s="300"/>
    </row>
    <row r="761">
      <c r="A761" s="300"/>
    </row>
    <row r="762">
      <c r="A762" s="300"/>
    </row>
    <row r="763">
      <c r="A763" s="300"/>
    </row>
    <row r="764">
      <c r="A764" s="300"/>
    </row>
    <row r="765">
      <c r="A765" s="300"/>
    </row>
    <row r="766">
      <c r="A766" s="300"/>
    </row>
    <row r="767">
      <c r="A767" s="300"/>
    </row>
    <row r="768">
      <c r="A768" s="300"/>
    </row>
    <row r="769">
      <c r="A769" s="300"/>
    </row>
    <row r="770">
      <c r="A770" s="300"/>
    </row>
    <row r="771">
      <c r="A771" s="300"/>
    </row>
    <row r="772">
      <c r="A772" s="300"/>
    </row>
    <row r="773">
      <c r="A773" s="300"/>
    </row>
    <row r="774">
      <c r="A774" s="300"/>
    </row>
    <row r="775">
      <c r="A775" s="300"/>
    </row>
    <row r="776">
      <c r="A776" s="300"/>
    </row>
    <row r="777">
      <c r="A777" s="300"/>
    </row>
    <row r="778">
      <c r="A778" s="300"/>
    </row>
    <row r="779">
      <c r="A779" s="300"/>
    </row>
    <row r="780">
      <c r="A780" s="300"/>
    </row>
    <row r="781">
      <c r="A781" s="300"/>
    </row>
    <row r="782">
      <c r="A782" s="300"/>
    </row>
    <row r="783">
      <c r="A783" s="300"/>
    </row>
    <row r="784">
      <c r="A784" s="300"/>
    </row>
    <row r="785">
      <c r="A785" s="300"/>
    </row>
    <row r="786">
      <c r="A786" s="300"/>
    </row>
    <row r="787">
      <c r="A787" s="300"/>
    </row>
    <row r="788">
      <c r="A788" s="300"/>
    </row>
    <row r="789">
      <c r="A789" s="300"/>
    </row>
    <row r="790">
      <c r="A790" s="300"/>
    </row>
    <row r="791">
      <c r="A791" s="300"/>
    </row>
    <row r="792">
      <c r="A792" s="300"/>
    </row>
    <row r="793">
      <c r="A793" s="300"/>
    </row>
    <row r="794">
      <c r="A794" s="300"/>
    </row>
    <row r="795">
      <c r="A795" s="300"/>
    </row>
    <row r="796">
      <c r="A796" s="300"/>
    </row>
    <row r="797">
      <c r="A797" s="300"/>
    </row>
    <row r="798">
      <c r="A798" s="300"/>
    </row>
    <row r="799">
      <c r="A799" s="300"/>
    </row>
    <row r="800">
      <c r="A800" s="300"/>
    </row>
    <row r="801">
      <c r="A801" s="300"/>
    </row>
    <row r="802">
      <c r="A802" s="300"/>
    </row>
    <row r="803">
      <c r="A803" s="300"/>
    </row>
    <row r="804">
      <c r="A804" s="300"/>
    </row>
    <row r="805">
      <c r="A805" s="300"/>
    </row>
    <row r="806">
      <c r="A806" s="300"/>
    </row>
    <row r="807">
      <c r="A807" s="300"/>
    </row>
    <row r="808">
      <c r="A808" s="300"/>
    </row>
    <row r="809">
      <c r="A809" s="300"/>
    </row>
    <row r="810">
      <c r="A810" s="300"/>
    </row>
    <row r="811">
      <c r="A811" s="300"/>
    </row>
    <row r="812">
      <c r="A812" s="300"/>
    </row>
    <row r="813">
      <c r="A813" s="300"/>
    </row>
    <row r="814">
      <c r="A814" s="300"/>
    </row>
    <row r="815">
      <c r="A815" s="300"/>
    </row>
    <row r="816">
      <c r="A816" s="300"/>
    </row>
    <row r="817">
      <c r="A817" s="300"/>
    </row>
    <row r="818">
      <c r="A818" s="300"/>
    </row>
    <row r="819">
      <c r="A819" s="300"/>
    </row>
    <row r="820">
      <c r="A820" s="300"/>
    </row>
    <row r="821">
      <c r="A821" s="300"/>
    </row>
    <row r="822">
      <c r="A822" s="300"/>
    </row>
    <row r="823">
      <c r="A823" s="300"/>
    </row>
    <row r="824">
      <c r="A824" s="300"/>
    </row>
    <row r="825">
      <c r="A825" s="300"/>
    </row>
    <row r="826">
      <c r="A826" s="300"/>
    </row>
    <row r="827">
      <c r="A827" s="300"/>
    </row>
    <row r="828">
      <c r="A828" s="300"/>
    </row>
    <row r="829">
      <c r="A829" s="300"/>
    </row>
    <row r="830">
      <c r="A830" s="300"/>
    </row>
    <row r="831">
      <c r="A831" s="300"/>
    </row>
    <row r="832">
      <c r="A832" s="300"/>
    </row>
    <row r="833">
      <c r="A833" s="300"/>
    </row>
    <row r="834">
      <c r="A834" s="300"/>
    </row>
    <row r="835">
      <c r="A835" s="300"/>
    </row>
    <row r="836">
      <c r="A836" s="300"/>
    </row>
    <row r="837">
      <c r="A837" s="300"/>
    </row>
    <row r="838">
      <c r="A838" s="300"/>
    </row>
    <row r="839">
      <c r="A839" s="300"/>
    </row>
    <row r="840">
      <c r="A840" s="300"/>
    </row>
    <row r="841">
      <c r="A841" s="300"/>
    </row>
    <row r="842">
      <c r="A842" s="300"/>
    </row>
    <row r="843">
      <c r="A843" s="300"/>
    </row>
    <row r="844">
      <c r="A844" s="300"/>
    </row>
    <row r="845">
      <c r="A845" s="300"/>
    </row>
    <row r="846">
      <c r="A846" s="300"/>
    </row>
    <row r="847">
      <c r="A847" s="300"/>
    </row>
    <row r="848">
      <c r="A848" s="300"/>
    </row>
    <row r="849">
      <c r="A849" s="300"/>
    </row>
    <row r="850">
      <c r="A850" s="300"/>
    </row>
    <row r="851">
      <c r="A851" s="300"/>
    </row>
    <row r="852">
      <c r="A852" s="300"/>
    </row>
    <row r="853">
      <c r="A853" s="300"/>
    </row>
    <row r="854">
      <c r="A854" s="300"/>
    </row>
    <row r="855">
      <c r="A855" s="300"/>
    </row>
    <row r="856">
      <c r="A856" s="300"/>
    </row>
    <row r="857">
      <c r="A857" s="300"/>
    </row>
    <row r="858">
      <c r="A858" s="300"/>
    </row>
    <row r="859">
      <c r="A859" s="300"/>
    </row>
    <row r="860">
      <c r="A860" s="300"/>
    </row>
    <row r="861">
      <c r="A861" s="300"/>
    </row>
    <row r="862">
      <c r="A862" s="300"/>
    </row>
    <row r="863">
      <c r="A863" s="300"/>
    </row>
    <row r="864">
      <c r="A864" s="300"/>
    </row>
    <row r="865">
      <c r="A865" s="300"/>
    </row>
    <row r="866">
      <c r="A866" s="300"/>
    </row>
    <row r="867">
      <c r="A867" s="300"/>
    </row>
    <row r="868">
      <c r="A868" s="300"/>
    </row>
    <row r="869">
      <c r="A869" s="300"/>
    </row>
    <row r="870">
      <c r="A870" s="300"/>
    </row>
    <row r="871">
      <c r="A871" s="300"/>
    </row>
    <row r="872">
      <c r="A872" s="300"/>
    </row>
    <row r="873">
      <c r="A873" s="300"/>
    </row>
    <row r="874">
      <c r="A874" s="300"/>
    </row>
    <row r="875">
      <c r="A875" s="300"/>
    </row>
    <row r="876">
      <c r="A876" s="300"/>
    </row>
    <row r="877">
      <c r="A877" s="300"/>
    </row>
    <row r="878">
      <c r="A878" s="300"/>
    </row>
    <row r="879">
      <c r="A879" s="300"/>
    </row>
    <row r="880">
      <c r="A880" s="300"/>
    </row>
    <row r="881">
      <c r="A881" s="300"/>
    </row>
    <row r="882">
      <c r="A882" s="300"/>
    </row>
    <row r="883">
      <c r="A883" s="300"/>
    </row>
    <row r="884">
      <c r="A884" s="300"/>
    </row>
    <row r="885">
      <c r="A885" s="300"/>
    </row>
    <row r="886">
      <c r="A886" s="300"/>
    </row>
    <row r="887">
      <c r="A887" s="300"/>
    </row>
    <row r="888">
      <c r="A888" s="300"/>
    </row>
    <row r="889">
      <c r="A889" s="300"/>
    </row>
    <row r="890">
      <c r="A890" s="300"/>
    </row>
    <row r="891">
      <c r="A891" s="300"/>
    </row>
    <row r="892">
      <c r="A892" s="300"/>
    </row>
    <row r="893">
      <c r="A893" s="300"/>
    </row>
    <row r="894">
      <c r="A894" s="300"/>
    </row>
    <row r="895">
      <c r="A895" s="300"/>
    </row>
    <row r="896">
      <c r="A896" s="300"/>
    </row>
    <row r="897">
      <c r="A897" s="300"/>
    </row>
    <row r="898">
      <c r="A898" s="300"/>
    </row>
    <row r="899">
      <c r="A899" s="300"/>
    </row>
    <row r="900">
      <c r="A900" s="300"/>
    </row>
    <row r="901">
      <c r="A901" s="300"/>
    </row>
    <row r="902">
      <c r="A902" s="300"/>
    </row>
    <row r="903">
      <c r="A903" s="300"/>
    </row>
    <row r="904">
      <c r="A904" s="300"/>
    </row>
    <row r="905">
      <c r="A905" s="300"/>
    </row>
    <row r="906">
      <c r="A906" s="300"/>
    </row>
    <row r="907">
      <c r="A907" s="300"/>
    </row>
    <row r="908">
      <c r="A908" s="300"/>
    </row>
    <row r="909">
      <c r="A909" s="300"/>
    </row>
    <row r="910">
      <c r="A910" s="300"/>
    </row>
    <row r="911">
      <c r="A911" s="300"/>
    </row>
    <row r="912">
      <c r="A912" s="300"/>
    </row>
    <row r="913">
      <c r="A913" s="300"/>
    </row>
    <row r="914">
      <c r="A914" s="300"/>
    </row>
    <row r="915">
      <c r="A915" s="300"/>
    </row>
    <row r="916">
      <c r="A916" s="300"/>
    </row>
    <row r="917">
      <c r="A917" s="300"/>
    </row>
    <row r="918">
      <c r="A918" s="300"/>
    </row>
    <row r="919">
      <c r="A919" s="300"/>
    </row>
    <row r="920">
      <c r="A920" s="300"/>
    </row>
    <row r="921">
      <c r="A921" s="300"/>
    </row>
    <row r="922">
      <c r="A922" s="300"/>
    </row>
    <row r="923">
      <c r="A923" s="300"/>
    </row>
    <row r="924">
      <c r="A924" s="300"/>
    </row>
    <row r="925">
      <c r="A925" s="300"/>
    </row>
    <row r="926">
      <c r="A926" s="300"/>
    </row>
    <row r="927">
      <c r="A927" s="300"/>
    </row>
    <row r="928">
      <c r="A928" s="300"/>
    </row>
    <row r="929">
      <c r="A929" s="300"/>
    </row>
    <row r="930">
      <c r="A930" s="300"/>
    </row>
    <row r="931">
      <c r="A931" s="300"/>
    </row>
    <row r="932">
      <c r="A932" s="300"/>
    </row>
    <row r="933">
      <c r="A933" s="300"/>
    </row>
    <row r="934">
      <c r="A934" s="300"/>
    </row>
    <row r="935">
      <c r="A935" s="300"/>
    </row>
    <row r="936">
      <c r="A936" s="300"/>
    </row>
    <row r="937">
      <c r="A937" s="300"/>
    </row>
    <row r="938">
      <c r="A938" s="300"/>
    </row>
    <row r="939">
      <c r="A939" s="300"/>
    </row>
    <row r="940">
      <c r="A940" s="300"/>
    </row>
    <row r="941">
      <c r="A941" s="300"/>
    </row>
    <row r="942">
      <c r="A942" s="300"/>
    </row>
    <row r="943">
      <c r="A943" s="300"/>
    </row>
    <row r="944">
      <c r="A944" s="300"/>
    </row>
    <row r="945">
      <c r="A945" s="300"/>
    </row>
    <row r="946">
      <c r="A946" s="300"/>
    </row>
    <row r="947">
      <c r="A947" s="300"/>
    </row>
    <row r="948">
      <c r="A948" s="300"/>
    </row>
    <row r="949">
      <c r="A949" s="300"/>
    </row>
    <row r="950">
      <c r="A950" s="300"/>
    </row>
    <row r="951">
      <c r="A951" s="300"/>
    </row>
    <row r="952">
      <c r="A952" s="300"/>
    </row>
    <row r="953">
      <c r="A953" s="300"/>
    </row>
    <row r="954">
      <c r="A954" s="300"/>
    </row>
    <row r="955">
      <c r="A955" s="300"/>
    </row>
    <row r="956">
      <c r="A956" s="300"/>
    </row>
    <row r="957">
      <c r="A957" s="300"/>
    </row>
    <row r="958">
      <c r="A958" s="300"/>
    </row>
    <row r="959">
      <c r="A959" s="300"/>
    </row>
    <row r="960">
      <c r="A960" s="300"/>
    </row>
    <row r="961">
      <c r="A961" s="300"/>
    </row>
    <row r="962">
      <c r="A962" s="300"/>
    </row>
    <row r="963">
      <c r="A963" s="300"/>
    </row>
    <row r="964">
      <c r="A964" s="300"/>
    </row>
    <row r="965">
      <c r="A965" s="300"/>
    </row>
    <row r="966">
      <c r="A966" s="300"/>
    </row>
    <row r="967">
      <c r="A967" s="300"/>
    </row>
    <row r="968">
      <c r="A968" s="300"/>
    </row>
    <row r="969">
      <c r="A969" s="300"/>
    </row>
    <row r="970">
      <c r="A970" s="300"/>
    </row>
    <row r="971">
      <c r="A971" s="300"/>
    </row>
    <row r="972">
      <c r="A972" s="300"/>
    </row>
    <row r="973">
      <c r="A973" s="300"/>
    </row>
    <row r="974">
      <c r="A974" s="300"/>
    </row>
    <row r="975">
      <c r="A975" s="300"/>
    </row>
    <row r="976">
      <c r="A976" s="300"/>
    </row>
    <row r="977">
      <c r="A977" s="300"/>
    </row>
    <row r="978">
      <c r="A978" s="300"/>
    </row>
    <row r="979">
      <c r="A979" s="300"/>
    </row>
    <row r="980">
      <c r="A980" s="300"/>
    </row>
    <row r="981">
      <c r="A981" s="300"/>
    </row>
    <row r="982">
      <c r="A982" s="300"/>
    </row>
    <row r="983">
      <c r="A983" s="300"/>
    </row>
    <row r="984">
      <c r="A984" s="300"/>
    </row>
    <row r="985">
      <c r="A985" s="300"/>
    </row>
    <row r="986">
      <c r="A986" s="300"/>
    </row>
    <row r="987">
      <c r="A987" s="300"/>
    </row>
    <row r="988">
      <c r="A988" s="300"/>
    </row>
    <row r="989">
      <c r="A989" s="300"/>
    </row>
    <row r="990">
      <c r="A990" s="300"/>
    </row>
    <row r="991">
      <c r="A991" s="300"/>
    </row>
    <row r="992">
      <c r="A992" s="300"/>
    </row>
    <row r="993">
      <c r="A993" s="300"/>
    </row>
    <row r="994">
      <c r="A994" s="300"/>
    </row>
    <row r="995">
      <c r="A995" s="300"/>
    </row>
    <row r="996">
      <c r="A996" s="300"/>
    </row>
    <row r="997">
      <c r="A997" s="300"/>
    </row>
    <row r="998">
      <c r="A998" s="300"/>
    </row>
    <row r="999">
      <c r="A999" s="300"/>
    </row>
    <row r="1000">
      <c r="A1000" s="300"/>
    </row>
    <row r="1001">
      <c r="A1001" s="300"/>
    </row>
    <row r="1002">
      <c r="A1002" s="300"/>
    </row>
    <row r="1003">
      <c r="A1003" s="300"/>
    </row>
  </sheetData>
  <mergeCells count="4">
    <mergeCell ref="A1:O1"/>
    <mergeCell ref="B2:E2"/>
    <mergeCell ref="F2:K2"/>
    <mergeCell ref="L2:O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25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253"/>
      <c r="B2" s="25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260" t="s">
        <v>754</v>
      </c>
      <c r="B3" s="232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266" t="s">
        <v>570</v>
      </c>
      <c r="B4" s="235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260" t="s">
        <v>397</v>
      </c>
      <c r="B5" s="235" t="s">
        <v>402</v>
      </c>
      <c r="C5" s="271">
        <f>'15th-18thMAY'!E5</f>
        <v>13</v>
      </c>
      <c r="D5" s="272">
        <v>28.0</v>
      </c>
      <c r="E5" s="273">
        <v>26.0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45</v>
      </c>
      <c r="N5" s="268"/>
      <c r="O5" s="269"/>
    </row>
    <row r="6">
      <c r="A6" s="260" t="s">
        <v>401</v>
      </c>
      <c r="B6" s="235" t="s">
        <v>402</v>
      </c>
      <c r="C6" s="271">
        <f>'15th-18thMAY'!E6</f>
        <v>6</v>
      </c>
      <c r="D6" s="272">
        <v>6.0</v>
      </c>
      <c r="E6" s="273">
        <v>7.0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10</v>
      </c>
      <c r="N6" s="268"/>
      <c r="O6" s="269"/>
    </row>
    <row r="7">
      <c r="A7" s="260" t="s">
        <v>404</v>
      </c>
      <c r="B7" s="235" t="s">
        <v>402</v>
      </c>
      <c r="C7" s="271">
        <f>'15th-18thMAY'!E7</f>
        <v>11</v>
      </c>
      <c r="D7" s="272"/>
      <c r="E7" s="273">
        <v>4.0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35</v>
      </c>
      <c r="N7" s="268"/>
      <c r="O7" s="269"/>
    </row>
    <row r="8">
      <c r="A8" s="260" t="s">
        <v>406</v>
      </c>
      <c r="B8" s="235" t="s">
        <v>402</v>
      </c>
      <c r="C8" s="271">
        <f>'15th-18thMAY'!E8</f>
        <v>1</v>
      </c>
      <c r="D8" s="272">
        <v>22.0</v>
      </c>
      <c r="E8" s="273">
        <v>13.0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10</v>
      </c>
      <c r="N8" s="268"/>
      <c r="O8" s="269"/>
    </row>
    <row r="9">
      <c r="A9" s="260" t="s">
        <v>409</v>
      </c>
      <c r="B9" s="235" t="s">
        <v>402</v>
      </c>
      <c r="C9" s="271" t="str">
        <f>'15th-18thMAY'!E9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260" t="s">
        <v>411</v>
      </c>
      <c r="B10" s="235" t="s">
        <v>402</v>
      </c>
      <c r="C10" s="271">
        <f>'15th-18thMAY'!E10</f>
        <v>5</v>
      </c>
      <c r="D10" s="268"/>
      <c r="E10" s="273">
        <v>3.0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16</v>
      </c>
      <c r="N10" s="268"/>
      <c r="O10" s="269"/>
    </row>
    <row r="11">
      <c r="A11" s="260" t="s">
        <v>413</v>
      </c>
      <c r="B11" s="235" t="s">
        <v>402</v>
      </c>
      <c r="C11" s="271">
        <f>'15th-18thMAY'!E11</f>
        <v>7</v>
      </c>
      <c r="D11" s="272">
        <v>45.0</v>
      </c>
      <c r="E11" s="273">
        <v>17.0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35</v>
      </c>
      <c r="N11" s="268"/>
      <c r="O11" s="269"/>
    </row>
    <row r="12">
      <c r="A12" s="260" t="s">
        <v>414</v>
      </c>
      <c r="B12" s="235" t="s">
        <v>402</v>
      </c>
      <c r="C12" s="271" t="str">
        <f>'15th-18thMAY'!E12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260" t="s">
        <v>416</v>
      </c>
      <c r="B13" s="235" t="s">
        <v>402</v>
      </c>
      <c r="C13" s="271">
        <f>'15th-18thMAY'!E13</f>
        <v>3</v>
      </c>
      <c r="D13" s="272">
        <v>18.0</v>
      </c>
      <c r="E13" s="273">
        <v>11.0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90</v>
      </c>
      <c r="N13" s="268"/>
      <c r="O13" s="269"/>
    </row>
    <row r="14">
      <c r="A14" s="260" t="s">
        <v>418</v>
      </c>
      <c r="B14" s="235" t="s">
        <v>402</v>
      </c>
      <c r="C14" s="271">
        <f>'15th-18thMAY'!E14</f>
        <v>13</v>
      </c>
      <c r="D14" s="272">
        <v>20.0</v>
      </c>
      <c r="E14" s="273">
        <v>16.0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17</v>
      </c>
      <c r="N14" s="268"/>
      <c r="O14" s="269"/>
    </row>
    <row r="15">
      <c r="A15" s="260" t="s">
        <v>420</v>
      </c>
      <c r="B15" s="235" t="s">
        <v>402</v>
      </c>
      <c r="C15" s="271">
        <f>'15th-18thMAY'!E15</f>
        <v>3.5</v>
      </c>
      <c r="D15" s="268"/>
      <c r="E15" s="273">
        <v>1.5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8</v>
      </c>
      <c r="N15" s="268"/>
      <c r="O15" s="269"/>
    </row>
    <row r="16">
      <c r="A16" s="260" t="s">
        <v>422</v>
      </c>
      <c r="B16" s="235" t="s">
        <v>402</v>
      </c>
      <c r="C16" s="271">
        <f>'15th-18thMAY'!E16</f>
        <v>6</v>
      </c>
      <c r="D16" s="272">
        <v>6.0</v>
      </c>
      <c r="E16" s="273">
        <v>9.0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12</v>
      </c>
      <c r="N16" s="268"/>
      <c r="O16" s="269"/>
    </row>
    <row r="17">
      <c r="A17" s="260" t="s">
        <v>423</v>
      </c>
      <c r="B17" s="235" t="s">
        <v>402</v>
      </c>
      <c r="C17" s="271">
        <f>'15th-18thMAY'!E17</f>
        <v>1</v>
      </c>
      <c r="D17" s="272">
        <v>24.0</v>
      </c>
      <c r="E17" s="273">
        <v>11.0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28</v>
      </c>
      <c r="N17" s="268"/>
      <c r="O17" s="269"/>
    </row>
    <row r="18">
      <c r="A18" s="260" t="s">
        <v>425</v>
      </c>
      <c r="B18" s="235" t="s">
        <v>402</v>
      </c>
      <c r="C18" s="271">
        <f>'15th-18thMAY'!E18</f>
        <v>5</v>
      </c>
      <c r="D18" s="272">
        <v>6.0</v>
      </c>
      <c r="E18" s="273">
        <v>5.0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12</v>
      </c>
      <c r="N18" s="268"/>
      <c r="O18" s="269"/>
    </row>
    <row r="19">
      <c r="A19" s="260" t="s">
        <v>426</v>
      </c>
      <c r="B19" s="235" t="s">
        <v>402</v>
      </c>
      <c r="C19" s="271">
        <f>'15th-18thMAY'!E19</f>
        <v>3</v>
      </c>
      <c r="D19" s="272">
        <v>3.0</v>
      </c>
      <c r="E19" s="273">
        <v>2.0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4</v>
      </c>
      <c r="N19" s="268"/>
      <c r="O19" s="269"/>
    </row>
    <row r="20">
      <c r="A20" s="260" t="s">
        <v>428</v>
      </c>
      <c r="B20" s="235" t="s">
        <v>402</v>
      </c>
      <c r="C20" s="271">
        <f>'15th-18thMAY'!E20</f>
        <v>5</v>
      </c>
      <c r="D20" s="268"/>
      <c r="E20" s="273">
        <v>5.0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0</v>
      </c>
      <c r="N20" s="268"/>
      <c r="O20" s="269"/>
    </row>
    <row r="21">
      <c r="A21" s="260" t="s">
        <v>429</v>
      </c>
      <c r="B21" s="235" t="s">
        <v>402</v>
      </c>
      <c r="C21" s="271">
        <f>'15th-18thMAY'!E21</f>
        <v>7</v>
      </c>
      <c r="D21" s="272"/>
      <c r="E21" s="273">
        <v>5.0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8</v>
      </c>
      <c r="N21" s="268"/>
      <c r="O21" s="269"/>
    </row>
    <row r="22">
      <c r="A22" s="260" t="s">
        <v>431</v>
      </c>
      <c r="B22" s="235" t="s">
        <v>402</v>
      </c>
      <c r="C22" s="271" t="str">
        <f>'15th-18thMAY'!E22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60" t="s">
        <v>432</v>
      </c>
      <c r="B23" s="235" t="s">
        <v>402</v>
      </c>
      <c r="C23" s="271">
        <f>'15th-18thMAY'!E23</f>
        <v>1</v>
      </c>
      <c r="D23" s="272">
        <v>7.0</v>
      </c>
      <c r="E23" s="273">
        <v>7.5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1</v>
      </c>
      <c r="N23" s="268"/>
      <c r="O23" s="269"/>
    </row>
    <row r="24">
      <c r="A24" s="260" t="s">
        <v>433</v>
      </c>
      <c r="B24" s="235" t="s">
        <v>402</v>
      </c>
      <c r="C24" s="271">
        <f>'15th-18thMAY'!E24</f>
        <v>8</v>
      </c>
      <c r="D24" s="272">
        <v>24.0</v>
      </c>
      <c r="E24" s="273">
        <v>8.0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24</v>
      </c>
      <c r="N24" s="268"/>
      <c r="O24" s="269"/>
    </row>
    <row r="25">
      <c r="A25" s="260" t="s">
        <v>435</v>
      </c>
      <c r="B25" s="235" t="s">
        <v>402</v>
      </c>
      <c r="C25" s="271">
        <f>'15th-18thMAY'!E25</f>
        <v>4</v>
      </c>
      <c r="D25" s="272">
        <v>10.0</v>
      </c>
      <c r="E25" s="273">
        <v>10.0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4</v>
      </c>
      <c r="N25" s="268"/>
      <c r="O25" s="269"/>
    </row>
    <row r="26">
      <c r="A26" s="260" t="s">
        <v>438</v>
      </c>
      <c r="B26" s="235" t="s">
        <v>402</v>
      </c>
      <c r="C26" s="271">
        <f>'15th-18thMAY'!E26</f>
        <v>6</v>
      </c>
      <c r="D26" s="268"/>
      <c r="E26" s="273">
        <v>4.0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2</v>
      </c>
      <c r="N26" s="268"/>
      <c r="O26" s="269"/>
    </row>
    <row r="27">
      <c r="A27" s="260" t="s">
        <v>439</v>
      </c>
      <c r="B27" s="235" t="s">
        <v>402</v>
      </c>
      <c r="C27" s="271" t="str">
        <f>'15th-18thMAY'!E27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260" t="s">
        <v>440</v>
      </c>
      <c r="B28" s="235" t="s">
        <v>402</v>
      </c>
      <c r="C28" s="271" t="str">
        <f>'15th-18thMAY'!E28</f>
        <v/>
      </c>
      <c r="D28" s="272">
        <v>17.0</v>
      </c>
      <c r="E28" s="273">
        <v>8.0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9</v>
      </c>
      <c r="N28" s="268"/>
      <c r="O28" s="269"/>
    </row>
    <row r="29">
      <c r="A29" s="260" t="s">
        <v>441</v>
      </c>
      <c r="B29" s="235" t="s">
        <v>402</v>
      </c>
      <c r="C29" s="271">
        <f>'15th-18thMAY'!E29</f>
        <v>5</v>
      </c>
      <c r="D29" s="272">
        <v>11.0</v>
      </c>
      <c r="E29" s="273">
        <v>8.5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15</v>
      </c>
      <c r="N29" s="268"/>
      <c r="O29" s="269"/>
    </row>
    <row r="30">
      <c r="A30" s="260" t="s">
        <v>442</v>
      </c>
      <c r="B30" s="235" t="s">
        <v>402</v>
      </c>
      <c r="C30" s="271" t="str">
        <f>'15th-18thMAY'!E30</f>
        <v/>
      </c>
      <c r="D30" s="272">
        <v>8.0</v>
      </c>
      <c r="E30" s="273">
        <v>5.0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3</v>
      </c>
      <c r="N30" s="268"/>
      <c r="O30" s="269"/>
    </row>
    <row r="31">
      <c r="A31" s="260" t="s">
        <v>444</v>
      </c>
      <c r="B31" s="235" t="s">
        <v>402</v>
      </c>
      <c r="C31" s="271">
        <f>'15th-18thMAY'!E31</f>
        <v>5</v>
      </c>
      <c r="D31" s="268"/>
      <c r="E31" s="273">
        <v>2.0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3</v>
      </c>
      <c r="N31" s="268"/>
      <c r="O31" s="269"/>
    </row>
    <row r="32">
      <c r="A32" s="260" t="s">
        <v>445</v>
      </c>
      <c r="B32" s="235" t="s">
        <v>402</v>
      </c>
      <c r="C32" s="271">
        <f>'15th-18thMAY'!E32</f>
        <v>4</v>
      </c>
      <c r="D32" s="268"/>
      <c r="E32" s="273">
        <v>3.0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4</v>
      </c>
      <c r="N32" s="268"/>
      <c r="O32" s="269"/>
    </row>
    <row r="33">
      <c r="A33" s="260" t="s">
        <v>446</v>
      </c>
      <c r="B33" s="235" t="s">
        <v>402</v>
      </c>
      <c r="C33" s="271">
        <f>'15th-18thMAY'!E33</f>
        <v>1</v>
      </c>
      <c r="D33" s="268"/>
      <c r="E33" s="273"/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1</v>
      </c>
      <c r="N33" s="268"/>
      <c r="O33" s="269"/>
    </row>
    <row r="34">
      <c r="A34" s="260" t="s">
        <v>447</v>
      </c>
      <c r="B34" s="235" t="s">
        <v>402</v>
      </c>
      <c r="C34" s="271">
        <f>'15th-18thMAY'!E34</f>
        <v>7</v>
      </c>
      <c r="D34" s="272"/>
      <c r="E34" s="273">
        <v>5.0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2</v>
      </c>
      <c r="N34" s="268"/>
      <c r="O34" s="269"/>
    </row>
    <row r="35">
      <c r="A35" s="260" t="s">
        <v>449</v>
      </c>
      <c r="B35" s="235" t="s">
        <v>402</v>
      </c>
      <c r="C35" s="271">
        <f>'15th-18thMAY'!E35</f>
        <v>2</v>
      </c>
      <c r="D35" s="272"/>
      <c r="E35" s="273">
        <v>1.0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1</v>
      </c>
      <c r="N35" s="268"/>
      <c r="O35" s="269"/>
    </row>
    <row r="36">
      <c r="A36" s="260" t="s">
        <v>451</v>
      </c>
      <c r="B36" s="235" t="s">
        <v>402</v>
      </c>
      <c r="C36" s="271">
        <f>'15th-18thMAY'!E36</f>
        <v>4</v>
      </c>
      <c r="D36" s="272">
        <v>17.0</v>
      </c>
      <c r="E36" s="273">
        <v>10.0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22</v>
      </c>
      <c r="N36" s="268"/>
      <c r="O36" s="269"/>
    </row>
    <row r="37">
      <c r="A37" s="275" t="s">
        <v>452</v>
      </c>
      <c r="B37" s="235" t="s">
        <v>402</v>
      </c>
      <c r="C37" s="271">
        <f>'15th-18thMAY'!E37</f>
        <v>4</v>
      </c>
      <c r="D37" s="272">
        <v>10.0</v>
      </c>
      <c r="E37" s="273">
        <v>14.0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0</v>
      </c>
      <c r="N37" s="268"/>
      <c r="O37" s="269"/>
    </row>
    <row r="38">
      <c r="A38" s="275" t="s">
        <v>454</v>
      </c>
      <c r="B38" s="235" t="s">
        <v>402</v>
      </c>
      <c r="C38" s="271">
        <f>'15th-18thMAY'!E38</f>
        <v>2</v>
      </c>
      <c r="D38" s="268"/>
      <c r="E38" s="273">
        <v>1.0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4</v>
      </c>
      <c r="N38" s="268"/>
      <c r="O38" s="269"/>
    </row>
    <row r="39">
      <c r="A39" s="276" t="s">
        <v>455</v>
      </c>
      <c r="B39" s="235" t="s">
        <v>402</v>
      </c>
      <c r="C39" s="271">
        <f>'15th-18thMAY'!E39</f>
        <v>5</v>
      </c>
      <c r="D39" s="268"/>
      <c r="E39" s="273">
        <v>1.0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16</v>
      </c>
      <c r="N39" s="268"/>
      <c r="O39" s="269"/>
    </row>
    <row r="40">
      <c r="A40" s="276" t="s">
        <v>456</v>
      </c>
      <c r="B40" s="235" t="s">
        <v>402</v>
      </c>
      <c r="C40" s="271">
        <f>'15th-18thMAY'!E40</f>
        <v>6</v>
      </c>
      <c r="D40" s="272">
        <v>8.0</v>
      </c>
      <c r="E40" s="273">
        <v>3.0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11</v>
      </c>
      <c r="N40" s="268"/>
      <c r="O40" s="269"/>
    </row>
    <row r="41">
      <c r="A41" s="276" t="s">
        <v>457</v>
      </c>
      <c r="B41" s="235" t="s">
        <v>402</v>
      </c>
      <c r="C41" s="271" t="str">
        <f>'15th-18thMAY'!E41</f>
        <v/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277" t="s">
        <v>762</v>
      </c>
      <c r="B42" s="235"/>
      <c r="C42" s="271" t="str">
        <f>'15th-18thMAY'!E42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'15th-18thMAY'!E43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'15th-18thMAY'!E44</f>
        <v/>
      </c>
      <c r="D44" s="227">
        <v>3.0</v>
      </c>
      <c r="E44" s="280"/>
      <c r="F44" s="235" t="s">
        <v>14</v>
      </c>
      <c r="G44" s="235"/>
      <c r="H44" s="272">
        <f>'15th-18thMAY'!J44</f>
        <v>0.25</v>
      </c>
      <c r="I44" s="281">
        <v>1.0</v>
      </c>
      <c r="J44" s="282">
        <v>2.25</v>
      </c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1</v>
      </c>
      <c r="N44" s="191"/>
      <c r="O44" s="247"/>
    </row>
    <row r="45">
      <c r="A45" s="12" t="s">
        <v>16</v>
      </c>
      <c r="B45" s="13" t="s">
        <v>17</v>
      </c>
      <c r="C45" s="271" t="str">
        <f>'15th-18thMAY'!E45</f>
        <v/>
      </c>
      <c r="D45" s="227">
        <v>18.0</v>
      </c>
      <c r="E45" s="280"/>
      <c r="F45" s="235" t="s">
        <v>17</v>
      </c>
      <c r="G45" s="235"/>
      <c r="H45" s="272">
        <f>'15th-18thMAY'!J45</f>
        <v>3</v>
      </c>
      <c r="I45" s="281">
        <v>1.0</v>
      </c>
      <c r="J45" s="282">
        <v>11.0</v>
      </c>
      <c r="K45" s="283"/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10</v>
      </c>
      <c r="N45" s="191"/>
      <c r="O45" s="247"/>
    </row>
    <row r="46">
      <c r="A46" s="15" t="s">
        <v>19</v>
      </c>
      <c r="B46" s="13" t="s">
        <v>17</v>
      </c>
      <c r="C46" s="271" t="str">
        <f>'15th-18thMAY'!E46</f>
        <v/>
      </c>
      <c r="D46" s="227"/>
      <c r="E46" s="280"/>
      <c r="F46" s="235" t="s">
        <v>17</v>
      </c>
      <c r="G46" s="235"/>
      <c r="H46" s="272">
        <f>'15th-18thMAY'!J46</f>
        <v>9</v>
      </c>
      <c r="I46" s="281">
        <v>1.0</v>
      </c>
      <c r="J46" s="282">
        <v>3.0</v>
      </c>
      <c r="K46" s="283"/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6</v>
      </c>
      <c r="N46" s="191"/>
      <c r="O46" s="247"/>
    </row>
    <row r="47">
      <c r="A47" s="12" t="s">
        <v>20</v>
      </c>
      <c r="B47" s="13" t="s">
        <v>17</v>
      </c>
      <c r="C47" s="271" t="str">
        <f>'15th-18thMAY'!E47</f>
        <v/>
      </c>
      <c r="D47" s="227">
        <v>11.0</v>
      </c>
      <c r="E47" s="280"/>
      <c r="F47" s="235" t="s">
        <v>17</v>
      </c>
      <c r="G47" s="235"/>
      <c r="H47" s="272">
        <f>'15th-18thMAY'!J47</f>
        <v>3</v>
      </c>
      <c r="I47" s="281">
        <v>1.0</v>
      </c>
      <c r="J47" s="282">
        <v>3.0</v>
      </c>
      <c r="K47" s="283"/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11</v>
      </c>
      <c r="N47" s="191"/>
      <c r="O47" s="247"/>
    </row>
    <row r="48">
      <c r="A48" s="12" t="s">
        <v>21</v>
      </c>
      <c r="B48" s="13" t="s">
        <v>17</v>
      </c>
      <c r="C48" s="271" t="str">
        <f>'15th-18thMAY'!E48</f>
        <v/>
      </c>
      <c r="D48" s="227">
        <v>5.0</v>
      </c>
      <c r="E48" s="280"/>
      <c r="F48" s="235" t="s">
        <v>17</v>
      </c>
      <c r="G48" s="235"/>
      <c r="H48" s="272">
        <f>'15th-18thMAY'!J48</f>
        <v>3</v>
      </c>
      <c r="I48" s="281">
        <v>1.0</v>
      </c>
      <c r="J48" s="282">
        <v>4.0</v>
      </c>
      <c r="K48" s="283"/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4</v>
      </c>
      <c r="N48" s="191"/>
      <c r="O48" s="247"/>
    </row>
    <row r="49">
      <c r="A49" s="12" t="s">
        <v>22</v>
      </c>
      <c r="B49" s="13" t="s">
        <v>17</v>
      </c>
      <c r="C49" s="271" t="str">
        <f>'15th-18thMAY'!E49</f>
        <v/>
      </c>
      <c r="D49" s="191"/>
      <c r="E49" s="247"/>
      <c r="F49" s="235" t="s">
        <v>17</v>
      </c>
      <c r="G49" s="235"/>
      <c r="H49" s="272" t="str">
        <f>'15th-18thMAY'!J49</f>
        <v/>
      </c>
      <c r="I49" s="281">
        <v>1.0</v>
      </c>
      <c r="J49" s="284"/>
      <c r="K49" s="283"/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'15th-18thMAY'!E50</f>
        <v/>
      </c>
      <c r="D50" s="227">
        <v>1.0</v>
      </c>
      <c r="E50" s="247"/>
      <c r="F50" s="235" t="s">
        <v>25</v>
      </c>
      <c r="G50" s="235"/>
      <c r="H50" s="272">
        <f>'15th-18thMAY'!J50</f>
        <v>0.395</v>
      </c>
      <c r="I50" s="281">
        <v>1.0</v>
      </c>
      <c r="J50" s="282">
        <v>0.497</v>
      </c>
      <c r="K50" s="283"/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0.598</v>
      </c>
      <c r="N50" s="191"/>
      <c r="O50" s="247"/>
    </row>
    <row r="51">
      <c r="A51" s="12" t="s">
        <v>27</v>
      </c>
      <c r="B51" s="12" t="s">
        <v>24</v>
      </c>
      <c r="C51" s="271" t="str">
        <f>'15th-18thMAY'!E51</f>
        <v/>
      </c>
      <c r="D51" s="191"/>
      <c r="E51" s="247"/>
      <c r="F51" s="235" t="s">
        <v>24</v>
      </c>
      <c r="G51" s="235"/>
      <c r="H51" s="272" t="str">
        <f>'15th-18thMAY'!J51</f>
        <v/>
      </c>
      <c r="I51" s="281">
        <v>1.0</v>
      </c>
      <c r="J51" s="284"/>
      <c r="K51" s="283"/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'15th-18thMAY'!E52</f>
        <v/>
      </c>
      <c r="D52" s="227">
        <v>1.0</v>
      </c>
      <c r="E52" s="280"/>
      <c r="F52" s="235" t="s">
        <v>14</v>
      </c>
      <c r="G52" s="285">
        <v>0.015</v>
      </c>
      <c r="H52" s="272" t="str">
        <f>'15th-18thMAY'!J52</f>
        <v/>
      </c>
      <c r="I52" s="281">
        <v>1.0</v>
      </c>
      <c r="J52" s="282">
        <v>0.488</v>
      </c>
      <c r="K52" s="283"/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286" t="s">
        <v>30</v>
      </c>
      <c r="B53" s="12" t="s">
        <v>24</v>
      </c>
      <c r="C53" s="271" t="str">
        <f>'15th-18thMAY'!E53</f>
        <v/>
      </c>
      <c r="D53" s="227">
        <v>1.0</v>
      </c>
      <c r="E53" s="280"/>
      <c r="F53" s="235" t="s">
        <v>35</v>
      </c>
      <c r="G53" s="285">
        <v>0.233</v>
      </c>
      <c r="H53" s="272" t="str">
        <f>'15th-18thMAY'!J53</f>
        <v/>
      </c>
      <c r="I53" s="281">
        <v>1.0</v>
      </c>
      <c r="J53" s="282">
        <v>0.733</v>
      </c>
      <c r="K53" s="283"/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</v>
      </c>
      <c r="N53" s="191"/>
      <c r="O53" s="247"/>
    </row>
    <row r="54">
      <c r="A54" s="12" t="s">
        <v>33</v>
      </c>
      <c r="B54" s="12" t="s">
        <v>34</v>
      </c>
      <c r="C54" s="271" t="str">
        <f>'15th-18thMAY'!E54</f>
        <v/>
      </c>
      <c r="D54" s="227">
        <v>2.0</v>
      </c>
      <c r="E54" s="247"/>
      <c r="F54" s="235" t="s">
        <v>35</v>
      </c>
      <c r="G54" s="235"/>
      <c r="H54" s="272">
        <f>'15th-18thMAY'!J54</f>
        <v>0.235</v>
      </c>
      <c r="I54" s="281">
        <v>1.0</v>
      </c>
      <c r="J54" s="284"/>
      <c r="K54" s="283"/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0.972</v>
      </c>
      <c r="N54" s="191"/>
      <c r="O54" s="247"/>
    </row>
    <row r="55">
      <c r="A55" s="12" t="s">
        <v>37</v>
      </c>
      <c r="B55" s="12" t="s">
        <v>17</v>
      </c>
      <c r="C55" s="271" t="str">
        <f>'15th-18thMAY'!E55</f>
        <v/>
      </c>
      <c r="D55" s="191"/>
      <c r="E55" s="247"/>
      <c r="F55" s="235" t="s">
        <v>752</v>
      </c>
      <c r="G55" s="235"/>
      <c r="H55" s="272" t="str">
        <f>'15th-18thMAY'!J55</f>
        <v/>
      </c>
      <c r="I55" s="281">
        <v>1.0</v>
      </c>
      <c r="J55" s="284"/>
      <c r="K55" s="283"/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'15th-18thMAY'!E56</f>
        <v/>
      </c>
      <c r="D56" s="227">
        <v>1.0</v>
      </c>
      <c r="E56" s="280">
        <v>1.0</v>
      </c>
      <c r="F56" s="235" t="s">
        <v>17</v>
      </c>
      <c r="G56" s="235"/>
      <c r="H56" s="272">
        <f>'15th-18thMAY'!J56</f>
        <v>63</v>
      </c>
      <c r="I56" s="281">
        <v>1.0</v>
      </c>
      <c r="J56" s="284"/>
      <c r="K56" s="283"/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63</v>
      </c>
      <c r="N56" s="191"/>
      <c r="O56" s="247"/>
    </row>
    <row r="57">
      <c r="A57" s="12" t="s">
        <v>42</v>
      </c>
      <c r="B57" s="12" t="s">
        <v>24</v>
      </c>
      <c r="C57" s="271" t="str">
        <f>'15th-18thMAY'!E57</f>
        <v/>
      </c>
      <c r="D57" s="227">
        <v>1.0</v>
      </c>
      <c r="E57" s="280"/>
      <c r="F57" s="235" t="s">
        <v>35</v>
      </c>
      <c r="G57" s="235"/>
      <c r="H57" s="272">
        <f>'15th-18thMAY'!J57</f>
        <v>0.385</v>
      </c>
      <c r="I57" s="281">
        <v>1.0</v>
      </c>
      <c r="J57" s="282">
        <v>0.428</v>
      </c>
      <c r="K57" s="283"/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0.354</v>
      </c>
      <c r="N57" s="191"/>
      <c r="O57" s="247"/>
    </row>
    <row r="58">
      <c r="A58" s="12" t="s">
        <v>44</v>
      </c>
      <c r="B58" s="12" t="s">
        <v>24</v>
      </c>
      <c r="C58" s="271" t="str">
        <f>'15th-18thMAY'!E58</f>
        <v/>
      </c>
      <c r="D58" s="227">
        <v>1.0</v>
      </c>
      <c r="E58" s="247"/>
      <c r="F58" s="235" t="s">
        <v>25</v>
      </c>
      <c r="G58" s="235"/>
      <c r="H58" s="272">
        <f>'15th-18thMAY'!J58</f>
        <v>0.485</v>
      </c>
      <c r="I58" s="281">
        <v>1.0</v>
      </c>
      <c r="J58" s="282"/>
      <c r="K58" s="283"/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0.902</v>
      </c>
      <c r="N58" s="191"/>
      <c r="O58" s="247"/>
    </row>
    <row r="59">
      <c r="A59" s="12" t="s">
        <v>45</v>
      </c>
      <c r="B59" s="12" t="s">
        <v>24</v>
      </c>
      <c r="C59" s="271" t="str">
        <f>'15th-18thMAY'!E59</f>
        <v/>
      </c>
      <c r="D59" s="191"/>
      <c r="E59" s="247"/>
      <c r="F59" s="235" t="s">
        <v>25</v>
      </c>
      <c r="G59" s="285">
        <v>0.343</v>
      </c>
      <c r="H59" s="272">
        <f>'15th-18thMAY'!J59</f>
        <v>0.485</v>
      </c>
      <c r="I59" s="281">
        <v>1.0</v>
      </c>
      <c r="J59" s="282">
        <v>0.828</v>
      </c>
      <c r="K59" s="283"/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</v>
      </c>
      <c r="N59" s="191"/>
      <c r="O59" s="247"/>
    </row>
    <row r="60">
      <c r="A60" s="17" t="s">
        <v>46</v>
      </c>
      <c r="B60" s="12" t="s">
        <v>47</v>
      </c>
      <c r="C60" s="271" t="str">
        <f>'15th-18thMAY'!E60</f>
        <v/>
      </c>
      <c r="D60" s="191"/>
      <c r="E60" s="247"/>
      <c r="F60" s="235" t="s">
        <v>51</v>
      </c>
      <c r="G60" s="235"/>
      <c r="H60" s="272" t="str">
        <f>'15th-18thMAY'!J60</f>
        <v/>
      </c>
      <c r="I60" s="281">
        <v>1.0</v>
      </c>
      <c r="J60" s="284"/>
      <c r="K60" s="283"/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'15th-18thMAY'!E61</f>
        <v/>
      </c>
      <c r="D61" s="191"/>
      <c r="E61" s="247"/>
      <c r="F61" s="235" t="s">
        <v>51</v>
      </c>
      <c r="G61" s="235"/>
      <c r="H61" s="272" t="str">
        <f>'15th-18thMAY'!J61</f>
        <v/>
      </c>
      <c r="I61" s="281">
        <v>1.0</v>
      </c>
      <c r="J61" s="284"/>
      <c r="K61" s="283"/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'15th-18thMAY'!E62</f>
        <v/>
      </c>
      <c r="D62" s="191"/>
      <c r="E62" s="247"/>
      <c r="F62" s="235" t="s">
        <v>51</v>
      </c>
      <c r="G62" s="235"/>
      <c r="H62" s="272">
        <f>'15th-18thMAY'!J62</f>
        <v>0.27</v>
      </c>
      <c r="I62" s="281">
        <v>1.0</v>
      </c>
      <c r="J62" s="282">
        <v>0.118</v>
      </c>
      <c r="K62" s="283"/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0.152</v>
      </c>
      <c r="N62" s="191"/>
      <c r="O62" s="247"/>
    </row>
    <row r="63">
      <c r="A63" s="12" t="s">
        <v>53</v>
      </c>
      <c r="B63" s="12" t="s">
        <v>35</v>
      </c>
      <c r="C63" s="271" t="str">
        <f>'15th-18thMAY'!E63</f>
        <v/>
      </c>
      <c r="D63" s="191"/>
      <c r="E63" s="247"/>
      <c r="F63" s="235" t="s">
        <v>35</v>
      </c>
      <c r="G63" s="285">
        <v>1.0</v>
      </c>
      <c r="H63" s="272">
        <f>'15th-18thMAY'!J63</f>
        <v>0.285</v>
      </c>
      <c r="I63" s="281">
        <v>1.0</v>
      </c>
      <c r="J63" s="282">
        <v>1.136</v>
      </c>
      <c r="K63" s="283"/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0.149</v>
      </c>
      <c r="N63" s="191"/>
      <c r="O63" s="247"/>
    </row>
    <row r="64">
      <c r="A64" s="11" t="s">
        <v>55</v>
      </c>
      <c r="B64" s="11" t="s">
        <v>56</v>
      </c>
      <c r="C64" s="271" t="str">
        <f>'15th-18thMAY'!E64</f>
        <v/>
      </c>
      <c r="D64" s="227">
        <v>1.0</v>
      </c>
      <c r="E64" s="247"/>
      <c r="F64" s="235" t="s">
        <v>14</v>
      </c>
      <c r="G64" s="235"/>
      <c r="H64" s="272">
        <f>'15th-18thMAY'!J64</f>
        <v>0.825</v>
      </c>
      <c r="I64" s="281">
        <v>1.0</v>
      </c>
      <c r="J64" s="282">
        <v>3.853</v>
      </c>
      <c r="K64" s="283"/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1.972</v>
      </c>
      <c r="N64" s="191"/>
      <c r="O64" s="247"/>
    </row>
    <row r="65">
      <c r="A65" s="10" t="s">
        <v>57</v>
      </c>
      <c r="B65" s="11"/>
      <c r="C65" s="271" t="str">
        <f>'15th-18thMAY'!E65</f>
        <v/>
      </c>
      <c r="D65" s="191"/>
      <c r="E65" s="247"/>
      <c r="F65" s="235"/>
      <c r="G65" s="235"/>
      <c r="H65" s="272" t="str">
        <f>'15th-18thMAY'!J65</f>
        <v/>
      </c>
      <c r="I65" s="281">
        <v>1.0</v>
      </c>
      <c r="J65" s="284"/>
      <c r="K65" s="283"/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'15th-18thMAY'!E66</f>
        <v>2</v>
      </c>
      <c r="D66" s="227">
        <v>8.0</v>
      </c>
      <c r="E66" s="280"/>
      <c r="F66" s="235" t="s">
        <v>35</v>
      </c>
      <c r="G66" s="235"/>
      <c r="H66" s="272">
        <f>'15th-18thMAY'!J66</f>
        <v>0.5</v>
      </c>
      <c r="I66" s="281">
        <v>1.0</v>
      </c>
      <c r="J66" s="282">
        <v>1.281</v>
      </c>
      <c r="K66" s="283"/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19.219</v>
      </c>
      <c r="N66" s="191"/>
      <c r="O66" s="247"/>
    </row>
    <row r="67">
      <c r="A67" s="12" t="s">
        <v>61</v>
      </c>
      <c r="B67" s="12" t="s">
        <v>59</v>
      </c>
      <c r="C67" s="271" t="str">
        <f>'15th-18thMAY'!E67</f>
        <v/>
      </c>
      <c r="D67" s="191"/>
      <c r="E67" s="247"/>
      <c r="F67" s="235" t="s">
        <v>35</v>
      </c>
      <c r="G67" s="235"/>
      <c r="H67" s="272">
        <f>'15th-18thMAY'!J67</f>
        <v>0.14</v>
      </c>
      <c r="I67" s="281">
        <v>1.0</v>
      </c>
      <c r="J67" s="282">
        <v>0.121</v>
      </c>
      <c r="K67" s="283"/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0.019</v>
      </c>
      <c r="N67" s="191"/>
      <c r="O67" s="247"/>
    </row>
    <row r="68">
      <c r="A68" s="12" t="s">
        <v>62</v>
      </c>
      <c r="B68" s="12" t="s">
        <v>35</v>
      </c>
      <c r="C68" s="271" t="str">
        <f>'15th-18thMAY'!E68</f>
        <v/>
      </c>
      <c r="D68" s="227">
        <v>15.0</v>
      </c>
      <c r="E68" s="280"/>
      <c r="F68" s="235" t="s">
        <v>35</v>
      </c>
      <c r="G68" s="235"/>
      <c r="H68" s="272">
        <f>'15th-18thMAY'!J68</f>
        <v>2.76</v>
      </c>
      <c r="I68" s="281">
        <v>1.0</v>
      </c>
      <c r="J68" s="282">
        <v>5.0</v>
      </c>
      <c r="K68" s="283"/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12.76</v>
      </c>
      <c r="N68" s="191"/>
      <c r="O68" s="247"/>
    </row>
    <row r="69">
      <c r="A69" s="12" t="s">
        <v>64</v>
      </c>
      <c r="B69" s="12" t="s">
        <v>59</v>
      </c>
      <c r="C69" s="271" t="str">
        <f>'15th-18thMAY'!E69</f>
        <v/>
      </c>
      <c r="D69" s="227">
        <v>2.0</v>
      </c>
      <c r="E69" s="280">
        <v>1.0</v>
      </c>
      <c r="F69" s="235" t="s">
        <v>35</v>
      </c>
      <c r="G69" s="235"/>
      <c r="H69" s="272">
        <f>'15th-18thMAY'!J69</f>
        <v>0.375</v>
      </c>
      <c r="I69" s="281">
        <v>1.0</v>
      </c>
      <c r="J69" s="282"/>
      <c r="K69" s="283"/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0.725</v>
      </c>
      <c r="N69" s="191"/>
      <c r="O69" s="247"/>
    </row>
    <row r="70">
      <c r="A70" s="10" t="s">
        <v>65</v>
      </c>
      <c r="B70" s="11"/>
      <c r="C70" s="271" t="str">
        <f>'15th-18thMAY'!E70</f>
        <v/>
      </c>
      <c r="D70" s="191"/>
      <c r="E70" s="247"/>
      <c r="F70" s="235"/>
      <c r="G70" s="235"/>
      <c r="H70" s="272" t="str">
        <f>'15th-18thMAY'!J70</f>
        <v/>
      </c>
      <c r="I70" s="281">
        <v>1.0</v>
      </c>
      <c r="J70" s="284"/>
      <c r="K70" s="283"/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'15th-18thMAY'!E71</f>
        <v/>
      </c>
      <c r="D71" s="227">
        <v>1.0</v>
      </c>
      <c r="E71" s="247"/>
      <c r="F71" s="235" t="s">
        <v>25</v>
      </c>
      <c r="G71" s="285">
        <v>14.8</v>
      </c>
      <c r="H71" s="272">
        <f>'15th-18thMAY'!J71</f>
        <v>1</v>
      </c>
      <c r="I71" s="281">
        <v>1.0</v>
      </c>
      <c r="J71" s="282">
        <v>0.988</v>
      </c>
      <c r="K71" s="283"/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33.212</v>
      </c>
      <c r="N71" s="191"/>
      <c r="O71" s="247"/>
    </row>
    <row r="72">
      <c r="A72" s="12" t="s">
        <v>68</v>
      </c>
      <c r="B72" s="12" t="s">
        <v>35</v>
      </c>
      <c r="C72" s="271" t="str">
        <f>'15th-18thMAY'!E72</f>
        <v/>
      </c>
      <c r="D72" s="227">
        <v>2.3</v>
      </c>
      <c r="E72" s="247"/>
      <c r="F72" s="235" t="s">
        <v>35</v>
      </c>
      <c r="G72" s="235"/>
      <c r="H72" s="272">
        <f>'15th-18thMAY'!J72</f>
        <v>0.66</v>
      </c>
      <c r="I72" s="281">
        <v>1.0</v>
      </c>
      <c r="J72" s="282">
        <v>0.63</v>
      </c>
      <c r="K72" s="283"/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2.33</v>
      </c>
      <c r="N72" s="191"/>
      <c r="O72" s="247"/>
    </row>
    <row r="73">
      <c r="A73" s="12" t="s">
        <v>70</v>
      </c>
      <c r="B73" s="12" t="s">
        <v>35</v>
      </c>
      <c r="C73" s="271" t="str">
        <f>'15th-18thMAY'!E73</f>
        <v/>
      </c>
      <c r="D73" s="191"/>
      <c r="E73" s="247"/>
      <c r="F73" s="235" t="s">
        <v>35</v>
      </c>
      <c r="G73" s="235"/>
      <c r="H73" s="272" t="str">
        <f>'15th-18thMAY'!J73</f>
        <v/>
      </c>
      <c r="I73" s="281">
        <v>1.0</v>
      </c>
      <c r="J73" s="284"/>
      <c r="K73" s="283"/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'15th-18thMAY'!E74</f>
        <v/>
      </c>
      <c r="D74" s="227">
        <v>3.0</v>
      </c>
      <c r="E74" s="247"/>
      <c r="F74" s="235" t="s">
        <v>25</v>
      </c>
      <c r="G74" s="235"/>
      <c r="H74" s="272">
        <f>'15th-18thMAY'!J74</f>
        <v>0.375</v>
      </c>
      <c r="I74" s="281">
        <v>1.0</v>
      </c>
      <c r="J74" s="282">
        <v>0.813</v>
      </c>
      <c r="K74" s="283"/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2.562</v>
      </c>
      <c r="N74" s="191"/>
      <c r="O74" s="247"/>
    </row>
    <row r="75">
      <c r="A75" s="12" t="s">
        <v>74</v>
      </c>
      <c r="B75" s="12" t="s">
        <v>17</v>
      </c>
      <c r="C75" s="271" t="str">
        <f>'15th-18thMAY'!E75</f>
        <v/>
      </c>
      <c r="D75" s="191"/>
      <c r="E75" s="247"/>
      <c r="F75" s="235" t="s">
        <v>25</v>
      </c>
      <c r="G75" s="285">
        <v>0.928</v>
      </c>
      <c r="H75" s="272">
        <f>'15th-18thMAY'!J75</f>
        <v>0.115</v>
      </c>
      <c r="I75" s="281">
        <v>1.0</v>
      </c>
      <c r="J75" s="282">
        <v>0.928</v>
      </c>
      <c r="K75" s="283"/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0.115</v>
      </c>
      <c r="N75" s="191"/>
      <c r="O75" s="247"/>
    </row>
    <row r="76">
      <c r="A76" s="12" t="s">
        <v>76</v>
      </c>
      <c r="B76" s="12" t="s">
        <v>72</v>
      </c>
      <c r="C76" s="271" t="str">
        <f>'15th-18thMAY'!E76</f>
        <v/>
      </c>
      <c r="D76" s="191"/>
      <c r="E76" s="247"/>
      <c r="F76" s="235" t="s">
        <v>35</v>
      </c>
      <c r="G76" s="235"/>
      <c r="H76" s="272">
        <f>'15th-18thMAY'!J76</f>
        <v>1</v>
      </c>
      <c r="I76" s="281">
        <v>1.0</v>
      </c>
      <c r="J76" s="282">
        <v>1.0</v>
      </c>
      <c r="K76" s="283"/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'15th-18thMAY'!E77</f>
        <v/>
      </c>
      <c r="D77" s="191"/>
      <c r="E77" s="247"/>
      <c r="F77" s="235" t="s">
        <v>25</v>
      </c>
      <c r="G77" s="285">
        <v>1.3</v>
      </c>
      <c r="H77" s="272">
        <f>'15th-18thMAY'!J77</f>
        <v>0.83</v>
      </c>
      <c r="I77" s="281">
        <v>1.0</v>
      </c>
      <c r="J77" s="282">
        <v>1.029</v>
      </c>
      <c r="K77" s="283"/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1.101</v>
      </c>
      <c r="N77" s="191"/>
      <c r="O77" s="247"/>
    </row>
    <row r="78">
      <c r="A78" s="12" t="s">
        <v>80</v>
      </c>
      <c r="B78" s="12" t="s">
        <v>56</v>
      </c>
      <c r="C78" s="271" t="str">
        <f>'15th-18thMAY'!E78</f>
        <v/>
      </c>
      <c r="D78" s="191"/>
      <c r="E78" s="247"/>
      <c r="F78" s="235" t="s">
        <v>35</v>
      </c>
      <c r="G78" s="235"/>
      <c r="H78" s="272" t="str">
        <f>'15th-18thMAY'!J78</f>
        <v/>
      </c>
      <c r="I78" s="281">
        <v>1.0</v>
      </c>
      <c r="J78" s="284"/>
      <c r="K78" s="283"/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'15th-18thMAY'!E79</f>
        <v/>
      </c>
      <c r="D79" s="191"/>
      <c r="E79" s="247"/>
      <c r="F79" s="235" t="s">
        <v>35</v>
      </c>
      <c r="G79" s="235"/>
      <c r="H79" s="272">
        <f>'15th-18thMAY'!J79</f>
        <v>0.415</v>
      </c>
      <c r="I79" s="281">
        <v>1.0</v>
      </c>
      <c r="J79" s="282">
        <v>0.045</v>
      </c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0.37</v>
      </c>
      <c r="N79" s="191"/>
      <c r="O79" s="247"/>
    </row>
    <row r="80">
      <c r="A80" s="10" t="s">
        <v>85</v>
      </c>
      <c r="B80" s="11"/>
      <c r="C80" s="271" t="str">
        <f>'15th-18thMAY'!E80</f>
        <v/>
      </c>
      <c r="D80" s="191"/>
      <c r="E80" s="247"/>
      <c r="F80" s="235"/>
      <c r="G80" s="235"/>
      <c r="H80" s="272" t="str">
        <f>'15th-18thMAY'!J80</f>
        <v/>
      </c>
      <c r="I80" s="281">
        <v>1.0</v>
      </c>
      <c r="J80" s="284"/>
      <c r="K80" s="283"/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'15th-18thMAY'!E81</f>
        <v/>
      </c>
      <c r="D81" s="227">
        <v>2.0</v>
      </c>
      <c r="E81" s="247"/>
      <c r="F81" s="235" t="s">
        <v>25</v>
      </c>
      <c r="G81" s="235"/>
      <c r="H81" s="272">
        <f>'15th-18thMAY'!J81</f>
        <v>0.458</v>
      </c>
      <c r="I81" s="281">
        <v>1.0</v>
      </c>
      <c r="J81" s="282">
        <v>0.138</v>
      </c>
      <c r="K81" s="283"/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1.32</v>
      </c>
      <c r="N81" s="191"/>
      <c r="O81" s="247"/>
    </row>
    <row r="82">
      <c r="A82" s="12" t="s">
        <v>87</v>
      </c>
      <c r="B82" s="12" t="s">
        <v>83</v>
      </c>
      <c r="C82" s="271" t="str">
        <f>'15th-18thMAY'!E82</f>
        <v/>
      </c>
      <c r="D82" s="227">
        <v>1.0</v>
      </c>
      <c r="E82" s="280"/>
      <c r="F82" s="235" t="s">
        <v>25</v>
      </c>
      <c r="G82" s="235"/>
      <c r="H82" s="272">
        <f>'15th-18thMAY'!J82</f>
        <v>0.445</v>
      </c>
      <c r="I82" s="281">
        <v>1.0</v>
      </c>
      <c r="J82" s="282">
        <v>0.574</v>
      </c>
      <c r="K82" s="283"/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0.371</v>
      </c>
      <c r="N82" s="191"/>
      <c r="O82" s="247"/>
    </row>
    <row r="83">
      <c r="A83" s="12" t="s">
        <v>88</v>
      </c>
      <c r="B83" s="12" t="s">
        <v>83</v>
      </c>
      <c r="C83" s="271" t="str">
        <f>'15th-18thMAY'!E83</f>
        <v/>
      </c>
      <c r="D83" s="227">
        <v>1.0</v>
      </c>
      <c r="E83" s="247"/>
      <c r="F83" s="235" t="s">
        <v>25</v>
      </c>
      <c r="G83" s="235"/>
      <c r="H83" s="272">
        <f>'15th-18thMAY'!J83</f>
        <v>1.065</v>
      </c>
      <c r="I83" s="281">
        <v>1.0</v>
      </c>
      <c r="J83" s="282">
        <v>1.16</v>
      </c>
      <c r="K83" s="283"/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0.715</v>
      </c>
      <c r="N83" s="191"/>
      <c r="O83" s="247"/>
    </row>
    <row r="84">
      <c r="A84" s="12" t="s">
        <v>89</v>
      </c>
      <c r="B84" s="12" t="s">
        <v>83</v>
      </c>
      <c r="C84" s="271" t="str">
        <f>'15th-18thMAY'!E84</f>
        <v/>
      </c>
      <c r="D84" s="227">
        <v>1.0</v>
      </c>
      <c r="E84" s="280"/>
      <c r="F84" s="235" t="s">
        <v>25</v>
      </c>
      <c r="G84" s="285">
        <v>0.583</v>
      </c>
      <c r="H84" s="272" t="str">
        <f>'15th-18thMAY'!J84</f>
        <v/>
      </c>
      <c r="I84" s="281">
        <v>1.0</v>
      </c>
      <c r="J84" s="282">
        <v>0.583</v>
      </c>
      <c r="K84" s="283"/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0.51</v>
      </c>
      <c r="N84" s="191"/>
      <c r="O84" s="247"/>
    </row>
    <row r="85">
      <c r="A85" s="12" t="s">
        <v>90</v>
      </c>
      <c r="B85" s="12" t="s">
        <v>24</v>
      </c>
      <c r="C85" s="271" t="str">
        <f>'15th-18thMAY'!E85</f>
        <v/>
      </c>
      <c r="D85" s="227">
        <v>1.0</v>
      </c>
      <c r="E85" s="280">
        <v>1.0</v>
      </c>
      <c r="F85" s="235" t="s">
        <v>25</v>
      </c>
      <c r="G85" s="235"/>
      <c r="H85" s="272">
        <f>'15th-18thMAY'!J85</f>
        <v>0.28</v>
      </c>
      <c r="I85" s="281">
        <v>1.0</v>
      </c>
      <c r="J85" s="284"/>
      <c r="K85" s="283"/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0.218</v>
      </c>
      <c r="N85" s="191"/>
      <c r="O85" s="247"/>
    </row>
    <row r="86">
      <c r="A86" s="12" t="s">
        <v>91</v>
      </c>
      <c r="B86" s="12" t="s">
        <v>56</v>
      </c>
      <c r="C86" s="271" t="str">
        <f>'15th-18thMAY'!E86</f>
        <v/>
      </c>
      <c r="D86" s="227">
        <v>1.0</v>
      </c>
      <c r="E86" s="280">
        <v>1.0</v>
      </c>
      <c r="F86" s="235" t="s">
        <v>25</v>
      </c>
      <c r="G86" s="235"/>
      <c r="H86" s="272">
        <f>'15th-18thMAY'!J86</f>
        <v>1.98</v>
      </c>
      <c r="I86" s="281">
        <v>1.0</v>
      </c>
      <c r="J86" s="284"/>
      <c r="K86" s="283"/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1.86</v>
      </c>
      <c r="N86" s="191"/>
      <c r="O86" s="247"/>
    </row>
    <row r="87">
      <c r="A87" s="12" t="s">
        <v>92</v>
      </c>
      <c r="B87" s="12" t="s">
        <v>83</v>
      </c>
      <c r="C87" s="271" t="str">
        <f>'15th-18thMAY'!E87</f>
        <v/>
      </c>
      <c r="D87" s="227">
        <v>1.0</v>
      </c>
      <c r="E87" s="247"/>
      <c r="F87" s="235" t="s">
        <v>25</v>
      </c>
      <c r="G87" s="285">
        <v>0.839</v>
      </c>
      <c r="H87" s="272">
        <f>'15th-18thMAY'!J87</f>
        <v>0.05</v>
      </c>
      <c r="I87" s="281">
        <v>1.0</v>
      </c>
      <c r="J87" s="282">
        <v>0.839</v>
      </c>
      <c r="K87" s="283"/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0.8</v>
      </c>
      <c r="N87" s="191"/>
      <c r="O87" s="247"/>
    </row>
    <row r="88">
      <c r="A88" s="12" t="s">
        <v>93</v>
      </c>
      <c r="B88" s="12" t="s">
        <v>83</v>
      </c>
      <c r="C88" s="271" t="str">
        <f>'15th-18thMAY'!E88</f>
        <v/>
      </c>
      <c r="D88" s="191"/>
      <c r="E88" s="247"/>
      <c r="F88" s="235" t="s">
        <v>25</v>
      </c>
      <c r="G88" s="235"/>
      <c r="H88" s="272">
        <f>'15th-18thMAY'!J88</f>
        <v>0.695</v>
      </c>
      <c r="I88" s="281">
        <v>1.0</v>
      </c>
      <c r="J88" s="282">
        <v>0.663</v>
      </c>
      <c r="K88" s="283"/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0.032</v>
      </c>
      <c r="N88" s="191"/>
      <c r="O88" s="247"/>
    </row>
    <row r="89">
      <c r="A89" s="12" t="s">
        <v>95</v>
      </c>
      <c r="B89" s="12" t="s">
        <v>83</v>
      </c>
      <c r="C89" s="271" t="str">
        <f>'15th-18thMAY'!E89</f>
        <v/>
      </c>
      <c r="D89" s="227">
        <v>1.0</v>
      </c>
      <c r="E89" s="247"/>
      <c r="F89" s="235" t="s">
        <v>25</v>
      </c>
      <c r="G89" s="285">
        <v>1.068</v>
      </c>
      <c r="H89" s="272" t="str">
        <f>'15th-18thMAY'!J89</f>
        <v/>
      </c>
      <c r="I89" s="281">
        <v>1.0</v>
      </c>
      <c r="J89" s="282">
        <v>1.068</v>
      </c>
      <c r="K89" s="283"/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0.75</v>
      </c>
      <c r="N89" s="191"/>
      <c r="O89" s="247"/>
    </row>
    <row r="90">
      <c r="A90" s="10" t="s">
        <v>96</v>
      </c>
      <c r="B90" s="11"/>
      <c r="C90" s="271" t="str">
        <f>'15th-18thMAY'!E90</f>
        <v/>
      </c>
      <c r="D90" s="191"/>
      <c r="E90" s="247"/>
      <c r="F90" s="235"/>
      <c r="G90" s="235"/>
      <c r="H90" s="272" t="str">
        <f>'15th-18thMAY'!J90</f>
        <v/>
      </c>
      <c r="I90" s="281">
        <v>1.0</v>
      </c>
      <c r="J90" s="284"/>
      <c r="K90" s="283"/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'15th-18thMAY'!E91</f>
        <v/>
      </c>
      <c r="D91" s="191"/>
      <c r="E91" s="247"/>
      <c r="F91" s="235" t="s">
        <v>35</v>
      </c>
      <c r="G91" s="235"/>
      <c r="H91" s="272" t="str">
        <f>'15th-18thMAY'!J91</f>
        <v/>
      </c>
      <c r="I91" s="281">
        <v>1.0</v>
      </c>
      <c r="J91" s="284"/>
      <c r="K91" s="283"/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'15th-18thMAY'!E92</f>
        <v/>
      </c>
      <c r="D92" s="227">
        <v>1.0</v>
      </c>
      <c r="E92" s="247"/>
      <c r="F92" s="235" t="s">
        <v>35</v>
      </c>
      <c r="G92" s="235"/>
      <c r="H92" s="272">
        <f>'15th-18thMAY'!J92</f>
        <v>0.095</v>
      </c>
      <c r="I92" s="281">
        <v>1.0</v>
      </c>
      <c r="J92" s="282">
        <v>0.873</v>
      </c>
      <c r="K92" s="283"/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0.222</v>
      </c>
      <c r="N92" s="191"/>
      <c r="O92" s="247"/>
    </row>
    <row r="93">
      <c r="A93" s="12" t="s">
        <v>100</v>
      </c>
      <c r="B93" s="12" t="s">
        <v>40</v>
      </c>
      <c r="C93" s="271" t="str">
        <f>'15th-18thMAY'!E93</f>
        <v/>
      </c>
      <c r="D93" s="191"/>
      <c r="E93" s="247"/>
      <c r="F93" s="235" t="s">
        <v>35</v>
      </c>
      <c r="G93" s="235"/>
      <c r="H93" s="272">
        <f>'15th-18thMAY'!J93</f>
        <v>0.375</v>
      </c>
      <c r="I93" s="281">
        <v>1.0</v>
      </c>
      <c r="J93" s="282">
        <v>0.181</v>
      </c>
      <c r="K93" s="283"/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0.194</v>
      </c>
      <c r="N93" s="191"/>
      <c r="O93" s="247"/>
    </row>
    <row r="94">
      <c r="A94" s="12" t="s">
        <v>101</v>
      </c>
      <c r="B94" s="12" t="s">
        <v>40</v>
      </c>
      <c r="C94" s="271" t="str">
        <f>'15th-18thMAY'!E94</f>
        <v/>
      </c>
      <c r="D94" s="191"/>
      <c r="E94" s="247"/>
      <c r="F94" s="235" t="s">
        <v>35</v>
      </c>
      <c r="G94" s="235"/>
      <c r="H94" s="272" t="str">
        <f>'15th-18thMAY'!J94</f>
        <v/>
      </c>
      <c r="I94" s="281">
        <v>1.0</v>
      </c>
      <c r="J94" s="284"/>
      <c r="K94" s="283"/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'15th-18thMAY'!E95</f>
        <v/>
      </c>
      <c r="D95" s="191"/>
      <c r="E95" s="247"/>
      <c r="F95" s="235" t="s">
        <v>35</v>
      </c>
      <c r="G95" s="235"/>
      <c r="H95" s="272">
        <f>'15th-18thMAY'!J95</f>
        <v>0.08</v>
      </c>
      <c r="I95" s="281">
        <v>1.0</v>
      </c>
      <c r="J95" s="282">
        <v>0.036</v>
      </c>
      <c r="K95" s="283"/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0.044</v>
      </c>
      <c r="N95" s="191"/>
      <c r="O95" s="247"/>
    </row>
    <row r="96">
      <c r="A96" s="12" t="s">
        <v>103</v>
      </c>
      <c r="B96" s="12" t="s">
        <v>40</v>
      </c>
      <c r="C96" s="271" t="str">
        <f>'15th-18thMAY'!E96</f>
        <v/>
      </c>
      <c r="D96" s="191"/>
      <c r="E96" s="247"/>
      <c r="F96" s="235" t="s">
        <v>35</v>
      </c>
      <c r="G96" s="235"/>
      <c r="H96" s="272">
        <f>'15th-18thMAY'!J96</f>
        <v>0.305</v>
      </c>
      <c r="I96" s="281">
        <v>1.0</v>
      </c>
      <c r="J96" s="282">
        <v>0.302</v>
      </c>
      <c r="K96" s="283"/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0.003</v>
      </c>
      <c r="N96" s="191"/>
      <c r="O96" s="247"/>
    </row>
    <row r="97">
      <c r="A97" s="12" t="s">
        <v>104</v>
      </c>
      <c r="B97" s="12" t="s">
        <v>40</v>
      </c>
      <c r="C97" s="271" t="str">
        <f>'15th-18thMAY'!E97</f>
        <v/>
      </c>
      <c r="D97" s="191"/>
      <c r="E97" s="247"/>
      <c r="F97" s="235" t="s">
        <v>35</v>
      </c>
      <c r="G97" s="235"/>
      <c r="H97" s="272" t="str">
        <f>'15th-18thMAY'!J97</f>
        <v/>
      </c>
      <c r="I97" s="281">
        <v>1.0</v>
      </c>
      <c r="J97" s="284"/>
      <c r="K97" s="283"/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'15th-18thMAY'!E98</f>
        <v/>
      </c>
      <c r="D98" s="191"/>
      <c r="E98" s="247"/>
      <c r="F98" s="235" t="s">
        <v>35</v>
      </c>
      <c r="G98" s="235"/>
      <c r="H98" s="272">
        <f>'15th-18thMAY'!J98</f>
        <v>0.43</v>
      </c>
      <c r="I98" s="281">
        <v>1.0</v>
      </c>
      <c r="J98" s="282">
        <v>0.33</v>
      </c>
      <c r="K98" s="283"/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0.1</v>
      </c>
      <c r="N98" s="191"/>
      <c r="O98" s="247"/>
    </row>
    <row r="99">
      <c r="A99" s="12" t="s">
        <v>108</v>
      </c>
      <c r="B99" s="12" t="s">
        <v>40</v>
      </c>
      <c r="C99" s="271" t="str">
        <f>'15th-18thMAY'!E99</f>
        <v/>
      </c>
      <c r="D99" s="191"/>
      <c r="E99" s="247"/>
      <c r="F99" s="235" t="s">
        <v>35</v>
      </c>
      <c r="G99" s="235"/>
      <c r="H99" s="272">
        <f>'15th-18thMAY'!J99</f>
        <v>0.33</v>
      </c>
      <c r="I99" s="281">
        <v>1.0</v>
      </c>
      <c r="J99" s="282">
        <v>0.224</v>
      </c>
      <c r="K99" s="283"/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0.106</v>
      </c>
      <c r="N99" s="191"/>
      <c r="O99" s="247"/>
    </row>
    <row r="100">
      <c r="A100" s="12" t="s">
        <v>109</v>
      </c>
      <c r="B100" s="12" t="s">
        <v>40</v>
      </c>
      <c r="C100" s="271" t="str">
        <f>'15th-18thMAY'!E100</f>
        <v/>
      </c>
      <c r="D100" s="191"/>
      <c r="E100" s="247"/>
      <c r="F100" s="235" t="s">
        <v>35</v>
      </c>
      <c r="G100" s="235"/>
      <c r="H100" s="272">
        <f>'15th-18thMAY'!J100</f>
        <v>0.26</v>
      </c>
      <c r="I100" s="281">
        <v>1.0</v>
      </c>
      <c r="J100" s="282">
        <v>0.242</v>
      </c>
      <c r="K100" s="283"/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0.018</v>
      </c>
      <c r="N100" s="191"/>
      <c r="O100" s="247"/>
    </row>
    <row r="101">
      <c r="A101" s="12" t="s">
        <v>110</v>
      </c>
      <c r="B101" s="12" t="s">
        <v>40</v>
      </c>
      <c r="C101" s="271" t="str">
        <f>'15th-18thMAY'!E101</f>
        <v/>
      </c>
      <c r="D101" s="191"/>
      <c r="E101" s="247"/>
      <c r="F101" s="235" t="s">
        <v>35</v>
      </c>
      <c r="G101" s="235"/>
      <c r="H101" s="272">
        <f>'15th-18thMAY'!J101</f>
        <v>0.625</v>
      </c>
      <c r="I101" s="281">
        <v>1.0</v>
      </c>
      <c r="J101" s="282">
        <v>0.511</v>
      </c>
      <c r="K101" s="283"/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0.114</v>
      </c>
      <c r="N101" s="191"/>
      <c r="O101" s="247"/>
    </row>
    <row r="102">
      <c r="A102" s="12" t="s">
        <v>111</v>
      </c>
      <c r="B102" s="12" t="s">
        <v>40</v>
      </c>
      <c r="C102" s="271" t="str">
        <f>'15th-18thMAY'!E102</f>
        <v/>
      </c>
      <c r="D102" s="191"/>
      <c r="E102" s="247"/>
      <c r="F102" s="235" t="s">
        <v>35</v>
      </c>
      <c r="G102" s="235"/>
      <c r="H102" s="272" t="str">
        <f>'15th-18thMAY'!J102</f>
        <v/>
      </c>
      <c r="I102" s="281">
        <v>1.0</v>
      </c>
      <c r="J102" s="284"/>
      <c r="K102" s="283"/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>
        <f>'15th-18thMAY'!E103</f>
        <v>1</v>
      </c>
      <c r="D103" s="191"/>
      <c r="E103" s="247"/>
      <c r="F103" s="235" t="s">
        <v>35</v>
      </c>
      <c r="G103" s="235"/>
      <c r="H103" s="272">
        <f>'15th-18thMAY'!J103</f>
        <v>0.079</v>
      </c>
      <c r="I103" s="281">
        <v>1.0</v>
      </c>
      <c r="J103" s="282">
        <v>0.285</v>
      </c>
      <c r="K103" s="283"/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0.294</v>
      </c>
      <c r="N103" s="191"/>
      <c r="O103" s="247"/>
    </row>
    <row r="104">
      <c r="A104" s="12" t="s">
        <v>114</v>
      </c>
      <c r="B104" s="12" t="s">
        <v>40</v>
      </c>
      <c r="C104" s="271" t="str">
        <f>'15th-18thMAY'!E104</f>
        <v/>
      </c>
      <c r="D104" s="191"/>
      <c r="E104" s="247"/>
      <c r="F104" s="235" t="s">
        <v>35</v>
      </c>
      <c r="G104" s="285"/>
      <c r="H104" s="272">
        <f>'15th-18thMAY'!J104</f>
        <v>0.335</v>
      </c>
      <c r="I104" s="281">
        <v>1.0</v>
      </c>
      <c r="J104" s="282">
        <v>0.261</v>
      </c>
      <c r="K104" s="283"/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0.074</v>
      </c>
      <c r="N104" s="191"/>
      <c r="O104" s="247"/>
    </row>
    <row r="105">
      <c r="A105" s="12" t="s">
        <v>116</v>
      </c>
      <c r="B105" s="12" t="s">
        <v>40</v>
      </c>
      <c r="C105" s="271" t="str">
        <f>'15th-18thMAY'!E105</f>
        <v/>
      </c>
      <c r="D105" s="191"/>
      <c r="E105" s="247"/>
      <c r="F105" s="235" t="s">
        <v>35</v>
      </c>
      <c r="G105" s="235"/>
      <c r="H105" s="272" t="str">
        <f>'15th-18thMAY'!J105</f>
        <v/>
      </c>
      <c r="I105" s="281">
        <v>1.0</v>
      </c>
      <c r="J105" s="284"/>
      <c r="K105" s="283"/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'15th-18thMAY'!E106</f>
        <v/>
      </c>
      <c r="D106" s="191"/>
      <c r="E106" s="247"/>
      <c r="F106" s="235" t="s">
        <v>35</v>
      </c>
      <c r="G106" s="285"/>
      <c r="H106" s="272">
        <f>'15th-18thMAY'!J106</f>
        <v>0.935</v>
      </c>
      <c r="I106" s="281">
        <v>1.0</v>
      </c>
      <c r="J106" s="282">
        <v>0.869</v>
      </c>
      <c r="K106" s="283"/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0.066</v>
      </c>
      <c r="N106" s="191"/>
      <c r="O106" s="247"/>
    </row>
    <row r="107">
      <c r="A107" s="12" t="s">
        <v>118</v>
      </c>
      <c r="B107" s="12" t="s">
        <v>40</v>
      </c>
      <c r="C107" s="271" t="str">
        <f>'15th-18thMAY'!E107</f>
        <v/>
      </c>
      <c r="D107" s="191"/>
      <c r="E107" s="247"/>
      <c r="F107" s="235" t="s">
        <v>35</v>
      </c>
      <c r="G107" s="235"/>
      <c r="H107" s="272">
        <f>'15th-18thMAY'!J107</f>
        <v>0.535</v>
      </c>
      <c r="I107" s="281">
        <v>1.0</v>
      </c>
      <c r="J107" s="282">
        <v>0.388</v>
      </c>
      <c r="K107" s="283"/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0.147</v>
      </c>
      <c r="N107" s="191"/>
      <c r="O107" s="247"/>
    </row>
    <row r="108">
      <c r="A108" s="12" t="s">
        <v>119</v>
      </c>
      <c r="B108" s="12" t="s">
        <v>40</v>
      </c>
      <c r="C108" s="271" t="str">
        <f>'15th-18thMAY'!E108</f>
        <v/>
      </c>
      <c r="D108" s="191"/>
      <c r="E108" s="247"/>
      <c r="F108" s="235" t="s">
        <v>35</v>
      </c>
      <c r="G108" s="235"/>
      <c r="H108" s="272">
        <f>'15th-18thMAY'!J108</f>
        <v>0.65</v>
      </c>
      <c r="I108" s="281">
        <v>1.0</v>
      </c>
      <c r="J108" s="282">
        <v>0.649</v>
      </c>
      <c r="K108" s="283"/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0.001</v>
      </c>
      <c r="N108" s="191"/>
      <c r="O108" s="247"/>
    </row>
    <row r="109">
      <c r="A109" s="12" t="s">
        <v>120</v>
      </c>
      <c r="B109" s="12" t="s">
        <v>40</v>
      </c>
      <c r="C109" s="271" t="str">
        <f>'15th-18thMAY'!E109</f>
        <v/>
      </c>
      <c r="D109" s="191"/>
      <c r="E109" s="247"/>
      <c r="F109" s="235" t="s">
        <v>35</v>
      </c>
      <c r="G109" s="235"/>
      <c r="H109" s="272">
        <f>'15th-18thMAY'!J109</f>
        <v>0.26</v>
      </c>
      <c r="I109" s="281">
        <v>1.0</v>
      </c>
      <c r="J109" s="282">
        <v>0.192</v>
      </c>
      <c r="K109" s="283"/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0.068</v>
      </c>
      <c r="N109" s="191"/>
      <c r="O109" s="247"/>
    </row>
    <row r="110">
      <c r="A110" s="12" t="s">
        <v>121</v>
      </c>
      <c r="B110" s="12" t="s">
        <v>40</v>
      </c>
      <c r="C110" s="271" t="str">
        <f>'15th-18thMAY'!E110</f>
        <v/>
      </c>
      <c r="D110" s="227">
        <v>1.0</v>
      </c>
      <c r="E110" s="247"/>
      <c r="F110" s="235" t="s">
        <v>35</v>
      </c>
      <c r="G110" s="235"/>
      <c r="H110" s="272" t="str">
        <f>'15th-18thMAY'!J110</f>
        <v/>
      </c>
      <c r="I110" s="281">
        <v>1.0</v>
      </c>
      <c r="J110" s="282">
        <v>0.999</v>
      </c>
      <c r="K110" s="283"/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0.001</v>
      </c>
      <c r="N110" s="191"/>
      <c r="O110" s="247"/>
    </row>
    <row r="111">
      <c r="A111" s="12" t="s">
        <v>122</v>
      </c>
      <c r="B111" s="12" t="s">
        <v>40</v>
      </c>
      <c r="C111" s="271" t="str">
        <f>'15th-18thMAY'!E111</f>
        <v/>
      </c>
      <c r="D111" s="191"/>
      <c r="E111" s="247"/>
      <c r="F111" s="235" t="s">
        <v>35</v>
      </c>
      <c r="G111" s="235"/>
      <c r="H111" s="272" t="str">
        <f>'15th-18thMAY'!J111</f>
        <v/>
      </c>
      <c r="I111" s="281">
        <v>1.0</v>
      </c>
      <c r="J111" s="284"/>
      <c r="K111" s="283"/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'15th-18thMAY'!E112</f>
        <v/>
      </c>
      <c r="D112" s="191"/>
      <c r="E112" s="247"/>
      <c r="F112" s="235" t="s">
        <v>35</v>
      </c>
      <c r="G112" s="235"/>
      <c r="H112" s="272">
        <f>'15th-18thMAY'!J112</f>
        <v>0.69</v>
      </c>
      <c r="I112" s="281">
        <v>1.0</v>
      </c>
      <c r="J112" s="282">
        <v>0.659</v>
      </c>
      <c r="K112" s="283"/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0.031</v>
      </c>
      <c r="N112" s="191"/>
      <c r="O112" s="247"/>
    </row>
    <row r="113">
      <c r="A113" s="12" t="s">
        <v>124</v>
      </c>
      <c r="B113" s="12" t="s">
        <v>40</v>
      </c>
      <c r="C113" s="271" t="str">
        <f>'15th-18thMAY'!E113</f>
        <v/>
      </c>
      <c r="D113" s="191"/>
      <c r="E113" s="247"/>
      <c r="F113" s="235" t="s">
        <v>35</v>
      </c>
      <c r="G113" s="235"/>
      <c r="H113" s="272">
        <f>'15th-18thMAY'!J113</f>
        <v>0.66</v>
      </c>
      <c r="I113" s="281">
        <v>1.0</v>
      </c>
      <c r="J113" s="282">
        <v>0.644</v>
      </c>
      <c r="K113" s="283"/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0.016</v>
      </c>
      <c r="N113" s="191"/>
      <c r="O113" s="247"/>
    </row>
    <row r="114">
      <c r="A114" s="12" t="s">
        <v>125</v>
      </c>
      <c r="B114" s="12" t="s">
        <v>40</v>
      </c>
      <c r="C114" s="271" t="str">
        <f>'15th-18thMAY'!E114</f>
        <v/>
      </c>
      <c r="D114" s="191"/>
      <c r="E114" s="247"/>
      <c r="F114" s="235" t="s">
        <v>35</v>
      </c>
      <c r="G114" s="235"/>
      <c r="H114" s="272" t="str">
        <f>'15th-18thMAY'!J114</f>
        <v/>
      </c>
      <c r="I114" s="281">
        <v>1.0</v>
      </c>
      <c r="J114" s="284"/>
      <c r="K114" s="283"/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'15th-18thMAY'!E115</f>
        <v/>
      </c>
      <c r="D115" s="191"/>
      <c r="E115" s="247"/>
      <c r="F115" s="235" t="s">
        <v>35</v>
      </c>
      <c r="G115" s="235"/>
      <c r="H115" s="272">
        <f>'15th-18thMAY'!J115</f>
        <v>0.44</v>
      </c>
      <c r="I115" s="281">
        <v>1.0</v>
      </c>
      <c r="J115" s="282">
        <v>0.375</v>
      </c>
      <c r="K115" s="283"/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0.065</v>
      </c>
      <c r="N115" s="191"/>
      <c r="O115" s="247"/>
    </row>
    <row r="116">
      <c r="A116" s="12" t="s">
        <v>127</v>
      </c>
      <c r="B116" s="12" t="s">
        <v>40</v>
      </c>
      <c r="C116" s="271" t="str">
        <f>'15th-18thMAY'!E116</f>
        <v/>
      </c>
      <c r="D116" s="191"/>
      <c r="E116" s="247"/>
      <c r="F116" s="235" t="s">
        <v>35</v>
      </c>
      <c r="G116" s="235"/>
      <c r="H116" s="272">
        <f>'15th-18thMAY'!J116</f>
        <v>0.05</v>
      </c>
      <c r="I116" s="281">
        <v>1.0</v>
      </c>
      <c r="J116" s="282">
        <v>0.045</v>
      </c>
      <c r="K116" s="283"/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0.005</v>
      </c>
      <c r="N116" s="191"/>
      <c r="O116" s="247"/>
    </row>
    <row r="117">
      <c r="A117" s="12" t="s">
        <v>128</v>
      </c>
      <c r="B117" s="12" t="s">
        <v>40</v>
      </c>
      <c r="C117" s="271" t="str">
        <f>'15th-18thMAY'!E117</f>
        <v/>
      </c>
      <c r="D117" s="191"/>
      <c r="E117" s="247"/>
      <c r="F117" s="235" t="s">
        <v>35</v>
      </c>
      <c r="G117" s="235"/>
      <c r="H117" s="272">
        <f>'15th-18thMAY'!J117</f>
        <v>0.04</v>
      </c>
      <c r="I117" s="281">
        <v>1.0</v>
      </c>
      <c r="J117" s="282">
        <v>0.033</v>
      </c>
      <c r="K117" s="283"/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0.007</v>
      </c>
      <c r="N117" s="191"/>
      <c r="O117" s="247"/>
    </row>
    <row r="118">
      <c r="A118" s="12" t="s">
        <v>129</v>
      </c>
      <c r="B118" s="12" t="s">
        <v>40</v>
      </c>
      <c r="C118" s="271" t="str">
        <f>'15th-18thMAY'!E118</f>
        <v/>
      </c>
      <c r="D118" s="191"/>
      <c r="E118" s="247"/>
      <c r="F118" s="235" t="s">
        <v>35</v>
      </c>
      <c r="G118" s="235"/>
      <c r="H118" s="272">
        <f>'15th-18thMAY'!J118</f>
        <v>0.89</v>
      </c>
      <c r="I118" s="281">
        <v>1.0</v>
      </c>
      <c r="J118" s="282">
        <v>0.873</v>
      </c>
      <c r="K118" s="283"/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0.017</v>
      </c>
      <c r="N118" s="191"/>
      <c r="O118" s="247"/>
    </row>
    <row r="119">
      <c r="A119" s="12" t="s">
        <v>130</v>
      </c>
      <c r="B119" s="12" t="s">
        <v>40</v>
      </c>
      <c r="C119" s="271" t="str">
        <f>'15th-18thMAY'!E119</f>
        <v/>
      </c>
      <c r="D119" s="227">
        <v>1.0</v>
      </c>
      <c r="E119" s="247"/>
      <c r="F119" s="235" t="s">
        <v>35</v>
      </c>
      <c r="G119" s="235"/>
      <c r="H119" s="272">
        <f>'15th-18thMAY'!J119</f>
        <v>0.48</v>
      </c>
      <c r="I119" s="281">
        <v>1.0</v>
      </c>
      <c r="J119" s="282">
        <v>0.671</v>
      </c>
      <c r="K119" s="283"/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0.309</v>
      </c>
      <c r="N119" s="191"/>
      <c r="O119" s="247"/>
    </row>
    <row r="120">
      <c r="A120" s="12" t="s">
        <v>131</v>
      </c>
      <c r="B120" s="12" t="s">
        <v>40</v>
      </c>
      <c r="C120" s="271" t="str">
        <f>'15th-18thMAY'!E120</f>
        <v/>
      </c>
      <c r="D120" s="191"/>
      <c r="E120" s="247"/>
      <c r="F120" s="235" t="s">
        <v>35</v>
      </c>
      <c r="G120" s="235"/>
      <c r="H120" s="272" t="str">
        <f>'15th-18thMAY'!J120</f>
        <v/>
      </c>
      <c r="I120" s="281">
        <v>1.0</v>
      </c>
      <c r="J120" s="282"/>
      <c r="K120" s="283"/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247"/>
    </row>
    <row r="121">
      <c r="A121" s="12" t="s">
        <v>132</v>
      </c>
      <c r="B121" s="12" t="s">
        <v>40</v>
      </c>
      <c r="C121" s="271" t="str">
        <f>'15th-18thMAY'!E121</f>
        <v/>
      </c>
      <c r="D121" s="191"/>
      <c r="E121" s="247"/>
      <c r="F121" s="235" t="s">
        <v>35</v>
      </c>
      <c r="G121" s="235"/>
      <c r="H121" s="272">
        <f>'15th-18thMAY'!J121</f>
        <v>0.795</v>
      </c>
      <c r="I121" s="281">
        <v>1.0</v>
      </c>
      <c r="J121" s="282">
        <v>0.699</v>
      </c>
      <c r="K121" s="283"/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0.096</v>
      </c>
      <c r="N121" s="191"/>
      <c r="O121" s="247"/>
    </row>
    <row r="122">
      <c r="A122" s="12" t="s">
        <v>133</v>
      </c>
      <c r="B122" s="12" t="s">
        <v>40</v>
      </c>
      <c r="C122" s="271">
        <f>'15th-18thMAY'!E122</f>
        <v>1</v>
      </c>
      <c r="D122" s="191"/>
      <c r="E122" s="280">
        <v>1.0</v>
      </c>
      <c r="F122" s="235" t="s">
        <v>35</v>
      </c>
      <c r="G122" s="235"/>
      <c r="H122" s="272">
        <f>'15th-18thMAY'!J122</f>
        <v>0.035</v>
      </c>
      <c r="I122" s="281">
        <v>1.0</v>
      </c>
      <c r="J122" s="282">
        <v>0.025</v>
      </c>
      <c r="K122" s="283"/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0.01</v>
      </c>
      <c r="N122" s="191"/>
      <c r="O122" s="247"/>
    </row>
    <row r="123">
      <c r="A123" s="12" t="s">
        <v>134</v>
      </c>
      <c r="B123" s="12" t="s">
        <v>40</v>
      </c>
      <c r="C123" s="271" t="str">
        <f>'15th-18thMAY'!E123</f>
        <v/>
      </c>
      <c r="D123" s="191"/>
      <c r="E123" s="247"/>
      <c r="F123" s="235" t="s">
        <v>35</v>
      </c>
      <c r="G123" s="235"/>
      <c r="H123" s="272" t="str">
        <f>'15th-18thMAY'!J123</f>
        <v/>
      </c>
      <c r="I123" s="281">
        <v>1.0</v>
      </c>
      <c r="J123" s="284"/>
      <c r="K123" s="283"/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'15th-18thMAY'!E124</f>
        <v/>
      </c>
      <c r="D124" s="191"/>
      <c r="E124" s="247"/>
      <c r="F124" s="235" t="s">
        <v>35</v>
      </c>
      <c r="G124" s="235"/>
      <c r="H124" s="272" t="str">
        <f>'15th-18thMAY'!J124</f>
        <v/>
      </c>
      <c r="I124" s="281">
        <v>1.0</v>
      </c>
      <c r="J124" s="284"/>
      <c r="K124" s="283"/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'15th-18thMAY'!E125</f>
        <v/>
      </c>
      <c r="D125" s="227">
        <v>8.0</v>
      </c>
      <c r="E125" s="247"/>
      <c r="F125" s="285" t="s">
        <v>35</v>
      </c>
      <c r="G125" s="235"/>
      <c r="H125" s="272" t="str">
        <f>'15th-18thMAY'!J125</f>
        <v/>
      </c>
      <c r="I125" s="281">
        <v>1.0</v>
      </c>
      <c r="J125" s="284"/>
      <c r="K125" s="283"/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3.84</v>
      </c>
      <c r="N125" s="191"/>
      <c r="O125" s="247"/>
    </row>
    <row r="126">
      <c r="A126" s="21" t="s">
        <v>143</v>
      </c>
      <c r="B126" s="15" t="s">
        <v>40</v>
      </c>
      <c r="C126" s="271" t="str">
        <f>'15th-18thMAY'!E126</f>
        <v/>
      </c>
      <c r="D126" s="191"/>
      <c r="E126" s="247"/>
      <c r="F126" s="285" t="s">
        <v>35</v>
      </c>
      <c r="G126" s="235"/>
      <c r="H126" s="272">
        <f>'15th-18thMAY'!J126</f>
        <v>0.04</v>
      </c>
      <c r="I126" s="281">
        <v>1.0</v>
      </c>
      <c r="J126" s="284"/>
      <c r="K126" s="283"/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0.02</v>
      </c>
      <c r="N126" s="191"/>
      <c r="O126" s="247"/>
    </row>
    <row r="127">
      <c r="A127" s="10" t="s">
        <v>146</v>
      </c>
      <c r="B127" s="11"/>
      <c r="C127" s="271" t="str">
        <f>'15th-18thMAY'!E127</f>
        <v/>
      </c>
      <c r="D127" s="191"/>
      <c r="E127" s="247"/>
      <c r="F127" s="235"/>
      <c r="G127" s="235"/>
      <c r="H127" s="272" t="str">
        <f>'15th-18thMAY'!J127</f>
        <v/>
      </c>
      <c r="I127" s="281">
        <v>1.0</v>
      </c>
      <c r="J127" s="284"/>
      <c r="K127" s="283"/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'15th-18thMAY'!E128</f>
        <v/>
      </c>
      <c r="D128" s="191"/>
      <c r="E128" s="247"/>
      <c r="F128" s="235" t="s">
        <v>35</v>
      </c>
      <c r="G128" s="235"/>
      <c r="H128" s="272" t="str">
        <f>'15th-18thMAY'!J128</f>
        <v/>
      </c>
      <c r="I128" s="281">
        <v>1.0</v>
      </c>
      <c r="J128" s="284"/>
      <c r="K128" s="283"/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'15th-18thMAY'!E129</f>
        <v/>
      </c>
      <c r="D129" s="191"/>
      <c r="E129" s="247"/>
      <c r="F129" s="235" t="s">
        <v>35</v>
      </c>
      <c r="G129" s="235"/>
      <c r="H129" s="272">
        <f>'15th-18thMAY'!J129</f>
        <v>1</v>
      </c>
      <c r="I129" s="281">
        <v>1.0</v>
      </c>
      <c r="J129" s="282">
        <v>0.33</v>
      </c>
      <c r="K129" s="283"/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0.67</v>
      </c>
      <c r="N129" s="191"/>
      <c r="O129" s="247"/>
    </row>
    <row r="130">
      <c r="A130" s="12" t="s">
        <v>149</v>
      </c>
      <c r="B130" s="12" t="s">
        <v>40</v>
      </c>
      <c r="C130" s="271">
        <f>'15th-18thMAY'!E130</f>
        <v>1</v>
      </c>
      <c r="D130" s="191"/>
      <c r="E130" s="247"/>
      <c r="F130" s="235" t="s">
        <v>35</v>
      </c>
      <c r="G130" s="235"/>
      <c r="H130" s="272">
        <f>'15th-18thMAY'!J130</f>
        <v>0.089</v>
      </c>
      <c r="I130" s="281">
        <v>1.0</v>
      </c>
      <c r="J130" s="282">
        <v>0.391</v>
      </c>
      <c r="K130" s="283"/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0.198</v>
      </c>
      <c r="N130" s="191"/>
      <c r="O130" s="247"/>
    </row>
    <row r="131">
      <c r="A131" s="12" t="s">
        <v>150</v>
      </c>
      <c r="B131" s="12" t="s">
        <v>24</v>
      </c>
      <c r="C131" s="271" t="str">
        <f>'15th-18thMAY'!E131</f>
        <v/>
      </c>
      <c r="D131" s="191"/>
      <c r="E131" s="247"/>
      <c r="F131" s="235" t="s">
        <v>25</v>
      </c>
      <c r="G131" s="235"/>
      <c r="H131" s="272" t="str">
        <f>'15th-18thMAY'!J131</f>
        <v/>
      </c>
      <c r="I131" s="281">
        <v>1.0</v>
      </c>
      <c r="J131" s="284"/>
      <c r="K131" s="283"/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'15th-18thMAY'!E132</f>
        <v/>
      </c>
      <c r="D132" s="191"/>
      <c r="E132" s="247"/>
      <c r="F132" s="235"/>
      <c r="G132" s="235"/>
      <c r="H132" s="272" t="str">
        <f>'15th-18thMAY'!J132</f>
        <v/>
      </c>
      <c r="I132" s="281">
        <v>1.0</v>
      </c>
      <c r="J132" s="284"/>
      <c r="K132" s="283"/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'15th-18thMAY'!E133</f>
        <v/>
      </c>
      <c r="D133" s="227">
        <v>3.0</v>
      </c>
      <c r="E133" s="247"/>
      <c r="F133" s="235" t="s">
        <v>35</v>
      </c>
      <c r="G133" s="235"/>
      <c r="H133" s="272" t="str">
        <f>'15th-18thMAY'!J133</f>
        <v/>
      </c>
      <c r="I133" s="281">
        <v>1.0</v>
      </c>
      <c r="J133" s="284"/>
      <c r="K133" s="283"/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0.6</v>
      </c>
      <c r="N133" s="191"/>
      <c r="O133" s="247"/>
    </row>
    <row r="134">
      <c r="A134" s="12" t="s">
        <v>154</v>
      </c>
      <c r="B134" s="12" t="s">
        <v>155</v>
      </c>
      <c r="C134" s="271" t="str">
        <f>'15th-18thMAY'!E134</f>
        <v/>
      </c>
      <c r="D134" s="227">
        <v>3.0</v>
      </c>
      <c r="E134" s="247"/>
      <c r="F134" s="235" t="s">
        <v>35</v>
      </c>
      <c r="G134" s="235"/>
      <c r="H134" s="272" t="str">
        <f>'15th-18thMAY'!J134</f>
        <v/>
      </c>
      <c r="I134" s="281">
        <v>1.0</v>
      </c>
      <c r="J134" s="284"/>
      <c r="K134" s="283"/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1.5</v>
      </c>
      <c r="N134" s="191"/>
      <c r="O134" s="247"/>
    </row>
    <row r="135">
      <c r="A135" s="12" t="s">
        <v>157</v>
      </c>
      <c r="B135" s="12" t="s">
        <v>34</v>
      </c>
      <c r="C135" s="271">
        <f>'15th-18thMAY'!E135</f>
        <v>1</v>
      </c>
      <c r="D135" s="227"/>
      <c r="E135" s="280"/>
      <c r="F135" s="235" t="s">
        <v>35</v>
      </c>
      <c r="G135" s="235"/>
      <c r="H135" s="272">
        <f>'15th-18thMAY'!J135</f>
        <v>0.355</v>
      </c>
      <c r="I135" s="281">
        <v>1.0</v>
      </c>
      <c r="J135" s="282">
        <v>0.27</v>
      </c>
      <c r="K135" s="283"/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0.51</v>
      </c>
      <c r="N135" s="191"/>
      <c r="O135" s="247"/>
    </row>
    <row r="136">
      <c r="A136" s="12" t="s">
        <v>158</v>
      </c>
      <c r="B136" s="12" t="s">
        <v>34</v>
      </c>
      <c r="C136" s="271" t="str">
        <f>'15th-18thMAY'!E136</f>
        <v/>
      </c>
      <c r="D136" s="227">
        <v>1.0</v>
      </c>
      <c r="E136" s="247"/>
      <c r="F136" s="235" t="s">
        <v>35</v>
      </c>
      <c r="G136" s="235"/>
      <c r="H136" s="272" t="str">
        <f>'15th-18thMAY'!J136</f>
        <v/>
      </c>
      <c r="I136" s="281">
        <v>1.0</v>
      </c>
      <c r="J136" s="284"/>
      <c r="K136" s="283"/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0.425</v>
      </c>
      <c r="N136" s="191"/>
      <c r="O136" s="247"/>
    </row>
    <row r="137">
      <c r="A137" s="12" t="s">
        <v>159</v>
      </c>
      <c r="B137" s="12" t="s">
        <v>34</v>
      </c>
      <c r="C137" s="271" t="str">
        <f>'15th-18thMAY'!E137</f>
        <v/>
      </c>
      <c r="D137" s="191"/>
      <c r="E137" s="247"/>
      <c r="F137" s="235" t="s">
        <v>35</v>
      </c>
      <c r="G137" s="235"/>
      <c r="H137" s="272" t="str">
        <f>'15th-18thMAY'!J137</f>
        <v/>
      </c>
      <c r="I137" s="281">
        <v>1.0</v>
      </c>
      <c r="J137" s="284"/>
      <c r="K137" s="283"/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'15th-18thMAY'!E138</f>
        <v/>
      </c>
      <c r="D138" s="191"/>
      <c r="E138" s="247"/>
      <c r="F138" s="235" t="s">
        <v>35</v>
      </c>
      <c r="G138" s="285">
        <v>0.111</v>
      </c>
      <c r="H138" s="272">
        <f>'15th-18thMAY'!J138</f>
        <v>0.328</v>
      </c>
      <c r="I138" s="281">
        <v>1.0</v>
      </c>
      <c r="J138" s="282">
        <v>0.439</v>
      </c>
      <c r="K138" s="283"/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</v>
      </c>
      <c r="N138" s="191"/>
      <c r="O138" s="247"/>
    </row>
    <row r="139">
      <c r="A139" s="12" t="s">
        <v>161</v>
      </c>
      <c r="B139" s="12" t="s">
        <v>34</v>
      </c>
      <c r="C139" s="271" t="str">
        <f>'15th-18thMAY'!E139</f>
        <v/>
      </c>
      <c r="D139" s="191"/>
      <c r="E139" s="247"/>
      <c r="F139" s="235" t="s">
        <v>35</v>
      </c>
      <c r="G139" s="285">
        <v>0.182</v>
      </c>
      <c r="H139" s="272">
        <f>'15th-18thMAY'!J139</f>
        <v>0.308</v>
      </c>
      <c r="I139" s="281">
        <v>1.0</v>
      </c>
      <c r="J139" s="282">
        <v>0.49</v>
      </c>
      <c r="K139" s="283"/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</v>
      </c>
      <c r="N139" s="191"/>
      <c r="O139" s="247"/>
    </row>
    <row r="140">
      <c r="A140" s="12" t="s">
        <v>162</v>
      </c>
      <c r="B140" s="12" t="s">
        <v>34</v>
      </c>
      <c r="C140" s="271" t="str">
        <f>'15th-18thMAY'!E140</f>
        <v/>
      </c>
      <c r="D140" s="191"/>
      <c r="E140" s="247"/>
      <c r="F140" s="235" t="s">
        <v>35</v>
      </c>
      <c r="G140" s="285">
        <v>0.25</v>
      </c>
      <c r="H140" s="272" t="str">
        <f>'15th-18thMAY'!J140</f>
        <v/>
      </c>
      <c r="I140" s="281">
        <v>1.0</v>
      </c>
      <c r="J140" s="282">
        <v>0.25</v>
      </c>
      <c r="K140" s="283"/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 t="str">
        <f>'15th-18thMAY'!E141</f>
        <v/>
      </c>
      <c r="D141" s="191"/>
      <c r="E141" s="247"/>
      <c r="F141" s="235" t="s">
        <v>35</v>
      </c>
      <c r="G141" s="235"/>
      <c r="H141" s="272">
        <f>'15th-18thMAY'!J141</f>
        <v>0.9</v>
      </c>
      <c r="I141" s="281">
        <v>1.0</v>
      </c>
      <c r="J141" s="282">
        <v>0.743</v>
      </c>
      <c r="K141" s="283"/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0.157</v>
      </c>
      <c r="N141" s="191"/>
      <c r="O141" s="247"/>
    </row>
    <row r="142">
      <c r="A142" s="12" t="s">
        <v>164</v>
      </c>
      <c r="B142" s="12" t="s">
        <v>155</v>
      </c>
      <c r="C142" s="271" t="str">
        <f>'15th-18thMAY'!E142</f>
        <v/>
      </c>
      <c r="D142" s="227">
        <v>1.0</v>
      </c>
      <c r="E142" s="247"/>
      <c r="F142" s="235" t="s">
        <v>35</v>
      </c>
      <c r="G142" s="235"/>
      <c r="H142" s="272">
        <f>'15th-18thMAY'!J142</f>
        <v>0.375</v>
      </c>
      <c r="I142" s="281">
        <v>1.0</v>
      </c>
      <c r="J142" s="282">
        <v>0.28</v>
      </c>
      <c r="K142" s="283"/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0.595</v>
      </c>
      <c r="N142" s="191"/>
      <c r="O142" s="247"/>
    </row>
    <row r="143">
      <c r="A143" s="12" t="s">
        <v>165</v>
      </c>
      <c r="B143" s="12" t="s">
        <v>155</v>
      </c>
      <c r="C143" s="271" t="str">
        <f>'15th-18thMAY'!E143</f>
        <v/>
      </c>
      <c r="D143" s="191"/>
      <c r="E143" s="247"/>
      <c r="F143" s="235" t="s">
        <v>35</v>
      </c>
      <c r="G143" s="235"/>
      <c r="H143" s="272" t="str">
        <f>'15th-18thMAY'!J143</f>
        <v/>
      </c>
      <c r="I143" s="281">
        <v>1.0</v>
      </c>
      <c r="J143" s="284"/>
      <c r="K143" s="283"/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'15th-18thMAY'!E144</f>
        <v/>
      </c>
      <c r="D144" s="191"/>
      <c r="E144" s="247"/>
      <c r="F144" s="235" t="s">
        <v>35</v>
      </c>
      <c r="G144" s="235"/>
      <c r="H144" s="272">
        <f>'15th-18thMAY'!J144</f>
        <v>0.71</v>
      </c>
      <c r="I144" s="281">
        <v>1.0</v>
      </c>
      <c r="J144" s="284"/>
      <c r="K144" s="283"/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0.51</v>
      </c>
      <c r="N144" s="191"/>
      <c r="O144" s="247"/>
    </row>
    <row r="145">
      <c r="A145" s="12" t="s">
        <v>167</v>
      </c>
      <c r="B145" s="12" t="s">
        <v>106</v>
      </c>
      <c r="C145" s="271" t="str">
        <f>'15th-18thMAY'!E145</f>
        <v/>
      </c>
      <c r="D145" s="227">
        <v>1.0</v>
      </c>
      <c r="E145" s="247"/>
      <c r="F145" s="235" t="s">
        <v>35</v>
      </c>
      <c r="G145" s="235"/>
      <c r="H145" s="272">
        <f>'15th-18thMAY'!J145</f>
        <v>0.507</v>
      </c>
      <c r="I145" s="281">
        <v>1.0</v>
      </c>
      <c r="J145" s="282">
        <v>0.473</v>
      </c>
      <c r="K145" s="283"/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0.449</v>
      </c>
      <c r="N145" s="191"/>
      <c r="O145" s="247"/>
    </row>
    <row r="146">
      <c r="A146" s="12" t="s">
        <v>168</v>
      </c>
      <c r="B146" s="12" t="s">
        <v>17</v>
      </c>
      <c r="C146" s="271" t="str">
        <f>'15th-18thMAY'!E146</f>
        <v/>
      </c>
      <c r="D146" s="227">
        <v>1.0</v>
      </c>
      <c r="E146" s="280">
        <v>1.0</v>
      </c>
      <c r="F146" s="235" t="s">
        <v>35</v>
      </c>
      <c r="G146" s="235"/>
      <c r="H146" s="272">
        <f>'15th-18thMAY'!J146</f>
        <v>0.205</v>
      </c>
      <c r="I146" s="281">
        <v>1.0</v>
      </c>
      <c r="J146" s="284"/>
      <c r="K146" s="283"/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0.19</v>
      </c>
      <c r="N146" s="191"/>
      <c r="O146" s="247"/>
    </row>
    <row r="147">
      <c r="A147" s="12" t="s">
        <v>169</v>
      </c>
      <c r="B147" s="12" t="s">
        <v>106</v>
      </c>
      <c r="C147" s="271" t="str">
        <f>'15th-18thMAY'!E147</f>
        <v/>
      </c>
      <c r="D147" s="191"/>
      <c r="E147" s="247"/>
      <c r="F147" s="235" t="s">
        <v>35</v>
      </c>
      <c r="G147" s="235"/>
      <c r="H147" s="272" t="str">
        <f>'15th-18thMAY'!J147</f>
        <v/>
      </c>
      <c r="I147" s="281">
        <v>1.0</v>
      </c>
      <c r="J147" s="284"/>
      <c r="K147" s="283"/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'15th-18thMAY'!E148</f>
        <v/>
      </c>
      <c r="D148" s="191"/>
      <c r="E148" s="247"/>
      <c r="F148" s="235" t="s">
        <v>35</v>
      </c>
      <c r="G148" s="235"/>
      <c r="H148" s="272" t="str">
        <f>'15th-18thMAY'!J148</f>
        <v/>
      </c>
      <c r="I148" s="281">
        <v>1.0</v>
      </c>
      <c r="J148" s="284"/>
      <c r="K148" s="283"/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 t="str">
        <f>'15th-18thMAY'!E149</f>
        <v/>
      </c>
      <c r="D149" s="191"/>
      <c r="E149" s="247"/>
      <c r="F149" s="235" t="s">
        <v>14</v>
      </c>
      <c r="G149" s="285">
        <v>0.197</v>
      </c>
      <c r="H149" s="272" t="str">
        <f>'15th-18thMAY'!J149</f>
        <v/>
      </c>
      <c r="I149" s="281">
        <v>1.0</v>
      </c>
      <c r="J149" s="282">
        <v>0.197</v>
      </c>
      <c r="K149" s="283"/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</v>
      </c>
      <c r="N149" s="191"/>
      <c r="O149" s="247"/>
    </row>
    <row r="150">
      <c r="A150" s="11" t="s">
        <v>173</v>
      </c>
      <c r="B150" s="11" t="s">
        <v>106</v>
      </c>
      <c r="C150" s="271" t="str">
        <f>'15th-18thMAY'!E150</f>
        <v/>
      </c>
      <c r="D150" s="287">
        <v>3.0</v>
      </c>
      <c r="E150" s="288"/>
      <c r="F150" s="235" t="s">
        <v>14</v>
      </c>
      <c r="G150" s="289"/>
      <c r="H150" s="272" t="str">
        <f>'15th-18thMAY'!J150</f>
        <v/>
      </c>
      <c r="I150" s="281">
        <v>1.0</v>
      </c>
      <c r="J150" s="301">
        <v>0.713</v>
      </c>
      <c r="K150" s="283"/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1.942</v>
      </c>
      <c r="N150" s="216"/>
      <c r="O150" s="292"/>
    </row>
    <row r="151">
      <c r="A151" s="22" t="s">
        <v>174</v>
      </c>
      <c r="B151" s="23" t="s">
        <v>106</v>
      </c>
      <c r="C151" s="271" t="str">
        <f>'15th-18thMAY'!E151</f>
        <v/>
      </c>
      <c r="D151" s="216"/>
      <c r="E151" s="288"/>
      <c r="F151" s="235" t="s">
        <v>14</v>
      </c>
      <c r="G151" s="289"/>
      <c r="H151" s="272">
        <f>'15th-18thMAY'!J151</f>
        <v>0.336</v>
      </c>
      <c r="I151" s="281">
        <v>1.0</v>
      </c>
      <c r="J151" s="301">
        <v>0.324</v>
      </c>
      <c r="K151" s="283"/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0.012</v>
      </c>
      <c r="N151" s="216"/>
      <c r="O151" s="292"/>
    </row>
    <row r="152">
      <c r="A152" s="10" t="s">
        <v>175</v>
      </c>
      <c r="B152" s="11"/>
      <c r="C152" s="271" t="str">
        <f>'15th-18thMAY'!E152</f>
        <v/>
      </c>
      <c r="D152" s="191"/>
      <c r="E152" s="247"/>
      <c r="F152" s="235"/>
      <c r="G152" s="235"/>
      <c r="H152" s="272" t="str">
        <f>'15th-18thMAY'!J152</f>
        <v/>
      </c>
      <c r="I152" s="281">
        <v>1.0</v>
      </c>
      <c r="J152" s="284"/>
      <c r="K152" s="283"/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'15th-18thMAY'!E153</f>
        <v/>
      </c>
      <c r="D153" s="227">
        <v>6.0</v>
      </c>
      <c r="E153" s="247"/>
      <c r="F153" s="235" t="s">
        <v>25</v>
      </c>
      <c r="G153" s="235"/>
      <c r="H153" s="272">
        <f>'15th-18thMAY'!J153</f>
        <v>4</v>
      </c>
      <c r="I153" s="281">
        <v>1.0</v>
      </c>
      <c r="J153" s="282">
        <v>1.57</v>
      </c>
      <c r="K153" s="283"/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8.43</v>
      </c>
      <c r="N153" s="191"/>
      <c r="O153" s="247"/>
    </row>
    <row r="154">
      <c r="A154" s="12" t="s">
        <v>178</v>
      </c>
      <c r="B154" s="12" t="s">
        <v>35</v>
      </c>
      <c r="C154" s="271">
        <f>'15th-18thMAY'!E154</f>
        <v>6</v>
      </c>
      <c r="D154" s="227">
        <v>16.0</v>
      </c>
      <c r="E154" s="280"/>
      <c r="F154" s="235" t="s">
        <v>35</v>
      </c>
      <c r="G154" s="235"/>
      <c r="H154" s="272" t="str">
        <f>'15th-18thMAY'!J154</f>
        <v/>
      </c>
      <c r="I154" s="281">
        <v>1.0</v>
      </c>
      <c r="J154" s="282">
        <v>2.193</v>
      </c>
      <c r="K154" s="283"/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8.807</v>
      </c>
      <c r="N154" s="191"/>
      <c r="O154" s="247"/>
    </row>
    <row r="155">
      <c r="A155" s="12" t="s">
        <v>180</v>
      </c>
      <c r="B155" s="12" t="s">
        <v>35</v>
      </c>
      <c r="C155" s="271" t="str">
        <f>'15th-18thMAY'!E155</f>
        <v/>
      </c>
      <c r="D155" s="191"/>
      <c r="E155" s="247"/>
      <c r="F155" s="235" t="s">
        <v>35</v>
      </c>
      <c r="G155" s="285">
        <v>0.662</v>
      </c>
      <c r="H155" s="272">
        <f>'15th-18thMAY'!J155</f>
        <v>0.15</v>
      </c>
      <c r="I155" s="281">
        <v>1.0</v>
      </c>
      <c r="J155" s="282">
        <v>0.39</v>
      </c>
      <c r="K155" s="283"/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0.422</v>
      </c>
      <c r="N155" s="191"/>
      <c r="O155" s="247"/>
    </row>
    <row r="156">
      <c r="A156" s="12" t="s">
        <v>181</v>
      </c>
      <c r="B156" s="12" t="s">
        <v>35</v>
      </c>
      <c r="C156" s="271" t="str">
        <f>'15th-18thMAY'!E156</f>
        <v/>
      </c>
      <c r="D156" s="227">
        <v>1.0</v>
      </c>
      <c r="E156" s="280"/>
      <c r="F156" s="235" t="s">
        <v>35</v>
      </c>
      <c r="G156" s="235"/>
      <c r="H156" s="272" t="str">
        <f>'15th-18thMAY'!J156</f>
        <v/>
      </c>
      <c r="I156" s="281">
        <v>1.0</v>
      </c>
      <c r="J156" s="282">
        <v>0.719</v>
      </c>
      <c r="K156" s="283"/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0.469</v>
      </c>
      <c r="N156" s="191"/>
      <c r="O156" s="247"/>
    </row>
    <row r="157">
      <c r="A157" s="12" t="s">
        <v>182</v>
      </c>
      <c r="B157" s="12" t="s">
        <v>35</v>
      </c>
      <c r="C157" s="271" t="str">
        <f>'15th-18thMAY'!E157</f>
        <v/>
      </c>
      <c r="D157" s="191"/>
      <c r="E157" s="247"/>
      <c r="F157" s="235" t="s">
        <v>35</v>
      </c>
      <c r="G157" s="285"/>
      <c r="H157" s="272" t="str">
        <f>'15th-18thMAY'!J157</f>
        <v/>
      </c>
      <c r="I157" s="281">
        <v>1.0</v>
      </c>
      <c r="J157" s="282"/>
      <c r="K157" s="283"/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71" t="str">
        <f>'15th-18thMAY'!E158</f>
        <v/>
      </c>
      <c r="D158" s="191"/>
      <c r="E158" s="247"/>
      <c r="F158" s="235" t="s">
        <v>14</v>
      </c>
      <c r="G158" s="235"/>
      <c r="H158" s="272" t="str">
        <f>'15th-18thMAY'!J158</f>
        <v/>
      </c>
      <c r="I158" s="281">
        <v>1.0</v>
      </c>
      <c r="J158" s="284"/>
      <c r="K158" s="283"/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'15th-18thMAY'!E159</f>
        <v/>
      </c>
      <c r="D159" s="191"/>
      <c r="E159" s="247"/>
      <c r="F159" s="235"/>
      <c r="G159" s="235"/>
      <c r="H159" s="272" t="str">
        <f>'15th-18thMAY'!J159</f>
        <v/>
      </c>
      <c r="I159" s="281">
        <v>1.0</v>
      </c>
      <c r="J159" s="284"/>
      <c r="K159" s="283"/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'15th-18thMAY'!E160</f>
        <v/>
      </c>
      <c r="D160" s="227">
        <v>5.0</v>
      </c>
      <c r="E160" s="247"/>
      <c r="F160" s="235" t="s">
        <v>17</v>
      </c>
      <c r="G160" s="235"/>
      <c r="H160" s="272">
        <f>'15th-18thMAY'!J160</f>
        <v>2</v>
      </c>
      <c r="I160" s="281">
        <v>1.0</v>
      </c>
      <c r="J160" s="284"/>
      <c r="K160" s="283"/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7</v>
      </c>
      <c r="N160" s="191"/>
      <c r="O160" s="247"/>
    </row>
    <row r="161">
      <c r="A161" s="12" t="s">
        <v>187</v>
      </c>
      <c r="B161" s="12" t="s">
        <v>17</v>
      </c>
      <c r="C161" s="271" t="str">
        <f>'15th-18thMAY'!E161</f>
        <v/>
      </c>
      <c r="D161" s="227">
        <v>7.0</v>
      </c>
      <c r="E161" s="247"/>
      <c r="F161" s="235" t="s">
        <v>17</v>
      </c>
      <c r="G161" s="235"/>
      <c r="H161" s="272">
        <f>'15th-18thMAY'!J161</f>
        <v>1</v>
      </c>
      <c r="I161" s="281">
        <v>1.0</v>
      </c>
      <c r="J161" s="282">
        <v>1.5</v>
      </c>
      <c r="K161" s="283"/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6.5</v>
      </c>
      <c r="N161" s="191"/>
      <c r="O161" s="247"/>
    </row>
    <row r="162">
      <c r="A162" s="12" t="s">
        <v>188</v>
      </c>
      <c r="B162" s="12" t="s">
        <v>35</v>
      </c>
      <c r="C162" s="271" t="str">
        <f>'15th-18thMAY'!E162</f>
        <v/>
      </c>
      <c r="D162" s="227">
        <v>8.8</v>
      </c>
      <c r="E162" s="247"/>
      <c r="F162" s="235" t="s">
        <v>35</v>
      </c>
      <c r="G162" s="285">
        <v>0.25</v>
      </c>
      <c r="H162" s="272">
        <f>'15th-18thMAY'!J162</f>
        <v>3</v>
      </c>
      <c r="I162" s="281">
        <v>1.0</v>
      </c>
      <c r="J162" s="282">
        <v>0.989</v>
      </c>
      <c r="K162" s="283"/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11.061</v>
      </c>
      <c r="N162" s="191"/>
      <c r="O162" s="247"/>
    </row>
    <row r="163">
      <c r="A163" s="12" t="s">
        <v>189</v>
      </c>
      <c r="B163" s="12" t="s">
        <v>17</v>
      </c>
      <c r="C163" s="271" t="str">
        <f>'15th-18thMAY'!E163</f>
        <v/>
      </c>
      <c r="D163" s="227">
        <v>3.0</v>
      </c>
      <c r="E163" s="280"/>
      <c r="F163" s="235" t="s">
        <v>17</v>
      </c>
      <c r="G163" s="235"/>
      <c r="H163" s="272" t="str">
        <f>'15th-18thMAY'!J163</f>
        <v/>
      </c>
      <c r="I163" s="281">
        <v>1.0</v>
      </c>
      <c r="J163" s="282"/>
      <c r="K163" s="283"/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3</v>
      </c>
      <c r="N163" s="191"/>
      <c r="O163" s="247"/>
    </row>
    <row r="164">
      <c r="A164" s="12" t="s">
        <v>190</v>
      </c>
      <c r="B164" s="12" t="s">
        <v>17</v>
      </c>
      <c r="C164" s="271" t="str">
        <f>'15th-18thMAY'!E164</f>
        <v/>
      </c>
      <c r="D164" s="191"/>
      <c r="E164" s="247"/>
      <c r="F164" s="235" t="s">
        <v>17</v>
      </c>
      <c r="G164" s="235"/>
      <c r="H164" s="272" t="str">
        <f>'15th-18thMAY'!J164</f>
        <v/>
      </c>
      <c r="I164" s="281">
        <v>1.0</v>
      </c>
      <c r="J164" s="284"/>
      <c r="K164" s="283"/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'15th-18thMAY'!E165</f>
        <v/>
      </c>
      <c r="D165" s="227">
        <v>2.3</v>
      </c>
      <c r="E165" s="247"/>
      <c r="F165" s="235" t="s">
        <v>35</v>
      </c>
      <c r="G165" s="235"/>
      <c r="H165" s="272">
        <f>'15th-18thMAY'!J165</f>
        <v>0.89</v>
      </c>
      <c r="I165" s="281">
        <v>1.0</v>
      </c>
      <c r="J165" s="284"/>
      <c r="K165" s="283"/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3.19</v>
      </c>
      <c r="N165" s="191"/>
      <c r="O165" s="247"/>
    </row>
    <row r="166">
      <c r="A166" s="12" t="s">
        <v>192</v>
      </c>
      <c r="B166" s="12" t="s">
        <v>35</v>
      </c>
      <c r="C166" s="271" t="str">
        <f>'15th-18thMAY'!E166</f>
        <v/>
      </c>
      <c r="D166" s="227">
        <v>1.8</v>
      </c>
      <c r="E166" s="247"/>
      <c r="F166" s="235" t="s">
        <v>35</v>
      </c>
      <c r="G166" s="285"/>
      <c r="H166" s="272">
        <f>'15th-18thMAY'!J166</f>
        <v>0.38</v>
      </c>
      <c r="I166" s="281">
        <v>1.0</v>
      </c>
      <c r="J166" s="282">
        <v>0.27</v>
      </c>
      <c r="K166" s="283"/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1.91</v>
      </c>
      <c r="N166" s="191"/>
      <c r="O166" s="247"/>
    </row>
    <row r="167">
      <c r="A167" s="12" t="s">
        <v>193</v>
      </c>
      <c r="B167" s="12" t="s">
        <v>35</v>
      </c>
      <c r="C167" s="271" t="str">
        <f>'15th-18thMAY'!E167</f>
        <v/>
      </c>
      <c r="D167" s="227">
        <v>20.5</v>
      </c>
      <c r="E167" s="247"/>
      <c r="F167" s="235" t="s">
        <v>35</v>
      </c>
      <c r="G167" s="235"/>
      <c r="H167" s="272">
        <f>'15th-18thMAY'!J167</f>
        <v>3.455</v>
      </c>
      <c r="I167" s="281">
        <v>1.0</v>
      </c>
      <c r="J167" s="282">
        <v>2.0</v>
      </c>
      <c r="K167" s="283"/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21.955</v>
      </c>
      <c r="N167" s="191"/>
      <c r="O167" s="247"/>
    </row>
    <row r="168">
      <c r="A168" s="12" t="s">
        <v>194</v>
      </c>
      <c r="B168" s="12" t="s">
        <v>17</v>
      </c>
      <c r="C168" s="271" t="str">
        <f>'15th-18thMAY'!E168</f>
        <v/>
      </c>
      <c r="D168" s="227">
        <v>2.0</v>
      </c>
      <c r="E168" s="247"/>
      <c r="F168" s="235" t="s">
        <v>17</v>
      </c>
      <c r="G168" s="235"/>
      <c r="H168" s="272" t="str">
        <f>'15th-18thMAY'!J168</f>
        <v/>
      </c>
      <c r="I168" s="281">
        <v>1.0</v>
      </c>
      <c r="J168" s="284"/>
      <c r="K168" s="283"/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2</v>
      </c>
      <c r="N168" s="191"/>
      <c r="O168" s="247"/>
    </row>
    <row r="169">
      <c r="A169" s="12" t="s">
        <v>195</v>
      </c>
      <c r="B169" s="12" t="s">
        <v>35</v>
      </c>
      <c r="C169" s="271" t="str">
        <f>'15th-18thMAY'!E169</f>
        <v/>
      </c>
      <c r="D169" s="191"/>
      <c r="E169" s="247"/>
      <c r="F169" s="235" t="s">
        <v>35</v>
      </c>
      <c r="G169" s="235"/>
      <c r="H169" s="272">
        <f>'15th-18thMAY'!J169</f>
        <v>1.295</v>
      </c>
      <c r="I169" s="281">
        <v>1.0</v>
      </c>
      <c r="J169" s="282"/>
      <c r="K169" s="283"/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1.295</v>
      </c>
      <c r="N169" s="191"/>
      <c r="O169" s="247"/>
    </row>
    <row r="170">
      <c r="A170" s="12" t="s">
        <v>196</v>
      </c>
      <c r="B170" s="12" t="s">
        <v>35</v>
      </c>
      <c r="C170" s="271" t="str">
        <f>'15th-18thMAY'!E170</f>
        <v/>
      </c>
      <c r="D170" s="191"/>
      <c r="E170" s="247"/>
      <c r="F170" s="235" t="s">
        <v>35</v>
      </c>
      <c r="G170" s="285">
        <v>0.8</v>
      </c>
      <c r="H170" s="272" t="str">
        <f>'15th-18thMAY'!J170</f>
        <v/>
      </c>
      <c r="I170" s="281">
        <v>1.0</v>
      </c>
      <c r="J170" s="282"/>
      <c r="K170" s="283"/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0.8</v>
      </c>
      <c r="N170" s="191"/>
      <c r="O170" s="247"/>
    </row>
    <row r="171">
      <c r="A171" s="12" t="s">
        <v>197</v>
      </c>
      <c r="B171" s="12" t="s">
        <v>35</v>
      </c>
      <c r="C171" s="271" t="str">
        <f>'15th-18thMAY'!E171</f>
        <v/>
      </c>
      <c r="D171" s="227">
        <v>0.8</v>
      </c>
      <c r="E171" s="247"/>
      <c r="F171" s="235" t="s">
        <v>35</v>
      </c>
      <c r="G171" s="285">
        <v>0.8</v>
      </c>
      <c r="H171" s="272">
        <f>'15th-18thMAY'!J171</f>
        <v>0.735</v>
      </c>
      <c r="I171" s="281">
        <v>1.0</v>
      </c>
      <c r="J171" s="282">
        <v>0.37</v>
      </c>
      <c r="K171" s="283"/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1.965</v>
      </c>
      <c r="N171" s="191"/>
      <c r="O171" s="247"/>
    </row>
    <row r="172">
      <c r="A172" s="12" t="s">
        <v>198</v>
      </c>
      <c r="B172" s="12" t="s">
        <v>35</v>
      </c>
      <c r="C172" s="271" t="str">
        <f>'15th-18thMAY'!E172</f>
        <v/>
      </c>
      <c r="D172" s="227">
        <v>2.7</v>
      </c>
      <c r="E172" s="247"/>
      <c r="F172" s="235" t="s">
        <v>35</v>
      </c>
      <c r="G172" s="235"/>
      <c r="H172" s="272">
        <f>'15th-18thMAY'!J172</f>
        <v>2.655</v>
      </c>
      <c r="I172" s="281">
        <v>1.0</v>
      </c>
      <c r="J172" s="282">
        <v>1.5</v>
      </c>
      <c r="K172" s="283"/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3.855</v>
      </c>
      <c r="N172" s="191"/>
      <c r="O172" s="247"/>
    </row>
    <row r="173">
      <c r="A173" s="12" t="s">
        <v>199</v>
      </c>
      <c r="B173" s="12" t="s">
        <v>35</v>
      </c>
      <c r="C173" s="271" t="str">
        <f>'15th-18thMAY'!E173</f>
        <v/>
      </c>
      <c r="D173" s="227">
        <v>2.5</v>
      </c>
      <c r="E173" s="247"/>
      <c r="F173" s="235" t="s">
        <v>35</v>
      </c>
      <c r="G173" s="235"/>
      <c r="H173" s="272">
        <f>'15th-18thMAY'!J173</f>
        <v>1</v>
      </c>
      <c r="I173" s="281">
        <v>1.0</v>
      </c>
      <c r="J173" s="282">
        <v>0.553</v>
      </c>
      <c r="K173" s="283"/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2.947</v>
      </c>
      <c r="N173" s="191"/>
      <c r="O173" s="247"/>
    </row>
    <row r="174">
      <c r="A174" s="12" t="s">
        <v>200</v>
      </c>
      <c r="B174" s="12" t="s">
        <v>35</v>
      </c>
      <c r="C174" s="271" t="str">
        <f>'15th-18thMAY'!E174</f>
        <v/>
      </c>
      <c r="D174" s="227">
        <v>2.5</v>
      </c>
      <c r="E174" s="247"/>
      <c r="F174" s="235" t="s">
        <v>35</v>
      </c>
      <c r="G174" s="235"/>
      <c r="H174" s="272">
        <f>'15th-18thMAY'!J174</f>
        <v>0.655</v>
      </c>
      <c r="I174" s="281">
        <v>1.0</v>
      </c>
      <c r="J174" s="282">
        <v>0.526</v>
      </c>
      <c r="K174" s="283"/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2.629</v>
      </c>
      <c r="N174" s="191"/>
      <c r="O174" s="247"/>
    </row>
    <row r="175">
      <c r="A175" s="12" t="s">
        <v>201</v>
      </c>
      <c r="B175" s="12" t="s">
        <v>202</v>
      </c>
      <c r="C175" s="271" t="str">
        <f>'15th-18thMAY'!E175</f>
        <v/>
      </c>
      <c r="D175" s="191"/>
      <c r="E175" s="247"/>
      <c r="F175" s="235" t="s">
        <v>202</v>
      </c>
      <c r="G175" s="235"/>
      <c r="H175" s="272" t="str">
        <f>'15th-18thMAY'!J175</f>
        <v/>
      </c>
      <c r="I175" s="281">
        <v>1.0</v>
      </c>
      <c r="J175" s="284"/>
      <c r="K175" s="283"/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'15th-18thMAY'!E176</f>
        <v/>
      </c>
      <c r="D176" s="227">
        <v>3.0</v>
      </c>
      <c r="E176" s="247"/>
      <c r="F176" s="235" t="s">
        <v>202</v>
      </c>
      <c r="G176" s="235"/>
      <c r="H176" s="272" t="str">
        <f>'15th-18thMAY'!J176</f>
        <v/>
      </c>
      <c r="I176" s="281">
        <v>1.0</v>
      </c>
      <c r="J176" s="282"/>
      <c r="K176" s="283"/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3</v>
      </c>
      <c r="N176" s="191"/>
      <c r="O176" s="247"/>
    </row>
    <row r="177">
      <c r="A177" s="12" t="s">
        <v>205</v>
      </c>
      <c r="B177" s="12" t="s">
        <v>202</v>
      </c>
      <c r="C177" s="271" t="str">
        <f>'15th-18thMAY'!E177</f>
        <v/>
      </c>
      <c r="D177" s="227">
        <v>14.0</v>
      </c>
      <c r="E177" s="247"/>
      <c r="F177" s="235" t="s">
        <v>202</v>
      </c>
      <c r="G177" s="235"/>
      <c r="H177" s="272" t="str">
        <f>'15th-18thMAY'!J177</f>
        <v/>
      </c>
      <c r="I177" s="281">
        <v>1.0</v>
      </c>
      <c r="J177" s="284"/>
      <c r="K177" s="283"/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14</v>
      </c>
      <c r="N177" s="191"/>
      <c r="O177" s="247"/>
    </row>
    <row r="178">
      <c r="A178" s="12" t="s">
        <v>206</v>
      </c>
      <c r="B178" s="12" t="s">
        <v>207</v>
      </c>
      <c r="C178" s="271" t="str">
        <f>'15th-18thMAY'!E178</f>
        <v/>
      </c>
      <c r="D178" s="227">
        <v>3.0</v>
      </c>
      <c r="E178" s="247"/>
      <c r="F178" s="235" t="s">
        <v>17</v>
      </c>
      <c r="G178" s="235"/>
      <c r="H178" s="272">
        <f>'15th-18thMAY'!J178</f>
        <v>23</v>
      </c>
      <c r="I178" s="281">
        <v>1.0</v>
      </c>
      <c r="J178" s="282">
        <v>32.0</v>
      </c>
      <c r="K178" s="283"/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81</v>
      </c>
      <c r="N178" s="191"/>
      <c r="O178" s="247"/>
    </row>
    <row r="179">
      <c r="A179" s="12" t="s">
        <v>209</v>
      </c>
      <c r="B179" s="12" t="s">
        <v>17</v>
      </c>
      <c r="C179" s="271" t="str">
        <f>'15th-18thMAY'!E179</f>
        <v/>
      </c>
      <c r="D179" s="191"/>
      <c r="E179" s="247"/>
      <c r="F179" s="235" t="s">
        <v>17</v>
      </c>
      <c r="G179" s="235"/>
      <c r="H179" s="272" t="str">
        <f>'15th-18thMAY'!J179</f>
        <v/>
      </c>
      <c r="I179" s="281">
        <v>1.0</v>
      </c>
      <c r="J179" s="284"/>
      <c r="K179" s="283"/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'15th-18thMAY'!E180</f>
        <v/>
      </c>
      <c r="D180" s="191"/>
      <c r="E180" s="247"/>
      <c r="F180" s="235" t="s">
        <v>202</v>
      </c>
      <c r="G180" s="285">
        <v>1.0</v>
      </c>
      <c r="H180" s="272" t="str">
        <f>'15th-18thMAY'!J180</f>
        <v/>
      </c>
      <c r="I180" s="281">
        <v>1.0</v>
      </c>
      <c r="J180" s="282"/>
      <c r="K180" s="283"/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1</v>
      </c>
      <c r="N180" s="191"/>
      <c r="O180" s="247"/>
    </row>
    <row r="181">
      <c r="A181" s="12" t="s">
        <v>211</v>
      </c>
      <c r="B181" s="12" t="s">
        <v>202</v>
      </c>
      <c r="C181" s="271" t="str">
        <f>'15th-18thMAY'!E181</f>
        <v/>
      </c>
      <c r="D181" s="227"/>
      <c r="E181" s="247"/>
      <c r="F181" s="235" t="s">
        <v>202</v>
      </c>
      <c r="G181" s="235"/>
      <c r="H181" s="272">
        <f>'15th-18thMAY'!J181</f>
        <v>1</v>
      </c>
      <c r="I181" s="281">
        <v>1.0</v>
      </c>
      <c r="J181" s="282"/>
      <c r="K181" s="283"/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1</v>
      </c>
      <c r="N181" s="191"/>
      <c r="O181" s="247"/>
    </row>
    <row r="182">
      <c r="A182" s="12" t="s">
        <v>212</v>
      </c>
      <c r="B182" s="12" t="s">
        <v>202</v>
      </c>
      <c r="C182" s="271" t="str">
        <f>'15th-18thMAY'!E182</f>
        <v/>
      </c>
      <c r="D182" s="191"/>
      <c r="E182" s="247"/>
      <c r="F182" s="235" t="s">
        <v>202</v>
      </c>
      <c r="G182" s="235"/>
      <c r="H182" s="272">
        <f>'15th-18thMAY'!J182</f>
        <v>2</v>
      </c>
      <c r="I182" s="281">
        <v>1.0</v>
      </c>
      <c r="J182" s="282">
        <v>1.0</v>
      </c>
      <c r="K182" s="283"/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1</v>
      </c>
      <c r="N182" s="191"/>
      <c r="O182" s="247"/>
    </row>
    <row r="183">
      <c r="A183" s="12" t="s">
        <v>213</v>
      </c>
      <c r="B183" s="12" t="s">
        <v>35</v>
      </c>
      <c r="C183" s="271" t="str">
        <f>'15th-18thMAY'!E183</f>
        <v/>
      </c>
      <c r="D183" s="191"/>
      <c r="E183" s="247"/>
      <c r="F183" s="235" t="s">
        <v>35</v>
      </c>
      <c r="G183" s="235"/>
      <c r="H183" s="272" t="str">
        <f>'15th-18thMAY'!J183</f>
        <v/>
      </c>
      <c r="I183" s="281">
        <v>1.0</v>
      </c>
      <c r="J183" s="284"/>
      <c r="K183" s="283"/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'15th-18thMAY'!E184</f>
        <v/>
      </c>
      <c r="D184" s="227">
        <v>1.0</v>
      </c>
      <c r="E184" s="247"/>
      <c r="F184" s="235" t="s">
        <v>35</v>
      </c>
      <c r="G184" s="235"/>
      <c r="H184" s="272">
        <f>'15th-18thMAY'!J184</f>
        <v>0.255</v>
      </c>
      <c r="I184" s="281">
        <v>1.0</v>
      </c>
      <c r="J184" s="282"/>
      <c r="K184" s="283"/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0.425</v>
      </c>
      <c r="N184" s="191"/>
      <c r="O184" s="247"/>
    </row>
    <row r="185">
      <c r="A185" s="12" t="s">
        <v>215</v>
      </c>
      <c r="B185" s="12" t="s">
        <v>35</v>
      </c>
      <c r="C185" s="271" t="str">
        <f>'15th-18thMAY'!E185</f>
        <v/>
      </c>
      <c r="D185" s="227">
        <v>2.6</v>
      </c>
      <c r="E185" s="247"/>
      <c r="F185" s="235" t="s">
        <v>35</v>
      </c>
      <c r="G185" s="235"/>
      <c r="H185" s="272" t="str">
        <f>'15th-18thMAY'!J185</f>
        <v/>
      </c>
      <c r="I185" s="281">
        <v>1.0</v>
      </c>
      <c r="J185" s="284"/>
      <c r="K185" s="283"/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2.6</v>
      </c>
      <c r="N185" s="191"/>
      <c r="O185" s="247"/>
    </row>
    <row r="186">
      <c r="A186" s="12" t="s">
        <v>216</v>
      </c>
      <c r="B186" s="12" t="s">
        <v>17</v>
      </c>
      <c r="C186" s="271" t="str">
        <f>'15th-18thMAY'!E186</f>
        <v/>
      </c>
      <c r="D186" s="227">
        <v>2.0</v>
      </c>
      <c r="E186" s="247"/>
      <c r="F186" s="235" t="s">
        <v>17</v>
      </c>
      <c r="G186" s="235"/>
      <c r="H186" s="272">
        <f>'15th-18thMAY'!J186</f>
        <v>0.5</v>
      </c>
      <c r="I186" s="281">
        <v>1.0</v>
      </c>
      <c r="J186" s="282">
        <v>1.25</v>
      </c>
      <c r="K186" s="283"/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1.25</v>
      </c>
      <c r="N186" s="191"/>
      <c r="O186" s="247"/>
    </row>
    <row r="187">
      <c r="A187" s="12" t="s">
        <v>217</v>
      </c>
      <c r="B187" s="12" t="s">
        <v>35</v>
      </c>
      <c r="C187" s="271" t="str">
        <f>'15th-18thMAY'!E187</f>
        <v/>
      </c>
      <c r="D187" s="227">
        <v>0.4</v>
      </c>
      <c r="E187" s="247"/>
      <c r="F187" s="235" t="s">
        <v>35</v>
      </c>
      <c r="G187" s="285">
        <v>0.2</v>
      </c>
      <c r="H187" s="272">
        <f>'15th-18thMAY'!J187</f>
        <v>1.098</v>
      </c>
      <c r="I187" s="281">
        <v>1.0</v>
      </c>
      <c r="J187" s="282">
        <v>0.872</v>
      </c>
      <c r="K187" s="283"/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0.826</v>
      </c>
      <c r="N187" s="191"/>
      <c r="O187" s="247"/>
    </row>
    <row r="188">
      <c r="A188" s="12" t="s">
        <v>218</v>
      </c>
      <c r="B188" s="12" t="s">
        <v>17</v>
      </c>
      <c r="C188" s="271" t="str">
        <f>'15th-18thMAY'!E188</f>
        <v/>
      </c>
      <c r="D188" s="227">
        <v>2.0</v>
      </c>
      <c r="E188" s="247"/>
      <c r="F188" s="235" t="s">
        <v>17</v>
      </c>
      <c r="G188" s="235"/>
      <c r="H188" s="272">
        <f>'15th-18thMAY'!J188</f>
        <v>4</v>
      </c>
      <c r="I188" s="281">
        <v>1.0</v>
      </c>
      <c r="J188" s="282">
        <v>4.0</v>
      </c>
      <c r="K188" s="283"/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2</v>
      </c>
      <c r="N188" s="191"/>
      <c r="O188" s="247"/>
    </row>
    <row r="189">
      <c r="A189" s="12" t="s">
        <v>220</v>
      </c>
      <c r="B189" s="12" t="s">
        <v>35</v>
      </c>
      <c r="C189" s="271" t="str">
        <f>'15th-18thMAY'!E189</f>
        <v/>
      </c>
      <c r="D189" s="191"/>
      <c r="E189" s="247"/>
      <c r="F189" s="235" t="s">
        <v>35</v>
      </c>
      <c r="G189" s="235"/>
      <c r="H189" s="272" t="str">
        <f>'15th-18thMAY'!J189</f>
        <v/>
      </c>
      <c r="I189" s="281">
        <v>1.0</v>
      </c>
      <c r="J189" s="284"/>
      <c r="K189" s="283"/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'15th-18thMAY'!E190</f>
        <v/>
      </c>
      <c r="D190" s="227">
        <v>11.0</v>
      </c>
      <c r="E190" s="247"/>
      <c r="F190" s="235" t="s">
        <v>17</v>
      </c>
      <c r="G190" s="235"/>
      <c r="H190" s="272">
        <f>'15th-18thMAY'!J190</f>
        <v>5</v>
      </c>
      <c r="I190" s="281">
        <v>1.0</v>
      </c>
      <c r="J190" s="282">
        <v>2.0</v>
      </c>
      <c r="K190" s="283"/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14</v>
      </c>
      <c r="N190" s="191"/>
      <c r="O190" s="247"/>
    </row>
    <row r="191">
      <c r="A191" s="12" t="s">
        <v>222</v>
      </c>
      <c r="B191" s="12" t="s">
        <v>17</v>
      </c>
      <c r="C191" s="271" t="str">
        <f>'15th-18thMAY'!E191</f>
        <v/>
      </c>
      <c r="D191" s="191"/>
      <c r="E191" s="247"/>
      <c r="F191" s="235" t="s">
        <v>17</v>
      </c>
      <c r="G191" s="235"/>
      <c r="H191" s="272" t="str">
        <f>'15th-18thMAY'!J191</f>
        <v/>
      </c>
      <c r="I191" s="281">
        <v>1.0</v>
      </c>
      <c r="J191" s="284"/>
      <c r="K191" s="283"/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'15th-18thMAY'!E192</f>
        <v/>
      </c>
      <c r="D192" s="227">
        <v>4.0</v>
      </c>
      <c r="E192" s="247"/>
      <c r="F192" s="235" t="s">
        <v>17</v>
      </c>
      <c r="G192" s="235"/>
      <c r="H192" s="272">
        <f>'15th-18thMAY'!J192</f>
        <v>3</v>
      </c>
      <c r="I192" s="281">
        <v>1.0</v>
      </c>
      <c r="J192" s="284"/>
      <c r="K192" s="283"/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7</v>
      </c>
      <c r="N192" s="191"/>
      <c r="O192" s="247"/>
    </row>
    <row r="193">
      <c r="A193" s="12" t="s">
        <v>224</v>
      </c>
      <c r="B193" s="12" t="s">
        <v>202</v>
      </c>
      <c r="C193" s="271" t="str">
        <f>'15th-18thMAY'!E193</f>
        <v/>
      </c>
      <c r="D193" s="227">
        <v>1.0</v>
      </c>
      <c r="E193" s="247"/>
      <c r="F193" s="235" t="s">
        <v>202</v>
      </c>
      <c r="G193" s="235"/>
      <c r="H193" s="272">
        <f>'15th-18thMAY'!J193</f>
        <v>2</v>
      </c>
      <c r="I193" s="281">
        <v>1.0</v>
      </c>
      <c r="J193" s="282">
        <v>2.0</v>
      </c>
      <c r="K193" s="283"/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1</v>
      </c>
      <c r="N193" s="191"/>
      <c r="O193" s="247"/>
    </row>
    <row r="194">
      <c r="A194" s="12" t="s">
        <v>225</v>
      </c>
      <c r="B194" s="12" t="s">
        <v>35</v>
      </c>
      <c r="C194" s="271" t="str">
        <f>'15th-18thMAY'!E194</f>
        <v/>
      </c>
      <c r="D194" s="227">
        <v>1.0</v>
      </c>
      <c r="E194" s="247"/>
      <c r="F194" s="235" t="s">
        <v>35</v>
      </c>
      <c r="G194" s="235"/>
      <c r="H194" s="272">
        <f>'15th-18thMAY'!J194</f>
        <v>0.5</v>
      </c>
      <c r="I194" s="281">
        <v>1.0</v>
      </c>
      <c r="J194" s="282">
        <v>0.57</v>
      </c>
      <c r="K194" s="283"/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0.93</v>
      </c>
      <c r="N194" s="191"/>
      <c r="O194" s="247"/>
    </row>
    <row r="195">
      <c r="A195" s="12" t="s">
        <v>227</v>
      </c>
      <c r="B195" s="12" t="s">
        <v>35</v>
      </c>
      <c r="C195" s="271" t="str">
        <f>'15th-18thMAY'!E195</f>
        <v/>
      </c>
      <c r="D195" s="191"/>
      <c r="E195" s="247"/>
      <c r="F195" s="235" t="s">
        <v>35</v>
      </c>
      <c r="G195" s="285">
        <v>1.0</v>
      </c>
      <c r="H195" s="272">
        <f>'15th-18thMAY'!J195</f>
        <v>0.5</v>
      </c>
      <c r="I195" s="281">
        <v>1.0</v>
      </c>
      <c r="J195" s="282">
        <v>1.25</v>
      </c>
      <c r="K195" s="283"/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0.25</v>
      </c>
      <c r="N195" s="191"/>
      <c r="O195" s="247"/>
    </row>
    <row r="196">
      <c r="A196" s="12" t="s">
        <v>228</v>
      </c>
      <c r="B196" s="12" t="s">
        <v>155</v>
      </c>
      <c r="C196" s="271" t="str">
        <f>'15th-18thMAY'!E196</f>
        <v/>
      </c>
      <c r="D196" s="227">
        <v>2.0</v>
      </c>
      <c r="E196" s="247"/>
      <c r="F196" s="235" t="s">
        <v>35</v>
      </c>
      <c r="G196" s="235"/>
      <c r="H196" s="272" t="str">
        <f>'15th-18thMAY'!J196</f>
        <v/>
      </c>
      <c r="I196" s="281">
        <v>1.0</v>
      </c>
      <c r="J196" s="282">
        <v>0.236</v>
      </c>
      <c r="K196" s="283"/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0.764</v>
      </c>
      <c r="N196" s="191"/>
      <c r="O196" s="247"/>
    </row>
    <row r="197">
      <c r="A197" s="12" t="s">
        <v>229</v>
      </c>
      <c r="B197" s="12" t="s">
        <v>17</v>
      </c>
      <c r="C197" s="271" t="str">
        <f>'15th-18thMAY'!E197</f>
        <v/>
      </c>
      <c r="D197" s="227">
        <v>8.0</v>
      </c>
      <c r="E197" s="247"/>
      <c r="F197" s="235" t="s">
        <v>17</v>
      </c>
      <c r="G197" s="235"/>
      <c r="H197" s="272">
        <f>'15th-18thMAY'!J197</f>
        <v>0.3</v>
      </c>
      <c r="I197" s="281">
        <v>1.0</v>
      </c>
      <c r="J197" s="282"/>
      <c r="K197" s="283"/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8.3</v>
      </c>
      <c r="N197" s="191"/>
      <c r="O197" s="247"/>
    </row>
    <row r="198">
      <c r="A198" s="12" t="s">
        <v>231</v>
      </c>
      <c r="B198" s="12" t="s">
        <v>35</v>
      </c>
      <c r="C198" s="271" t="str">
        <f>'15th-18thMAY'!E198</f>
        <v/>
      </c>
      <c r="D198" s="227">
        <v>1.8</v>
      </c>
      <c r="E198" s="247"/>
      <c r="F198" s="235" t="s">
        <v>35</v>
      </c>
      <c r="G198" s="235"/>
      <c r="H198" s="272" t="str">
        <f>'15th-18thMAY'!J198</f>
        <v/>
      </c>
      <c r="I198" s="281">
        <v>1.0</v>
      </c>
      <c r="J198" s="282">
        <v>0.265</v>
      </c>
      <c r="K198" s="283"/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1.535</v>
      </c>
      <c r="N198" s="191"/>
      <c r="O198" s="247"/>
    </row>
    <row r="199">
      <c r="A199" s="12" t="s">
        <v>232</v>
      </c>
      <c r="B199" s="12" t="s">
        <v>202</v>
      </c>
      <c r="C199" s="271" t="str">
        <f>'15th-18thMAY'!E199</f>
        <v/>
      </c>
      <c r="D199" s="227">
        <v>2.0</v>
      </c>
      <c r="E199" s="247"/>
      <c r="F199" s="235" t="s">
        <v>202</v>
      </c>
      <c r="G199" s="285"/>
      <c r="H199" s="272">
        <f>'15th-18thMAY'!J199</f>
        <v>0.25</v>
      </c>
      <c r="I199" s="281">
        <v>1.0</v>
      </c>
      <c r="J199" s="282">
        <v>0.25</v>
      </c>
      <c r="K199" s="283"/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2</v>
      </c>
      <c r="N199" s="191"/>
      <c r="O199" s="247"/>
    </row>
    <row r="200">
      <c r="A200" s="12" t="s">
        <v>233</v>
      </c>
      <c r="B200" s="12" t="s">
        <v>17</v>
      </c>
      <c r="C200" s="271" t="str">
        <f>'15th-18thMAY'!E200</f>
        <v/>
      </c>
      <c r="D200" s="227">
        <v>1.0</v>
      </c>
      <c r="E200" s="280"/>
      <c r="F200" s="235" t="s">
        <v>234</v>
      </c>
      <c r="G200" s="285"/>
      <c r="H200" s="272">
        <f>'15th-18thMAY'!J200</f>
        <v>2</v>
      </c>
      <c r="I200" s="281">
        <v>1.0</v>
      </c>
      <c r="J200" s="282"/>
      <c r="K200" s="283"/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3</v>
      </c>
      <c r="N200" s="191"/>
      <c r="O200" s="247"/>
    </row>
    <row r="201">
      <c r="A201" s="25" t="s">
        <v>235</v>
      </c>
      <c r="B201" s="26" t="s">
        <v>202</v>
      </c>
      <c r="C201" s="271" t="str">
        <f>'15th-18thMAY'!E201</f>
        <v/>
      </c>
      <c r="D201" s="227">
        <v>1.0</v>
      </c>
      <c r="E201" s="247"/>
      <c r="F201" s="235" t="s">
        <v>202</v>
      </c>
      <c r="G201" s="235"/>
      <c r="H201" s="272">
        <f>'15th-18thMAY'!J201</f>
        <v>0.5</v>
      </c>
      <c r="I201" s="281">
        <v>1.0</v>
      </c>
      <c r="J201" s="282">
        <v>1.0</v>
      </c>
      <c r="K201" s="283"/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0.5</v>
      </c>
      <c r="N201" s="191"/>
      <c r="O201" s="247"/>
    </row>
    <row r="202">
      <c r="A202" s="25" t="s">
        <v>236</v>
      </c>
      <c r="B202" s="26" t="s">
        <v>237</v>
      </c>
      <c r="C202" s="271" t="str">
        <f>'15th-18thMAY'!E202</f>
        <v/>
      </c>
      <c r="D202" s="191"/>
      <c r="E202" s="247"/>
      <c r="F202" s="235" t="s">
        <v>35</v>
      </c>
      <c r="G202" s="235"/>
      <c r="H202" s="272">
        <f>'15th-18thMAY'!J202</f>
        <v>1.3</v>
      </c>
      <c r="I202" s="281">
        <v>1.0</v>
      </c>
      <c r="J202" s="282">
        <v>0.341</v>
      </c>
      <c r="K202" s="283"/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0.959</v>
      </c>
      <c r="N202" s="191"/>
      <c r="O202" s="247"/>
    </row>
    <row r="203">
      <c r="A203" s="25" t="s">
        <v>238</v>
      </c>
      <c r="B203" s="26" t="s">
        <v>202</v>
      </c>
      <c r="C203" s="271" t="str">
        <f>'15th-18thMAY'!E203</f>
        <v/>
      </c>
      <c r="D203" s="227">
        <v>1.0</v>
      </c>
      <c r="E203" s="247"/>
      <c r="F203" s="235" t="s">
        <v>202</v>
      </c>
      <c r="G203" s="235"/>
      <c r="H203" s="272" t="str">
        <f>'15th-18thMAY'!J203</f>
        <v/>
      </c>
      <c r="I203" s="281">
        <v>1.0</v>
      </c>
      <c r="J203" s="282">
        <v>1.0</v>
      </c>
      <c r="K203" s="283"/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71" t="str">
        <f>'15th-18thMAY'!E204</f>
        <v/>
      </c>
      <c r="D204" s="191"/>
      <c r="E204" s="247"/>
      <c r="F204" s="235" t="s">
        <v>35</v>
      </c>
      <c r="G204" s="235"/>
      <c r="H204" s="272" t="str">
        <f>'15th-18thMAY'!J204</f>
        <v/>
      </c>
      <c r="I204" s="281">
        <v>1.0</v>
      </c>
      <c r="J204" s="284"/>
      <c r="K204" s="283"/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'15th-18thMAY'!E205</f>
        <v/>
      </c>
      <c r="D205" s="227"/>
      <c r="E205" s="247"/>
      <c r="F205" s="235" t="s">
        <v>17</v>
      </c>
      <c r="G205" s="285">
        <v>3.0</v>
      </c>
      <c r="H205" s="272">
        <f>'15th-18thMAY'!J205</f>
        <v>2</v>
      </c>
      <c r="I205" s="281">
        <v>1.0</v>
      </c>
      <c r="J205" s="282">
        <v>2.0</v>
      </c>
      <c r="K205" s="283"/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3</v>
      </c>
      <c r="N205" s="191"/>
      <c r="O205" s="247"/>
    </row>
    <row r="206">
      <c r="A206" s="12" t="s">
        <v>242</v>
      </c>
      <c r="B206" s="12" t="s">
        <v>35</v>
      </c>
      <c r="C206" s="271" t="str">
        <f>'15th-18thMAY'!E206</f>
        <v/>
      </c>
      <c r="D206" s="227"/>
      <c r="E206" s="247"/>
      <c r="F206" s="235" t="s">
        <v>35</v>
      </c>
      <c r="G206" s="235"/>
      <c r="H206" s="272" t="str">
        <f>'15th-18thMAY'!J206</f>
        <v/>
      </c>
      <c r="I206" s="281">
        <v>1.0</v>
      </c>
      <c r="J206" s="282"/>
      <c r="K206" s="283"/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0</v>
      </c>
      <c r="N206" s="191"/>
      <c r="O206" s="247"/>
    </row>
    <row r="207">
      <c r="A207" s="12" t="s">
        <v>243</v>
      </c>
      <c r="B207" s="12" t="s">
        <v>241</v>
      </c>
      <c r="C207" s="271" t="str">
        <f>'15th-18thMAY'!E207</f>
        <v/>
      </c>
      <c r="D207" s="227">
        <v>25.0</v>
      </c>
      <c r="E207" s="247"/>
      <c r="F207" s="235" t="s">
        <v>17</v>
      </c>
      <c r="G207" s="285"/>
      <c r="H207" s="272" t="str">
        <f>'15th-18thMAY'!J207</f>
        <v/>
      </c>
      <c r="I207" s="281">
        <v>1.0</v>
      </c>
      <c r="J207" s="282">
        <v>0.5</v>
      </c>
      <c r="K207" s="283"/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24.5</v>
      </c>
      <c r="N207" s="191"/>
      <c r="O207" s="247"/>
    </row>
    <row r="208">
      <c r="A208" s="10" t="s">
        <v>245</v>
      </c>
      <c r="B208" s="11"/>
      <c r="C208" s="271" t="str">
        <f>'15th-18thMAY'!E208</f>
        <v/>
      </c>
      <c r="D208" s="191"/>
      <c r="E208" s="247"/>
      <c r="F208" s="235"/>
      <c r="G208" s="235"/>
      <c r="H208" s="272" t="str">
        <f>'15th-18thMAY'!J208</f>
        <v/>
      </c>
      <c r="I208" s="281">
        <v>1.0</v>
      </c>
      <c r="J208" s="284"/>
      <c r="K208" s="283"/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'15th-18thMAY'!E209</f>
        <v/>
      </c>
      <c r="D209" s="227"/>
      <c r="E209" s="247"/>
      <c r="F209" s="235" t="s">
        <v>155</v>
      </c>
      <c r="G209" s="285">
        <v>5.0</v>
      </c>
      <c r="H209" s="272" t="str">
        <f>'15th-18thMAY'!J209</f>
        <v/>
      </c>
      <c r="I209" s="281">
        <v>1.0</v>
      </c>
      <c r="J209" s="282">
        <v>2.0</v>
      </c>
      <c r="K209" s="283"/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3</v>
      </c>
      <c r="N209" s="191"/>
      <c r="O209" s="247"/>
    </row>
    <row r="210">
      <c r="A210" s="12" t="s">
        <v>247</v>
      </c>
      <c r="B210" s="13" t="s">
        <v>59</v>
      </c>
      <c r="C210" s="271">
        <f>'15th-18thMAY'!E210</f>
        <v>1</v>
      </c>
      <c r="D210" s="227">
        <v>2.0</v>
      </c>
      <c r="E210" s="280">
        <v>1.0</v>
      </c>
      <c r="F210" s="235" t="s">
        <v>35</v>
      </c>
      <c r="G210" s="235"/>
      <c r="H210" s="272" t="str">
        <f>'15th-18thMAY'!J210</f>
        <v/>
      </c>
      <c r="I210" s="281">
        <v>1.0</v>
      </c>
      <c r="J210" s="282"/>
      <c r="K210" s="283"/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1</v>
      </c>
      <c r="N210" s="191"/>
      <c r="O210" s="247"/>
    </row>
    <row r="211">
      <c r="A211" s="12" t="s">
        <v>248</v>
      </c>
      <c r="B211" s="13" t="s">
        <v>59</v>
      </c>
      <c r="C211" s="271">
        <f>'15th-18thMAY'!E211</f>
        <v>2</v>
      </c>
      <c r="D211" s="191"/>
      <c r="E211" s="280">
        <v>2.0</v>
      </c>
      <c r="F211" s="235" t="s">
        <v>35</v>
      </c>
      <c r="G211" s="235"/>
      <c r="H211" s="272" t="str">
        <f>'15th-18thMAY'!J211</f>
        <v/>
      </c>
      <c r="I211" s="281">
        <v>1.0</v>
      </c>
      <c r="J211" s="284"/>
      <c r="K211" s="283"/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247"/>
    </row>
    <row r="212">
      <c r="A212" s="12" t="s">
        <v>250</v>
      </c>
      <c r="B212" s="13" t="s">
        <v>59</v>
      </c>
      <c r="C212" s="271" t="str">
        <f>'15th-18thMAY'!E212</f>
        <v/>
      </c>
      <c r="D212" s="227">
        <v>1.0</v>
      </c>
      <c r="E212" s="280"/>
      <c r="F212" s="235" t="s">
        <v>35</v>
      </c>
      <c r="G212" s="235"/>
      <c r="H212" s="272" t="str">
        <f>'15th-18thMAY'!J212</f>
        <v/>
      </c>
      <c r="I212" s="281">
        <v>1.0</v>
      </c>
      <c r="J212" s="282">
        <v>0.325</v>
      </c>
      <c r="K212" s="283"/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0.125</v>
      </c>
      <c r="N212" s="191"/>
      <c r="O212" s="247"/>
    </row>
    <row r="213">
      <c r="A213" s="12" t="s">
        <v>251</v>
      </c>
      <c r="B213" s="13" t="s">
        <v>34</v>
      </c>
      <c r="C213" s="271" t="str">
        <f>'15th-18thMAY'!E213</f>
        <v/>
      </c>
      <c r="D213" s="191"/>
      <c r="E213" s="247"/>
      <c r="F213" s="235" t="s">
        <v>35</v>
      </c>
      <c r="G213" s="235"/>
      <c r="H213" s="272" t="str">
        <f>'15th-18thMAY'!J213</f>
        <v/>
      </c>
      <c r="I213" s="281">
        <v>1.0</v>
      </c>
      <c r="J213" s="284"/>
      <c r="K213" s="283"/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'15th-18thMAY'!E214</f>
        <v/>
      </c>
      <c r="D214" s="191"/>
      <c r="E214" s="247"/>
      <c r="F214" s="235"/>
      <c r="G214" s="235"/>
      <c r="H214" s="272" t="str">
        <f>'15th-18thMAY'!J214</f>
        <v/>
      </c>
      <c r="I214" s="281">
        <v>1.0</v>
      </c>
      <c r="J214" s="284"/>
      <c r="K214" s="283"/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'15th-18thMAY'!E215</f>
        <v/>
      </c>
      <c r="D215" s="191"/>
      <c r="E215" s="247"/>
      <c r="F215" s="235" t="s">
        <v>254</v>
      </c>
      <c r="G215" s="235"/>
      <c r="H215" s="272" t="str">
        <f>'15th-18thMAY'!J215</f>
        <v/>
      </c>
      <c r="I215" s="281">
        <v>1.0</v>
      </c>
      <c r="J215" s="284"/>
      <c r="K215" s="283"/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'15th-18thMAY'!E216</f>
        <v/>
      </c>
      <c r="D216" s="191"/>
      <c r="E216" s="247"/>
      <c r="F216" s="235" t="s">
        <v>234</v>
      </c>
      <c r="G216" s="235"/>
      <c r="H216" s="272" t="str">
        <f>'15th-18thMAY'!J216</f>
        <v/>
      </c>
      <c r="I216" s="281">
        <v>1.0</v>
      </c>
      <c r="J216" s="284"/>
      <c r="K216" s="283"/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'15th-18thMAY'!E217</f>
        <v/>
      </c>
      <c r="D217" s="227">
        <v>4.0</v>
      </c>
      <c r="E217" s="247"/>
      <c r="F217" s="235" t="s">
        <v>17</v>
      </c>
      <c r="G217" s="235"/>
      <c r="H217" s="272">
        <f>'15th-18thMAY'!J217</f>
        <v>6</v>
      </c>
      <c r="I217" s="281">
        <v>1.0</v>
      </c>
      <c r="J217" s="282">
        <v>5.0</v>
      </c>
      <c r="K217" s="283"/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5</v>
      </c>
      <c r="N217" s="191"/>
      <c r="O217" s="247"/>
    </row>
    <row r="218">
      <c r="A218" s="12" t="s">
        <v>260</v>
      </c>
      <c r="B218" s="12" t="s">
        <v>261</v>
      </c>
      <c r="C218" s="271">
        <f>'15th-18thMAY'!E218</f>
        <v>1</v>
      </c>
      <c r="D218" s="191"/>
      <c r="E218" s="247"/>
      <c r="F218" s="235" t="s">
        <v>35</v>
      </c>
      <c r="G218" s="235"/>
      <c r="H218" s="272" t="str">
        <f>'15th-18thMAY'!J218</f>
        <v/>
      </c>
      <c r="I218" s="281">
        <v>1.0</v>
      </c>
      <c r="J218" s="282">
        <v>4.398</v>
      </c>
      <c r="K218" s="283"/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1.352</v>
      </c>
      <c r="N218" s="191"/>
      <c r="O218" s="247"/>
    </row>
    <row r="219">
      <c r="A219" s="12" t="s">
        <v>263</v>
      </c>
      <c r="B219" s="12" t="s">
        <v>17</v>
      </c>
      <c r="C219" s="271" t="str">
        <f>'15th-18thMAY'!E219</f>
        <v/>
      </c>
      <c r="D219" s="227">
        <v>50.0</v>
      </c>
      <c r="E219" s="247"/>
      <c r="F219" s="235" t="s">
        <v>17</v>
      </c>
      <c r="G219" s="235"/>
      <c r="H219" s="272">
        <f>'15th-18thMAY'!J219</f>
        <v>65</v>
      </c>
      <c r="I219" s="281">
        <v>1.0</v>
      </c>
      <c r="J219" s="282">
        <v>53.0</v>
      </c>
      <c r="K219" s="283"/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62</v>
      </c>
      <c r="N219" s="191"/>
      <c r="O219" s="247"/>
    </row>
    <row r="220">
      <c r="A220" s="12" t="s">
        <v>264</v>
      </c>
      <c r="B220" s="12" t="s">
        <v>261</v>
      </c>
      <c r="C220" s="271">
        <f>'15th-18thMAY'!E220</f>
        <v>1</v>
      </c>
      <c r="D220" s="191"/>
      <c r="E220" s="280">
        <v>1.0</v>
      </c>
      <c r="F220" s="235" t="s">
        <v>35</v>
      </c>
      <c r="G220" s="235"/>
      <c r="H220" s="272" t="str">
        <f>'15th-18thMAY'!J220</f>
        <v/>
      </c>
      <c r="I220" s="281">
        <v>1.0</v>
      </c>
      <c r="J220" s="284"/>
      <c r="K220" s="283"/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</v>
      </c>
      <c r="N220" s="191"/>
      <c r="O220" s="247"/>
    </row>
    <row r="221">
      <c r="A221" s="12" t="s">
        <v>265</v>
      </c>
      <c r="B221" s="12" t="s">
        <v>40</v>
      </c>
      <c r="C221" s="271" t="str">
        <f>'15th-18thMAY'!E221</f>
        <v/>
      </c>
      <c r="D221" s="227">
        <v>5.0</v>
      </c>
      <c r="E221" s="247"/>
      <c r="F221" s="235" t="s">
        <v>17</v>
      </c>
      <c r="G221" s="235"/>
      <c r="H221" s="272">
        <f>'15th-18thMAY'!J221</f>
        <v>35</v>
      </c>
      <c r="I221" s="281">
        <v>1.0</v>
      </c>
      <c r="J221" s="282">
        <v>26.0</v>
      </c>
      <c r="K221" s="283"/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134</v>
      </c>
      <c r="N221" s="191"/>
      <c r="O221" s="247"/>
    </row>
    <row r="222">
      <c r="A222" s="12" t="s">
        <v>266</v>
      </c>
      <c r="B222" s="12" t="s">
        <v>267</v>
      </c>
      <c r="C222" s="271" t="str">
        <f>'15th-18thMAY'!E222</f>
        <v/>
      </c>
      <c r="D222" s="191"/>
      <c r="E222" s="247"/>
      <c r="F222" s="235" t="s">
        <v>17</v>
      </c>
      <c r="G222" s="235"/>
      <c r="H222" s="272">
        <f>'15th-18thMAY'!J222</f>
        <v>56</v>
      </c>
      <c r="I222" s="281">
        <v>1.0</v>
      </c>
      <c r="J222" s="282">
        <v>43.0</v>
      </c>
      <c r="K222" s="283"/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13</v>
      </c>
      <c r="N222" s="191"/>
      <c r="O222" s="247"/>
    </row>
    <row r="223">
      <c r="A223" s="12" t="s">
        <v>268</v>
      </c>
      <c r="B223" s="12" t="s">
        <v>40</v>
      </c>
      <c r="C223" s="271" t="str">
        <f>'15th-18thMAY'!E223</f>
        <v/>
      </c>
      <c r="D223" s="227">
        <v>2.0</v>
      </c>
      <c r="E223" s="247"/>
      <c r="F223" s="235" t="s">
        <v>17</v>
      </c>
      <c r="G223" s="235"/>
      <c r="H223" s="272">
        <f>'15th-18thMAY'!J223</f>
        <v>14</v>
      </c>
      <c r="I223" s="281">
        <v>1.0</v>
      </c>
      <c r="J223" s="282">
        <v>21.0</v>
      </c>
      <c r="K223" s="283"/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43</v>
      </c>
      <c r="N223" s="191"/>
      <c r="O223" s="247"/>
    </row>
    <row r="224">
      <c r="A224" s="12" t="s">
        <v>269</v>
      </c>
      <c r="B224" s="294" t="s">
        <v>40</v>
      </c>
      <c r="C224" s="271" t="str">
        <f>'15th-18thMAY'!E224</f>
        <v/>
      </c>
      <c r="D224" s="191"/>
      <c r="E224" s="191"/>
      <c r="F224" s="191" t="s">
        <v>17</v>
      </c>
      <c r="G224" s="191"/>
      <c r="H224" s="272">
        <f>'15th-18thMAY'!J224</f>
        <v>61</v>
      </c>
      <c r="I224" s="281">
        <v>1.0</v>
      </c>
      <c r="J224" s="227">
        <v>31.0</v>
      </c>
      <c r="K224" s="283"/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30</v>
      </c>
      <c r="N224" s="191"/>
      <c r="O224" s="247"/>
    </row>
    <row r="225">
      <c r="A225" s="12" t="s">
        <v>270</v>
      </c>
      <c r="B225" s="294" t="s">
        <v>40</v>
      </c>
      <c r="C225" s="271" t="str">
        <f>'15th-18thMAY'!E225</f>
        <v/>
      </c>
      <c r="D225" s="227">
        <v>1.0</v>
      </c>
      <c r="E225" s="191"/>
      <c r="F225" s="191" t="s">
        <v>17</v>
      </c>
      <c r="G225" s="191"/>
      <c r="H225" s="272">
        <f>'15th-18thMAY'!J225</f>
        <v>7</v>
      </c>
      <c r="I225" s="281">
        <v>1.0</v>
      </c>
      <c r="J225" s="227">
        <v>37.0</v>
      </c>
      <c r="K225" s="283"/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20</v>
      </c>
      <c r="N225" s="191"/>
      <c r="O225" s="247"/>
    </row>
    <row r="226">
      <c r="A226" s="12" t="s">
        <v>271</v>
      </c>
      <c r="B226" s="294" t="s">
        <v>40</v>
      </c>
      <c r="C226" s="271" t="str">
        <f>'15th-18thMAY'!E226</f>
        <v/>
      </c>
      <c r="D226" s="227">
        <v>1.0</v>
      </c>
      <c r="E226" s="191"/>
      <c r="F226" s="191" t="s">
        <v>17</v>
      </c>
      <c r="G226" s="191"/>
      <c r="H226" s="272">
        <f>'15th-18thMAY'!J226</f>
        <v>29</v>
      </c>
      <c r="I226" s="281">
        <v>1.0</v>
      </c>
      <c r="J226" s="227">
        <v>16.0</v>
      </c>
      <c r="K226" s="283"/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63</v>
      </c>
      <c r="N226" s="191"/>
      <c r="O226" s="247"/>
    </row>
    <row r="227">
      <c r="A227" s="12" t="s">
        <v>272</v>
      </c>
      <c r="B227" s="294" t="s">
        <v>40</v>
      </c>
      <c r="C227" s="271" t="str">
        <f>'15th-18thMAY'!E227</f>
        <v/>
      </c>
      <c r="D227" s="297">
        <v>7.0</v>
      </c>
      <c r="E227" s="296"/>
      <c r="F227" s="296" t="s">
        <v>17</v>
      </c>
      <c r="G227" s="296"/>
      <c r="H227" s="272">
        <f>'15th-18thMAY'!J227</f>
        <v>7</v>
      </c>
      <c r="I227" s="281">
        <v>1.0</v>
      </c>
      <c r="J227" s="297">
        <v>7.0</v>
      </c>
      <c r="K227" s="283"/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7</v>
      </c>
      <c r="N227" s="296"/>
      <c r="O227" s="299"/>
    </row>
    <row r="228">
      <c r="A228" s="23" t="s">
        <v>458</v>
      </c>
      <c r="B228" s="23" t="s">
        <v>763</v>
      </c>
      <c r="C228" s="271" t="str">
        <f>'15th-18thMAY'!E228</f>
        <v/>
      </c>
      <c r="D228" s="297"/>
      <c r="E228" s="296"/>
      <c r="F228" s="11"/>
      <c r="G228" s="296"/>
      <c r="H228" s="272" t="str">
        <f>'15th-18thMAY'!J228</f>
        <v/>
      </c>
      <c r="I228" s="281"/>
      <c r="J228" s="297"/>
      <c r="K228" s="283"/>
      <c r="L228" s="11"/>
      <c r="M228" s="298" t="str">
        <f>IF(AND(H228&lt;&gt;"", J228&lt;&gt;""), H228-J228, IF(H228&lt;&gt;"", H228-I228*VLOOKUP(A228, BACKEND1!$A:$G,6,FALSE), IF(J228&lt;&gt;"", -J228+K228*VLOOKUP(A228, BACKEND1!$A:$G,6,FALSE),0)))+ (C228+D228-E228)*VLOOKUP(A228, BACKEND1!$A:$G,5,FALSE)+G228
</f>
        <v>#N/A</v>
      </c>
      <c r="N228" s="296"/>
      <c r="O228" s="299"/>
    </row>
    <row r="229">
      <c r="A229" s="11"/>
      <c r="B229" s="11"/>
      <c r="C229" s="271" t="str">
        <f>'15th-18thMAY'!E229</f>
        <v/>
      </c>
      <c r="D229" s="11"/>
      <c r="E229" s="11"/>
      <c r="F229" s="11"/>
      <c r="G229" s="11"/>
      <c r="H229" s="272" t="str">
        <f>'15th-18thMAY'!J229</f>
        <v/>
      </c>
      <c r="I229" s="281"/>
      <c r="J229" s="11"/>
      <c r="K229" s="11"/>
      <c r="L229" s="11"/>
      <c r="M229" s="11"/>
      <c r="N229" s="11"/>
      <c r="O229" s="11"/>
    </row>
    <row r="230">
      <c r="A230" s="11"/>
      <c r="B230" s="11"/>
      <c r="C230" s="271" t="str">
        <f>'15th-18thMAY'!E230</f>
        <v/>
      </c>
      <c r="D230" s="11"/>
      <c r="E230" s="11"/>
      <c r="F230" s="11"/>
      <c r="G230" s="11"/>
      <c r="H230" s="272" t="str">
        <f>'15th-18thMAY'!J230</f>
        <v/>
      </c>
      <c r="I230" s="281"/>
      <c r="J230" s="11"/>
      <c r="K230" s="11"/>
      <c r="L230" s="11"/>
      <c r="M230" s="11"/>
      <c r="N230" s="11"/>
      <c r="O230" s="11"/>
    </row>
    <row r="231">
      <c r="A231" s="11"/>
      <c r="B231" s="11"/>
      <c r="C231" s="271" t="str">
        <f>'15th-18thMAY'!E231</f>
        <v/>
      </c>
      <c r="D231" s="11"/>
      <c r="E231" s="11"/>
      <c r="F231" s="11"/>
      <c r="G231" s="11"/>
      <c r="H231" s="272" t="str">
        <f>'15th-18thMAY'!J231</f>
        <v/>
      </c>
      <c r="I231" s="281"/>
      <c r="J231" s="11"/>
      <c r="K231" s="11"/>
      <c r="L231" s="11"/>
      <c r="M231" s="11"/>
      <c r="N231" s="11"/>
      <c r="O231" s="11"/>
    </row>
    <row r="232">
      <c r="A232" s="11"/>
      <c r="B232" s="11"/>
      <c r="C232" s="271" t="str">
        <f>'15th-18thMAY'!E232</f>
        <v/>
      </c>
      <c r="D232" s="11"/>
      <c r="E232" s="11"/>
      <c r="F232" s="11"/>
      <c r="G232" s="11"/>
      <c r="H232" s="272" t="str">
        <f>'15th-18thMAY'!J232</f>
        <v/>
      </c>
      <c r="I232" s="11"/>
      <c r="J232" s="11"/>
      <c r="K232" s="11"/>
      <c r="L232" s="11"/>
      <c r="M232" s="11"/>
      <c r="N232" s="11"/>
      <c r="O232" s="11"/>
    </row>
    <row r="233">
      <c r="A233" s="11"/>
      <c r="B233" s="11"/>
      <c r="C233" s="271" t="str">
        <f>'15th-18thMAY'!E233</f>
        <v/>
      </c>
      <c r="D233" s="11"/>
      <c r="E233" s="11"/>
      <c r="F233" s="11"/>
      <c r="G233" s="11"/>
      <c r="H233" s="272" t="str">
        <f>'15th-18thMAY'!J233</f>
        <v/>
      </c>
      <c r="I233" s="11"/>
      <c r="J233" s="11"/>
      <c r="K233" s="11"/>
      <c r="L233" s="11"/>
      <c r="M233" s="11"/>
      <c r="N233" s="11"/>
      <c r="O233" s="11"/>
    </row>
    <row r="234">
      <c r="A234" s="11"/>
      <c r="B234" s="11"/>
      <c r="C234" s="271" t="str">
        <f>'15th-18thMAY'!E234</f>
        <v/>
      </c>
      <c r="D234" s="11"/>
      <c r="E234" s="11"/>
      <c r="F234" s="11"/>
      <c r="G234" s="11"/>
      <c r="H234" s="272" t="str">
        <f>'15th-18thMAY'!J234</f>
        <v/>
      </c>
      <c r="I234" s="11"/>
      <c r="J234" s="11"/>
      <c r="K234" s="11"/>
      <c r="L234" s="11"/>
      <c r="M234" s="11"/>
      <c r="N234" s="11"/>
      <c r="O234" s="11"/>
    </row>
    <row r="235">
      <c r="A235" s="11"/>
      <c r="B235" s="11"/>
      <c r="C235" s="271" t="str">
        <f>'15th-18thMAY'!E235</f>
        <v/>
      </c>
      <c r="D235" s="11"/>
      <c r="E235" s="11"/>
      <c r="F235" s="11"/>
      <c r="G235" s="11"/>
      <c r="H235" s="272" t="str">
        <f>'15th-18thMAY'!J235</f>
        <v/>
      </c>
      <c r="I235" s="11"/>
      <c r="J235" s="11"/>
      <c r="K235" s="11"/>
      <c r="L235" s="11"/>
      <c r="M235" s="11"/>
      <c r="N235" s="11"/>
      <c r="O235" s="11"/>
    </row>
    <row r="236">
      <c r="A236" s="11"/>
      <c r="B236" s="11"/>
      <c r="C236" s="271" t="str">
        <f>'15th-18thMAY'!E236</f>
        <v/>
      </c>
      <c r="D236" s="11"/>
      <c r="E236" s="11"/>
      <c r="F236" s="11"/>
      <c r="G236" s="11"/>
      <c r="H236" s="272" t="str">
        <f>'15th-18thMAY'!J236</f>
        <v/>
      </c>
      <c r="I236" s="11"/>
      <c r="J236" s="11"/>
      <c r="K236" s="11"/>
      <c r="L236" s="11"/>
      <c r="M236" s="11"/>
      <c r="N236" s="11"/>
      <c r="O236" s="11"/>
    </row>
    <row r="237">
      <c r="A237" s="11"/>
      <c r="B237" s="11"/>
      <c r="C237" s="271" t="str">
        <f>'15th-18thMAY'!E237</f>
        <v/>
      </c>
      <c r="D237" s="11"/>
      <c r="E237" s="11"/>
      <c r="F237" s="11"/>
      <c r="G237" s="11"/>
      <c r="H237" s="272" t="str">
        <f>'15th-18thMAY'!J237</f>
        <v/>
      </c>
      <c r="I237" s="11"/>
      <c r="J237" s="11"/>
      <c r="K237" s="11"/>
      <c r="L237" s="11"/>
      <c r="M237" s="11"/>
      <c r="N237" s="11"/>
      <c r="O237" s="11"/>
    </row>
    <row r="238">
      <c r="A238" s="11"/>
      <c r="B238" s="11"/>
      <c r="C238" s="271" t="str">
        <f>'15th-18thMAY'!E238</f>
        <v/>
      </c>
      <c r="D238" s="11"/>
      <c r="E238" s="11"/>
      <c r="F238" s="11"/>
      <c r="G238" s="11"/>
      <c r="H238" s="272" t="str">
        <f>'15th-18thMAY'!J238</f>
        <v/>
      </c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271" t="str">
        <f>'15th-18thMAY'!E239</f>
        <v/>
      </c>
      <c r="D239" s="11"/>
      <c r="E239" s="11"/>
      <c r="F239" s="11"/>
      <c r="G239" s="11"/>
      <c r="H239" s="272" t="str">
        <f>'15th-18thMAY'!J239</f>
        <v/>
      </c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271" t="str">
        <f>'15th-18thMAY'!E240</f>
        <v/>
      </c>
      <c r="D240" s="11"/>
      <c r="E240" s="11"/>
      <c r="F240" s="11"/>
      <c r="G240" s="11"/>
      <c r="H240" s="272" t="str">
        <f>'15th-18thMAY'!J240</f>
        <v/>
      </c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271" t="str">
        <f>'15th-18thMAY'!E241</f>
        <v/>
      </c>
      <c r="D241" s="11"/>
      <c r="E241" s="11"/>
      <c r="F241" s="11"/>
      <c r="G241" s="11"/>
      <c r="H241" s="272" t="str">
        <f>'15th-18thMAY'!J241</f>
        <v/>
      </c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271" t="str">
        <f>'15th-18thMAY'!E242</f>
        <v/>
      </c>
      <c r="D242" s="11"/>
      <c r="E242" s="11"/>
      <c r="F242" s="11"/>
      <c r="G242" s="11"/>
      <c r="H242" s="272" t="str">
        <f>'15th-18thMAY'!J242</f>
        <v/>
      </c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271" t="str">
        <f>'15th-18thMAY'!E243</f>
        <v/>
      </c>
      <c r="D243" s="11"/>
      <c r="E243" s="11"/>
      <c r="F243" s="11"/>
      <c r="G243" s="11"/>
      <c r="H243" s="272" t="str">
        <f>'15th-18thMAY'!J243</f>
        <v/>
      </c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271" t="str">
        <f>'15th-18thMAY'!E244</f>
        <v/>
      </c>
      <c r="D244" s="11"/>
      <c r="E244" s="11"/>
      <c r="F244" s="11"/>
      <c r="G244" s="11"/>
      <c r="H244" s="272" t="str">
        <f>'15th-18thMAY'!J244</f>
        <v/>
      </c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271" t="str">
        <f>'15th-18thMAY'!E245</f>
        <v/>
      </c>
      <c r="D245" s="11"/>
      <c r="E245" s="11"/>
      <c r="F245" s="11"/>
      <c r="G245" s="11"/>
      <c r="H245" s="272" t="str">
        <f>'15th-18thMAY'!J245</f>
        <v/>
      </c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271" t="str">
        <f>'15th-18thMAY'!E246</f>
        <v/>
      </c>
      <c r="D246" s="11"/>
      <c r="E246" s="11"/>
      <c r="F246" s="11"/>
      <c r="G246" s="11"/>
      <c r="H246" s="272" t="str">
        <f>'15th-18thMAY'!J246</f>
        <v/>
      </c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271" t="str">
        <f>'15th-18thMAY'!E247</f>
        <v/>
      </c>
      <c r="D247" s="11"/>
      <c r="E247" s="11"/>
      <c r="F247" s="11"/>
      <c r="G247" s="11"/>
      <c r="H247" s="272" t="str">
        <f>'15th-18thMAY'!J247</f>
        <v/>
      </c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271" t="str">
        <f>'15th-18thMAY'!E248</f>
        <v/>
      </c>
      <c r="D248" s="11"/>
      <c r="E248" s="11"/>
      <c r="F248" s="11"/>
      <c r="G248" s="11"/>
      <c r="H248" s="272" t="str">
        <f>'15th-18thMAY'!J248</f>
        <v/>
      </c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271" t="str">
        <f>'15th-18thMAY'!E249</f>
        <v/>
      </c>
      <c r="D249" s="11"/>
      <c r="E249" s="11"/>
      <c r="F249" s="11"/>
      <c r="G249" s="11"/>
      <c r="H249" s="272" t="str">
        <f>'15th-18thMAY'!J249</f>
        <v/>
      </c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271" t="str">
        <f>'15th-18thMAY'!E250</f>
        <v/>
      </c>
      <c r="D250" s="11"/>
      <c r="E250" s="11"/>
      <c r="F250" s="11"/>
      <c r="G250" s="11"/>
      <c r="H250" s="272" t="str">
        <f>'15th-18thMAY'!J250</f>
        <v/>
      </c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271" t="str">
        <f>'15th-18thMAY'!E251</f>
        <v/>
      </c>
      <c r="D251" s="11"/>
      <c r="E251" s="11"/>
      <c r="F251" s="11"/>
      <c r="G251" s="11"/>
      <c r="H251" s="272" t="str">
        <f>'15th-18thMAY'!J251</f>
        <v/>
      </c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271" t="str">
        <f>'15th-18thMAY'!E252</f>
        <v/>
      </c>
      <c r="D252" s="11"/>
      <c r="E252" s="11"/>
      <c r="F252" s="11"/>
      <c r="G252" s="11"/>
      <c r="H252" s="272" t="str">
        <f>'15th-18thMAY'!J252</f>
        <v/>
      </c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271" t="str">
        <f>'15th-18thMAY'!E253</f>
        <v/>
      </c>
      <c r="D253" s="11"/>
      <c r="E253" s="11"/>
      <c r="F253" s="11"/>
      <c r="G253" s="11"/>
      <c r="H253" s="272" t="str">
        <f>'15th-18thMAY'!J253</f>
        <v/>
      </c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271" t="str">
        <f>'15th-18thMAY'!E254</f>
        <v/>
      </c>
      <c r="D254" s="11"/>
      <c r="E254" s="11"/>
      <c r="F254" s="11"/>
      <c r="G254" s="11"/>
      <c r="H254" s="272" t="str">
        <f>'15th-18thMAY'!J254</f>
        <v/>
      </c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271" t="str">
        <f>'15th-18thMAY'!E255</f>
        <v/>
      </c>
      <c r="D255" s="11"/>
      <c r="E255" s="11"/>
      <c r="F255" s="11"/>
      <c r="G255" s="11"/>
      <c r="H255" s="272" t="str">
        <f>'15th-18thMAY'!J255</f>
        <v/>
      </c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271" t="str">
        <f>'15th-18thMAY'!E256</f>
        <v/>
      </c>
      <c r="D256" s="11"/>
      <c r="E256" s="11"/>
      <c r="F256" s="11"/>
      <c r="G256" s="11"/>
      <c r="H256" s="272" t="str">
        <f>'15th-18thMAY'!J256</f>
        <v/>
      </c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271" t="str">
        <f>'15th-18thMAY'!E257</f>
        <v/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271" t="str">
        <f>'15th-18thMAY'!E258</f>
        <v/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271" t="str">
        <f>'15th-18thMAY'!E259</f>
        <v/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271" t="str">
        <f>'15th-18thMAY'!E260</f>
        <v/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11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11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11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11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11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11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11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11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11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11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11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11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11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11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11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11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11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11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11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11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11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11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11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11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11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11"/>
      <c r="B292" s="235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11"/>
      <c r="B293" s="235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11"/>
      <c r="B294" s="235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11"/>
      <c r="B295" s="235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11"/>
      <c r="B296" s="235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11"/>
      <c r="B297" s="235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11"/>
      <c r="B298" s="235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11"/>
      <c r="B299" s="235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11"/>
      <c r="B300" s="235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11"/>
      <c r="B301" s="235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11"/>
      <c r="B302" s="235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11"/>
      <c r="B303" s="235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11"/>
      <c r="B304" s="235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11"/>
      <c r="B305" s="235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11"/>
      <c r="B306" s="235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11"/>
      <c r="B307" s="235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11"/>
      <c r="B308" s="235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11"/>
      <c r="B309" s="235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11"/>
      <c r="B310" s="235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11"/>
      <c r="B311" s="235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11"/>
      <c r="B312" s="235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11"/>
      <c r="B313" s="235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11"/>
      <c r="B314" s="235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11"/>
      <c r="B315" s="235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11"/>
      <c r="B316" s="235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11"/>
      <c r="B317" s="235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11"/>
      <c r="B318" s="235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11"/>
      <c r="B319" s="235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11"/>
      <c r="B320" s="235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11"/>
      <c r="B321" s="235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11"/>
      <c r="B322" s="235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11"/>
      <c r="B323" s="235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11"/>
      <c r="B324" s="235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11"/>
      <c r="B325" s="235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11"/>
      <c r="B326" s="235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11"/>
      <c r="B327" s="235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11"/>
      <c r="B328" s="235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11"/>
      <c r="B329" s="235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11"/>
      <c r="B330" s="235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11"/>
      <c r="B331" s="235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11"/>
      <c r="B332" s="235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11"/>
      <c r="B333" s="235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11"/>
      <c r="B334" s="235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11"/>
      <c r="B335" s="235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11"/>
      <c r="B336" s="235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A337" s="300"/>
    </row>
    <row r="338">
      <c r="A338" s="300"/>
    </row>
    <row r="339">
      <c r="A339" s="300"/>
    </row>
    <row r="340">
      <c r="A340" s="300"/>
    </row>
    <row r="341">
      <c r="A341" s="300"/>
    </row>
    <row r="342">
      <c r="A342" s="300"/>
    </row>
    <row r="343">
      <c r="A343" s="300"/>
    </row>
    <row r="344">
      <c r="A344" s="300"/>
    </row>
    <row r="345">
      <c r="A345" s="300"/>
    </row>
    <row r="346">
      <c r="A346" s="300"/>
    </row>
    <row r="347">
      <c r="A347" s="300"/>
    </row>
    <row r="348">
      <c r="A348" s="300"/>
    </row>
    <row r="349">
      <c r="A349" s="300"/>
    </row>
    <row r="350">
      <c r="A350" s="300"/>
    </row>
    <row r="351">
      <c r="A351" s="300"/>
    </row>
    <row r="352">
      <c r="A352" s="300"/>
    </row>
    <row r="353">
      <c r="A353" s="300"/>
    </row>
    <row r="354">
      <c r="A354" s="300"/>
    </row>
    <row r="355">
      <c r="A355" s="300"/>
    </row>
    <row r="356">
      <c r="A356" s="300"/>
    </row>
    <row r="357">
      <c r="A357" s="300"/>
    </row>
    <row r="358">
      <c r="A358" s="300"/>
    </row>
    <row r="359">
      <c r="A359" s="300"/>
    </row>
    <row r="360">
      <c r="A360" s="300"/>
    </row>
    <row r="361">
      <c r="A361" s="300"/>
    </row>
    <row r="362">
      <c r="A362" s="300"/>
    </row>
    <row r="363">
      <c r="A363" s="300"/>
    </row>
    <row r="364">
      <c r="A364" s="300"/>
    </row>
    <row r="365">
      <c r="A365" s="300"/>
    </row>
    <row r="366">
      <c r="A366" s="300"/>
    </row>
    <row r="367">
      <c r="A367" s="300"/>
    </row>
    <row r="368">
      <c r="A368" s="300"/>
    </row>
    <row r="369">
      <c r="A369" s="300"/>
    </row>
    <row r="370">
      <c r="A370" s="300"/>
    </row>
    <row r="371">
      <c r="A371" s="300"/>
    </row>
    <row r="372">
      <c r="A372" s="300"/>
    </row>
    <row r="373">
      <c r="A373" s="300"/>
    </row>
    <row r="374">
      <c r="A374" s="300"/>
    </row>
    <row r="375">
      <c r="A375" s="300"/>
    </row>
    <row r="376">
      <c r="A376" s="300"/>
    </row>
    <row r="377">
      <c r="A377" s="300"/>
    </row>
    <row r="378">
      <c r="A378" s="300"/>
    </row>
    <row r="379">
      <c r="A379" s="300"/>
    </row>
    <row r="380">
      <c r="A380" s="300"/>
    </row>
    <row r="381">
      <c r="A381" s="300"/>
    </row>
    <row r="382">
      <c r="A382" s="300"/>
    </row>
    <row r="383">
      <c r="A383" s="300"/>
    </row>
    <row r="384">
      <c r="A384" s="300"/>
    </row>
    <row r="385">
      <c r="A385" s="300"/>
    </row>
    <row r="386">
      <c r="A386" s="300"/>
    </row>
    <row r="387">
      <c r="A387" s="300"/>
    </row>
    <row r="388">
      <c r="A388" s="300"/>
    </row>
    <row r="389">
      <c r="A389" s="300"/>
    </row>
    <row r="390">
      <c r="A390" s="300"/>
    </row>
    <row r="391">
      <c r="A391" s="300"/>
    </row>
    <row r="392">
      <c r="A392" s="300"/>
    </row>
    <row r="393">
      <c r="A393" s="300"/>
    </row>
    <row r="394">
      <c r="A394" s="300"/>
    </row>
    <row r="395">
      <c r="A395" s="300"/>
    </row>
    <row r="396">
      <c r="A396" s="300"/>
    </row>
    <row r="397">
      <c r="A397" s="300"/>
    </row>
    <row r="398">
      <c r="A398" s="300"/>
    </row>
    <row r="399">
      <c r="A399" s="300"/>
    </row>
    <row r="400">
      <c r="A400" s="300"/>
    </row>
    <row r="401">
      <c r="A401" s="300"/>
    </row>
    <row r="402">
      <c r="A402" s="300"/>
    </row>
    <row r="403">
      <c r="A403" s="300"/>
    </row>
    <row r="404">
      <c r="A404" s="300"/>
    </row>
    <row r="405">
      <c r="A405" s="300"/>
    </row>
    <row r="406">
      <c r="A406" s="300"/>
    </row>
    <row r="407">
      <c r="A407" s="300"/>
    </row>
    <row r="408">
      <c r="A408" s="300"/>
    </row>
    <row r="409">
      <c r="A409" s="300"/>
    </row>
    <row r="410">
      <c r="A410" s="300"/>
    </row>
    <row r="411">
      <c r="A411" s="300"/>
    </row>
    <row r="412">
      <c r="A412" s="300"/>
    </row>
    <row r="413">
      <c r="A413" s="300"/>
    </row>
    <row r="414">
      <c r="A414" s="300"/>
    </row>
    <row r="415">
      <c r="A415" s="300"/>
    </row>
    <row r="416">
      <c r="A416" s="300"/>
    </row>
    <row r="417">
      <c r="A417" s="300"/>
    </row>
    <row r="418">
      <c r="A418" s="300"/>
    </row>
    <row r="419">
      <c r="A419" s="300"/>
    </row>
    <row r="420">
      <c r="A420" s="300"/>
    </row>
    <row r="421">
      <c r="A421" s="300"/>
    </row>
    <row r="422">
      <c r="A422" s="300"/>
    </row>
    <row r="423">
      <c r="A423" s="300"/>
    </row>
    <row r="424">
      <c r="A424" s="300"/>
    </row>
    <row r="425">
      <c r="A425" s="300"/>
    </row>
    <row r="426">
      <c r="A426" s="300"/>
    </row>
    <row r="427">
      <c r="A427" s="300"/>
    </row>
    <row r="428">
      <c r="A428" s="300"/>
    </row>
    <row r="429">
      <c r="A429" s="300"/>
    </row>
    <row r="430">
      <c r="A430" s="300"/>
    </row>
    <row r="431">
      <c r="A431" s="300"/>
    </row>
    <row r="432">
      <c r="A432" s="300"/>
    </row>
    <row r="433">
      <c r="A433" s="300"/>
    </row>
    <row r="434">
      <c r="A434" s="300"/>
    </row>
    <row r="435">
      <c r="A435" s="300"/>
    </row>
    <row r="436">
      <c r="A436" s="300"/>
    </row>
    <row r="437">
      <c r="A437" s="300"/>
    </row>
    <row r="438">
      <c r="A438" s="300"/>
    </row>
    <row r="439">
      <c r="A439" s="300"/>
    </row>
    <row r="440">
      <c r="A440" s="300"/>
    </row>
    <row r="441">
      <c r="A441" s="300"/>
    </row>
    <row r="442">
      <c r="A442" s="300"/>
    </row>
    <row r="443">
      <c r="A443" s="300"/>
    </row>
    <row r="444">
      <c r="A444" s="300"/>
    </row>
    <row r="445">
      <c r="A445" s="300"/>
    </row>
    <row r="446">
      <c r="A446" s="300"/>
    </row>
    <row r="447">
      <c r="A447" s="300"/>
    </row>
    <row r="448">
      <c r="A448" s="300"/>
    </row>
    <row r="449">
      <c r="A449" s="300"/>
    </row>
    <row r="450">
      <c r="A450" s="300"/>
    </row>
    <row r="451">
      <c r="A451" s="300"/>
    </row>
    <row r="452">
      <c r="A452" s="300"/>
    </row>
    <row r="453">
      <c r="A453" s="300"/>
    </row>
    <row r="454">
      <c r="A454" s="300"/>
    </row>
    <row r="455">
      <c r="A455" s="300"/>
    </row>
    <row r="456">
      <c r="A456" s="300"/>
    </row>
    <row r="457">
      <c r="A457" s="300"/>
    </row>
    <row r="458">
      <c r="A458" s="300"/>
    </row>
    <row r="459">
      <c r="A459" s="300"/>
    </row>
    <row r="460">
      <c r="A460" s="300"/>
    </row>
    <row r="461">
      <c r="A461" s="300"/>
    </row>
    <row r="462">
      <c r="A462" s="300"/>
    </row>
    <row r="463">
      <c r="A463" s="300"/>
    </row>
    <row r="464">
      <c r="A464" s="300"/>
    </row>
    <row r="465">
      <c r="A465" s="300"/>
    </row>
    <row r="466">
      <c r="A466" s="300"/>
    </row>
    <row r="467">
      <c r="A467" s="300"/>
    </row>
    <row r="468">
      <c r="A468" s="300"/>
    </row>
    <row r="469">
      <c r="A469" s="300"/>
    </row>
    <row r="470">
      <c r="A470" s="300"/>
    </row>
    <row r="471">
      <c r="A471" s="300"/>
    </row>
    <row r="472">
      <c r="A472" s="300"/>
    </row>
    <row r="473">
      <c r="A473" s="300"/>
    </row>
    <row r="474">
      <c r="A474" s="300"/>
    </row>
    <row r="475">
      <c r="A475" s="300"/>
    </row>
    <row r="476">
      <c r="A476" s="300"/>
    </row>
    <row r="477">
      <c r="A477" s="300"/>
    </row>
    <row r="478">
      <c r="A478" s="300"/>
    </row>
    <row r="479">
      <c r="A479" s="300"/>
    </row>
    <row r="480">
      <c r="A480" s="300"/>
    </row>
    <row r="481">
      <c r="A481" s="300"/>
    </row>
    <row r="482">
      <c r="A482" s="300"/>
    </row>
    <row r="483">
      <c r="A483" s="300"/>
    </row>
    <row r="484">
      <c r="A484" s="300"/>
    </row>
    <row r="485">
      <c r="A485" s="300"/>
    </row>
    <row r="486">
      <c r="A486" s="300"/>
    </row>
    <row r="487">
      <c r="A487" s="300"/>
    </row>
    <row r="488">
      <c r="A488" s="300"/>
    </row>
    <row r="489">
      <c r="A489" s="300"/>
    </row>
    <row r="490">
      <c r="A490" s="300"/>
    </row>
    <row r="491">
      <c r="A491" s="300"/>
    </row>
    <row r="492">
      <c r="A492" s="300"/>
    </row>
    <row r="493">
      <c r="A493" s="300"/>
    </row>
    <row r="494">
      <c r="A494" s="300"/>
    </row>
    <row r="495">
      <c r="A495" s="300"/>
    </row>
    <row r="496">
      <c r="A496" s="300"/>
    </row>
    <row r="497">
      <c r="A497" s="300"/>
    </row>
    <row r="498">
      <c r="A498" s="300"/>
    </row>
    <row r="499">
      <c r="A499" s="300"/>
    </row>
    <row r="500">
      <c r="A500" s="300"/>
    </row>
    <row r="501">
      <c r="A501" s="300"/>
    </row>
    <row r="502">
      <c r="A502" s="300"/>
    </row>
    <row r="503">
      <c r="A503" s="300"/>
    </row>
    <row r="504">
      <c r="A504" s="300"/>
    </row>
    <row r="505">
      <c r="A505" s="300"/>
    </row>
    <row r="506">
      <c r="A506" s="300"/>
    </row>
    <row r="507">
      <c r="A507" s="300"/>
    </row>
    <row r="508">
      <c r="A508" s="300"/>
    </row>
    <row r="509">
      <c r="A509" s="300"/>
    </row>
    <row r="510">
      <c r="A510" s="300"/>
    </row>
    <row r="511">
      <c r="A511" s="300"/>
    </row>
    <row r="512">
      <c r="A512" s="300"/>
    </row>
    <row r="513">
      <c r="A513" s="300"/>
    </row>
    <row r="514">
      <c r="A514" s="300"/>
    </row>
    <row r="515">
      <c r="A515" s="300"/>
    </row>
    <row r="516">
      <c r="A516" s="300"/>
    </row>
    <row r="517">
      <c r="A517" s="300"/>
    </row>
    <row r="518">
      <c r="A518" s="300"/>
    </row>
    <row r="519">
      <c r="A519" s="300"/>
    </row>
    <row r="520">
      <c r="A520" s="300"/>
    </row>
    <row r="521">
      <c r="A521" s="300"/>
    </row>
    <row r="522">
      <c r="A522" s="300"/>
    </row>
    <row r="523">
      <c r="A523" s="300"/>
    </row>
    <row r="524">
      <c r="A524" s="300"/>
    </row>
    <row r="525">
      <c r="A525" s="300"/>
    </row>
    <row r="526">
      <c r="A526" s="300"/>
    </row>
    <row r="527">
      <c r="A527" s="300"/>
    </row>
    <row r="528">
      <c r="A528" s="300"/>
    </row>
    <row r="529">
      <c r="A529" s="300"/>
    </row>
    <row r="530">
      <c r="A530" s="300"/>
    </row>
    <row r="531">
      <c r="A531" s="300"/>
    </row>
    <row r="532">
      <c r="A532" s="300"/>
    </row>
    <row r="533">
      <c r="A533" s="300"/>
    </row>
    <row r="534">
      <c r="A534" s="300"/>
    </row>
    <row r="535">
      <c r="A535" s="300"/>
    </row>
    <row r="536">
      <c r="A536" s="300"/>
    </row>
    <row r="537">
      <c r="A537" s="300"/>
    </row>
    <row r="538">
      <c r="A538" s="300"/>
    </row>
    <row r="539">
      <c r="A539" s="300"/>
    </row>
    <row r="540">
      <c r="A540" s="300"/>
    </row>
    <row r="541">
      <c r="A541" s="300"/>
    </row>
    <row r="542">
      <c r="A542" s="300"/>
    </row>
    <row r="543">
      <c r="A543" s="300"/>
    </row>
    <row r="544">
      <c r="A544" s="300"/>
    </row>
    <row r="545">
      <c r="A545" s="300"/>
    </row>
    <row r="546">
      <c r="A546" s="300"/>
    </row>
    <row r="547">
      <c r="A547" s="300"/>
    </row>
    <row r="548">
      <c r="A548" s="300"/>
    </row>
    <row r="549">
      <c r="A549" s="300"/>
    </row>
    <row r="550">
      <c r="A550" s="300"/>
    </row>
    <row r="551">
      <c r="A551" s="300"/>
    </row>
    <row r="552">
      <c r="A552" s="300"/>
    </row>
    <row r="553">
      <c r="A553" s="300"/>
    </row>
    <row r="554">
      <c r="A554" s="300"/>
    </row>
    <row r="555">
      <c r="A555" s="300"/>
    </row>
    <row r="556">
      <c r="A556" s="300"/>
    </row>
    <row r="557">
      <c r="A557" s="300"/>
    </row>
    <row r="558">
      <c r="A558" s="300"/>
    </row>
    <row r="559">
      <c r="A559" s="300"/>
    </row>
    <row r="560">
      <c r="A560" s="300"/>
    </row>
    <row r="561">
      <c r="A561" s="300"/>
    </row>
    <row r="562">
      <c r="A562" s="300"/>
    </row>
    <row r="563">
      <c r="A563" s="300"/>
    </row>
    <row r="564">
      <c r="A564" s="300"/>
    </row>
    <row r="565">
      <c r="A565" s="300"/>
    </row>
    <row r="566">
      <c r="A566" s="300"/>
    </row>
    <row r="567">
      <c r="A567" s="300"/>
    </row>
    <row r="568">
      <c r="A568" s="300"/>
    </row>
    <row r="569">
      <c r="A569" s="300"/>
    </row>
    <row r="570">
      <c r="A570" s="300"/>
    </row>
    <row r="571">
      <c r="A571" s="300"/>
    </row>
    <row r="572">
      <c r="A572" s="300"/>
    </row>
    <row r="573">
      <c r="A573" s="300"/>
    </row>
    <row r="574">
      <c r="A574" s="300"/>
    </row>
    <row r="575">
      <c r="A575" s="300"/>
    </row>
    <row r="576">
      <c r="A576" s="300"/>
    </row>
    <row r="577">
      <c r="A577" s="300"/>
    </row>
    <row r="578">
      <c r="A578" s="300"/>
    </row>
    <row r="579">
      <c r="A579" s="300"/>
    </row>
    <row r="580">
      <c r="A580" s="300"/>
    </row>
    <row r="581">
      <c r="A581" s="300"/>
    </row>
    <row r="582">
      <c r="A582" s="300"/>
    </row>
    <row r="583">
      <c r="A583" s="300"/>
    </row>
    <row r="584">
      <c r="A584" s="300"/>
    </row>
    <row r="585">
      <c r="A585" s="300"/>
    </row>
    <row r="586">
      <c r="A586" s="300"/>
    </row>
    <row r="587">
      <c r="A587" s="300"/>
    </row>
    <row r="588">
      <c r="A588" s="300"/>
    </row>
    <row r="589">
      <c r="A589" s="300"/>
    </row>
    <row r="590">
      <c r="A590" s="300"/>
    </row>
    <row r="591">
      <c r="A591" s="300"/>
    </row>
    <row r="592">
      <c r="A592" s="300"/>
    </row>
    <row r="593">
      <c r="A593" s="300"/>
    </row>
    <row r="594">
      <c r="A594" s="300"/>
    </row>
    <row r="595">
      <c r="A595" s="300"/>
    </row>
    <row r="596">
      <c r="A596" s="300"/>
    </row>
    <row r="597">
      <c r="A597" s="300"/>
    </row>
    <row r="598">
      <c r="A598" s="300"/>
    </row>
    <row r="599">
      <c r="A599" s="300"/>
    </row>
    <row r="600">
      <c r="A600" s="300"/>
    </row>
    <row r="601">
      <c r="A601" s="300"/>
    </row>
    <row r="602">
      <c r="A602" s="300"/>
    </row>
    <row r="603">
      <c r="A603" s="300"/>
    </row>
    <row r="604">
      <c r="A604" s="300"/>
    </row>
    <row r="605">
      <c r="A605" s="300"/>
    </row>
    <row r="606">
      <c r="A606" s="300"/>
    </row>
    <row r="607">
      <c r="A607" s="300"/>
    </row>
    <row r="608">
      <c r="A608" s="300"/>
    </row>
    <row r="609">
      <c r="A609" s="300"/>
    </row>
    <row r="610">
      <c r="A610" s="300"/>
    </row>
    <row r="611">
      <c r="A611" s="300"/>
    </row>
    <row r="612">
      <c r="A612" s="300"/>
    </row>
    <row r="613">
      <c r="A613" s="300"/>
    </row>
    <row r="614">
      <c r="A614" s="300"/>
    </row>
    <row r="615">
      <c r="A615" s="300"/>
    </row>
    <row r="616">
      <c r="A616" s="300"/>
    </row>
    <row r="617">
      <c r="A617" s="300"/>
    </row>
    <row r="618">
      <c r="A618" s="300"/>
    </row>
    <row r="619">
      <c r="A619" s="300"/>
    </row>
    <row r="620">
      <c r="A620" s="300"/>
    </row>
    <row r="621">
      <c r="A621" s="300"/>
    </row>
    <row r="622">
      <c r="A622" s="300"/>
    </row>
    <row r="623">
      <c r="A623" s="300"/>
    </row>
    <row r="624">
      <c r="A624" s="300"/>
    </row>
    <row r="625">
      <c r="A625" s="300"/>
    </row>
    <row r="626">
      <c r="A626" s="300"/>
    </row>
    <row r="627">
      <c r="A627" s="300"/>
    </row>
    <row r="628">
      <c r="A628" s="300"/>
    </row>
    <row r="629">
      <c r="A629" s="300"/>
    </row>
    <row r="630">
      <c r="A630" s="300"/>
    </row>
    <row r="631">
      <c r="A631" s="300"/>
    </row>
    <row r="632">
      <c r="A632" s="300"/>
    </row>
    <row r="633">
      <c r="A633" s="300"/>
    </row>
    <row r="634">
      <c r="A634" s="300"/>
    </row>
    <row r="635">
      <c r="A635" s="300"/>
    </row>
    <row r="636">
      <c r="A636" s="300"/>
    </row>
    <row r="637">
      <c r="A637" s="300"/>
    </row>
    <row r="638">
      <c r="A638" s="300"/>
    </row>
    <row r="639">
      <c r="A639" s="300"/>
    </row>
    <row r="640">
      <c r="A640" s="300"/>
    </row>
    <row r="641">
      <c r="A641" s="300"/>
    </row>
    <row r="642">
      <c r="A642" s="300"/>
    </row>
    <row r="643">
      <c r="A643" s="300"/>
    </row>
    <row r="644">
      <c r="A644" s="300"/>
    </row>
    <row r="645">
      <c r="A645" s="300"/>
    </row>
    <row r="646">
      <c r="A646" s="300"/>
    </row>
    <row r="647">
      <c r="A647" s="300"/>
    </row>
    <row r="648">
      <c r="A648" s="300"/>
    </row>
    <row r="649">
      <c r="A649" s="300"/>
    </row>
    <row r="650">
      <c r="A650" s="300"/>
    </row>
    <row r="651">
      <c r="A651" s="300"/>
    </row>
    <row r="652">
      <c r="A652" s="300"/>
    </row>
    <row r="653">
      <c r="A653" s="300"/>
    </row>
    <row r="654">
      <c r="A654" s="300"/>
    </row>
    <row r="655">
      <c r="A655" s="300"/>
    </row>
    <row r="656">
      <c r="A656" s="300"/>
    </row>
    <row r="657">
      <c r="A657" s="300"/>
    </row>
    <row r="658">
      <c r="A658" s="300"/>
    </row>
    <row r="659">
      <c r="A659" s="300"/>
    </row>
    <row r="660">
      <c r="A660" s="300"/>
    </row>
    <row r="661">
      <c r="A661" s="300"/>
    </row>
    <row r="662">
      <c r="A662" s="300"/>
    </row>
    <row r="663">
      <c r="A663" s="300"/>
    </row>
    <row r="664">
      <c r="A664" s="300"/>
    </row>
    <row r="665">
      <c r="A665" s="300"/>
    </row>
    <row r="666">
      <c r="A666" s="300"/>
    </row>
    <row r="667">
      <c r="A667" s="300"/>
    </row>
    <row r="668">
      <c r="A668" s="300"/>
    </row>
    <row r="669">
      <c r="A669" s="300"/>
    </row>
    <row r="670">
      <c r="A670" s="300"/>
    </row>
    <row r="671">
      <c r="A671" s="300"/>
    </row>
    <row r="672">
      <c r="A672" s="300"/>
    </row>
    <row r="673">
      <c r="A673" s="300"/>
    </row>
    <row r="674">
      <c r="A674" s="300"/>
    </row>
    <row r="675">
      <c r="A675" s="300"/>
    </row>
    <row r="676">
      <c r="A676" s="300"/>
    </row>
    <row r="677">
      <c r="A677" s="300"/>
    </row>
    <row r="678">
      <c r="A678" s="300"/>
    </row>
    <row r="679">
      <c r="A679" s="300"/>
    </row>
    <row r="680">
      <c r="A680" s="300"/>
    </row>
    <row r="681">
      <c r="A681" s="300"/>
    </row>
    <row r="682">
      <c r="A682" s="300"/>
    </row>
    <row r="683">
      <c r="A683" s="300"/>
    </row>
    <row r="684">
      <c r="A684" s="300"/>
    </row>
    <row r="685">
      <c r="A685" s="300"/>
    </row>
    <row r="686">
      <c r="A686" s="300"/>
    </row>
    <row r="687">
      <c r="A687" s="300"/>
    </row>
    <row r="688">
      <c r="A688" s="300"/>
    </row>
    <row r="689">
      <c r="A689" s="300"/>
    </row>
    <row r="690">
      <c r="A690" s="300"/>
    </row>
    <row r="691">
      <c r="A691" s="300"/>
    </row>
    <row r="692">
      <c r="A692" s="300"/>
    </row>
    <row r="693">
      <c r="A693" s="300"/>
    </row>
    <row r="694">
      <c r="A694" s="300"/>
    </row>
    <row r="695">
      <c r="A695" s="300"/>
    </row>
    <row r="696">
      <c r="A696" s="300"/>
    </row>
    <row r="697">
      <c r="A697" s="300"/>
    </row>
    <row r="698">
      <c r="A698" s="300"/>
    </row>
    <row r="699">
      <c r="A699" s="300"/>
    </row>
    <row r="700">
      <c r="A700" s="300"/>
    </row>
    <row r="701">
      <c r="A701" s="300"/>
    </row>
    <row r="702">
      <c r="A702" s="300"/>
    </row>
    <row r="703">
      <c r="A703" s="300"/>
    </row>
    <row r="704">
      <c r="A704" s="300"/>
    </row>
    <row r="705">
      <c r="A705" s="300"/>
    </row>
    <row r="706">
      <c r="A706" s="300"/>
    </row>
    <row r="707">
      <c r="A707" s="300"/>
    </row>
    <row r="708">
      <c r="A708" s="300"/>
    </row>
    <row r="709">
      <c r="A709" s="300"/>
    </row>
    <row r="710">
      <c r="A710" s="300"/>
    </row>
    <row r="711">
      <c r="A711" s="300"/>
    </row>
    <row r="712">
      <c r="A712" s="300"/>
    </row>
    <row r="713">
      <c r="A713" s="300"/>
    </row>
    <row r="714">
      <c r="A714" s="300"/>
    </row>
    <row r="715">
      <c r="A715" s="300"/>
    </row>
    <row r="716">
      <c r="A716" s="300"/>
    </row>
    <row r="717">
      <c r="A717" s="300"/>
    </row>
    <row r="718">
      <c r="A718" s="300"/>
    </row>
    <row r="719">
      <c r="A719" s="300"/>
    </row>
    <row r="720">
      <c r="A720" s="300"/>
    </row>
    <row r="721">
      <c r="A721" s="300"/>
    </row>
    <row r="722">
      <c r="A722" s="300"/>
    </row>
    <row r="723">
      <c r="A723" s="300"/>
    </row>
    <row r="724">
      <c r="A724" s="300"/>
    </row>
    <row r="725">
      <c r="A725" s="300"/>
    </row>
    <row r="726">
      <c r="A726" s="300"/>
    </row>
    <row r="727">
      <c r="A727" s="300"/>
    </row>
    <row r="728">
      <c r="A728" s="300"/>
    </row>
    <row r="729">
      <c r="A729" s="300"/>
    </row>
    <row r="730">
      <c r="A730" s="300"/>
    </row>
    <row r="731">
      <c r="A731" s="300"/>
    </row>
    <row r="732">
      <c r="A732" s="300"/>
    </row>
    <row r="733">
      <c r="A733" s="300"/>
    </row>
    <row r="734">
      <c r="A734" s="300"/>
    </row>
    <row r="735">
      <c r="A735" s="300"/>
    </row>
    <row r="736">
      <c r="A736" s="300"/>
    </row>
    <row r="737">
      <c r="A737" s="300"/>
    </row>
    <row r="738">
      <c r="A738" s="300"/>
    </row>
    <row r="739">
      <c r="A739" s="300"/>
    </row>
    <row r="740">
      <c r="A740" s="300"/>
    </row>
    <row r="741">
      <c r="A741" s="300"/>
    </row>
    <row r="742">
      <c r="A742" s="300"/>
    </row>
    <row r="743">
      <c r="A743" s="300"/>
    </row>
    <row r="744">
      <c r="A744" s="300"/>
    </row>
    <row r="745">
      <c r="A745" s="300"/>
    </row>
    <row r="746">
      <c r="A746" s="300"/>
    </row>
    <row r="747">
      <c r="A747" s="300"/>
    </row>
    <row r="748">
      <c r="A748" s="300"/>
    </row>
    <row r="749">
      <c r="A749" s="300"/>
    </row>
    <row r="750">
      <c r="A750" s="300"/>
    </row>
    <row r="751">
      <c r="A751" s="300"/>
    </row>
    <row r="752">
      <c r="A752" s="300"/>
    </row>
    <row r="753">
      <c r="A753" s="300"/>
    </row>
    <row r="754">
      <c r="A754" s="300"/>
    </row>
    <row r="755">
      <c r="A755" s="300"/>
    </row>
    <row r="756">
      <c r="A756" s="300"/>
    </row>
    <row r="757">
      <c r="A757" s="300"/>
    </row>
    <row r="758">
      <c r="A758" s="300"/>
    </row>
    <row r="759">
      <c r="A759" s="300"/>
    </row>
    <row r="760">
      <c r="A760" s="300"/>
    </row>
    <row r="761">
      <c r="A761" s="300"/>
    </row>
    <row r="762">
      <c r="A762" s="300"/>
    </row>
    <row r="763">
      <c r="A763" s="300"/>
    </row>
    <row r="764">
      <c r="A764" s="300"/>
    </row>
    <row r="765">
      <c r="A765" s="300"/>
    </row>
    <row r="766">
      <c r="A766" s="300"/>
    </row>
    <row r="767">
      <c r="A767" s="300"/>
    </row>
    <row r="768">
      <c r="A768" s="300"/>
    </row>
    <row r="769">
      <c r="A769" s="300"/>
    </row>
    <row r="770">
      <c r="A770" s="300"/>
    </row>
    <row r="771">
      <c r="A771" s="300"/>
    </row>
    <row r="772">
      <c r="A772" s="300"/>
    </row>
    <row r="773">
      <c r="A773" s="300"/>
    </row>
    <row r="774">
      <c r="A774" s="300"/>
    </row>
    <row r="775">
      <c r="A775" s="300"/>
    </row>
    <row r="776">
      <c r="A776" s="300"/>
    </row>
    <row r="777">
      <c r="A777" s="300"/>
    </row>
    <row r="778">
      <c r="A778" s="300"/>
    </row>
    <row r="779">
      <c r="A779" s="300"/>
    </row>
    <row r="780">
      <c r="A780" s="300"/>
    </row>
    <row r="781">
      <c r="A781" s="300"/>
    </row>
    <row r="782">
      <c r="A782" s="300"/>
    </row>
    <row r="783">
      <c r="A783" s="300"/>
    </row>
    <row r="784">
      <c r="A784" s="300"/>
    </row>
    <row r="785">
      <c r="A785" s="300"/>
    </row>
    <row r="786">
      <c r="A786" s="300"/>
    </row>
    <row r="787">
      <c r="A787" s="300"/>
    </row>
    <row r="788">
      <c r="A788" s="300"/>
    </row>
    <row r="789">
      <c r="A789" s="300"/>
    </row>
    <row r="790">
      <c r="A790" s="300"/>
    </row>
    <row r="791">
      <c r="A791" s="300"/>
    </row>
    <row r="792">
      <c r="A792" s="300"/>
    </row>
    <row r="793">
      <c r="A793" s="300"/>
    </row>
    <row r="794">
      <c r="A794" s="300"/>
    </row>
    <row r="795">
      <c r="A795" s="300"/>
    </row>
    <row r="796">
      <c r="A796" s="300"/>
    </row>
    <row r="797">
      <c r="A797" s="300"/>
    </row>
    <row r="798">
      <c r="A798" s="300"/>
    </row>
    <row r="799">
      <c r="A799" s="300"/>
    </row>
    <row r="800">
      <c r="A800" s="300"/>
    </row>
    <row r="801">
      <c r="A801" s="300"/>
    </row>
    <row r="802">
      <c r="A802" s="300"/>
    </row>
    <row r="803">
      <c r="A803" s="300"/>
    </row>
    <row r="804">
      <c r="A804" s="300"/>
    </row>
    <row r="805">
      <c r="A805" s="300"/>
    </row>
    <row r="806">
      <c r="A806" s="300"/>
    </row>
    <row r="807">
      <c r="A807" s="300"/>
    </row>
    <row r="808">
      <c r="A808" s="300"/>
    </row>
    <row r="809">
      <c r="A809" s="300"/>
    </row>
    <row r="810">
      <c r="A810" s="300"/>
    </row>
    <row r="811">
      <c r="A811" s="300"/>
    </row>
    <row r="812">
      <c r="A812" s="300"/>
    </row>
    <row r="813">
      <c r="A813" s="300"/>
    </row>
    <row r="814">
      <c r="A814" s="300"/>
    </row>
    <row r="815">
      <c r="A815" s="300"/>
    </row>
    <row r="816">
      <c r="A816" s="300"/>
    </row>
    <row r="817">
      <c r="A817" s="300"/>
    </row>
    <row r="818">
      <c r="A818" s="300"/>
    </row>
    <row r="819">
      <c r="A819" s="300"/>
    </row>
    <row r="820">
      <c r="A820" s="300"/>
    </row>
    <row r="821">
      <c r="A821" s="300"/>
    </row>
    <row r="822">
      <c r="A822" s="300"/>
    </row>
    <row r="823">
      <c r="A823" s="300"/>
    </row>
    <row r="824">
      <c r="A824" s="300"/>
    </row>
    <row r="825">
      <c r="A825" s="300"/>
    </row>
    <row r="826">
      <c r="A826" s="300"/>
    </row>
    <row r="827">
      <c r="A827" s="300"/>
    </row>
    <row r="828">
      <c r="A828" s="300"/>
    </row>
    <row r="829">
      <c r="A829" s="300"/>
    </row>
    <row r="830">
      <c r="A830" s="300"/>
    </row>
    <row r="831">
      <c r="A831" s="300"/>
    </row>
    <row r="832">
      <c r="A832" s="300"/>
    </row>
    <row r="833">
      <c r="A833" s="300"/>
    </row>
    <row r="834">
      <c r="A834" s="300"/>
    </row>
    <row r="835">
      <c r="A835" s="300"/>
    </row>
    <row r="836">
      <c r="A836" s="300"/>
    </row>
    <row r="837">
      <c r="A837" s="300"/>
    </row>
    <row r="838">
      <c r="A838" s="300"/>
    </row>
    <row r="839">
      <c r="A839" s="300"/>
    </row>
    <row r="840">
      <c r="A840" s="300"/>
    </row>
    <row r="841">
      <c r="A841" s="300"/>
    </row>
    <row r="842">
      <c r="A842" s="300"/>
    </row>
    <row r="843">
      <c r="A843" s="300"/>
    </row>
    <row r="844">
      <c r="A844" s="300"/>
    </row>
    <row r="845">
      <c r="A845" s="300"/>
    </row>
    <row r="846">
      <c r="A846" s="300"/>
    </row>
    <row r="847">
      <c r="A847" s="300"/>
    </row>
    <row r="848">
      <c r="A848" s="300"/>
    </row>
    <row r="849">
      <c r="A849" s="300"/>
    </row>
    <row r="850">
      <c r="A850" s="300"/>
    </row>
    <row r="851">
      <c r="A851" s="300"/>
    </row>
    <row r="852">
      <c r="A852" s="300"/>
    </row>
    <row r="853">
      <c r="A853" s="300"/>
    </row>
    <row r="854">
      <c r="A854" s="300"/>
    </row>
    <row r="855">
      <c r="A855" s="300"/>
    </row>
    <row r="856">
      <c r="A856" s="300"/>
    </row>
    <row r="857">
      <c r="A857" s="300"/>
    </row>
    <row r="858">
      <c r="A858" s="300"/>
    </row>
    <row r="859">
      <c r="A859" s="300"/>
    </row>
    <row r="860">
      <c r="A860" s="300"/>
    </row>
    <row r="861">
      <c r="A861" s="300"/>
    </row>
    <row r="862">
      <c r="A862" s="300"/>
    </row>
    <row r="863">
      <c r="A863" s="300"/>
    </row>
    <row r="864">
      <c r="A864" s="300"/>
    </row>
    <row r="865">
      <c r="A865" s="300"/>
    </row>
    <row r="866">
      <c r="A866" s="300"/>
    </row>
    <row r="867">
      <c r="A867" s="300"/>
    </row>
    <row r="868">
      <c r="A868" s="300"/>
    </row>
    <row r="869">
      <c r="A869" s="300"/>
    </row>
    <row r="870">
      <c r="A870" s="300"/>
    </row>
    <row r="871">
      <c r="A871" s="300"/>
    </row>
    <row r="872">
      <c r="A872" s="300"/>
    </row>
    <row r="873">
      <c r="A873" s="300"/>
    </row>
    <row r="874">
      <c r="A874" s="300"/>
    </row>
    <row r="875">
      <c r="A875" s="300"/>
    </row>
    <row r="876">
      <c r="A876" s="300"/>
    </row>
    <row r="877">
      <c r="A877" s="300"/>
    </row>
    <row r="878">
      <c r="A878" s="300"/>
    </row>
    <row r="879">
      <c r="A879" s="300"/>
    </row>
    <row r="880">
      <c r="A880" s="300"/>
    </row>
    <row r="881">
      <c r="A881" s="300"/>
    </row>
    <row r="882">
      <c r="A882" s="300"/>
    </row>
    <row r="883">
      <c r="A883" s="300"/>
    </row>
    <row r="884">
      <c r="A884" s="300"/>
    </row>
    <row r="885">
      <c r="A885" s="300"/>
    </row>
    <row r="886">
      <c r="A886" s="300"/>
    </row>
    <row r="887">
      <c r="A887" s="300"/>
    </row>
    <row r="888">
      <c r="A888" s="300"/>
    </row>
    <row r="889">
      <c r="A889" s="300"/>
    </row>
    <row r="890">
      <c r="A890" s="300"/>
    </row>
    <row r="891">
      <c r="A891" s="300"/>
    </row>
    <row r="892">
      <c r="A892" s="300"/>
    </row>
    <row r="893">
      <c r="A893" s="300"/>
    </row>
    <row r="894">
      <c r="A894" s="300"/>
    </row>
    <row r="895">
      <c r="A895" s="300"/>
    </row>
    <row r="896">
      <c r="A896" s="300"/>
    </row>
    <row r="897">
      <c r="A897" s="300"/>
    </row>
    <row r="898">
      <c r="A898" s="300"/>
    </row>
    <row r="899">
      <c r="A899" s="300"/>
    </row>
    <row r="900">
      <c r="A900" s="300"/>
    </row>
    <row r="901">
      <c r="A901" s="300"/>
    </row>
    <row r="902">
      <c r="A902" s="300"/>
    </row>
    <row r="903">
      <c r="A903" s="300"/>
    </row>
    <row r="904">
      <c r="A904" s="300"/>
    </row>
    <row r="905">
      <c r="A905" s="300"/>
    </row>
    <row r="906">
      <c r="A906" s="300"/>
    </row>
    <row r="907">
      <c r="A907" s="300"/>
    </row>
    <row r="908">
      <c r="A908" s="300"/>
    </row>
    <row r="909">
      <c r="A909" s="300"/>
    </row>
    <row r="910">
      <c r="A910" s="300"/>
    </row>
    <row r="911">
      <c r="A911" s="300"/>
    </row>
    <row r="912">
      <c r="A912" s="300"/>
    </row>
    <row r="913">
      <c r="A913" s="300"/>
    </row>
    <row r="914">
      <c r="A914" s="300"/>
    </row>
    <row r="915">
      <c r="A915" s="300"/>
    </row>
    <row r="916">
      <c r="A916" s="300"/>
    </row>
    <row r="917">
      <c r="A917" s="300"/>
    </row>
    <row r="918">
      <c r="A918" s="300"/>
    </row>
    <row r="919">
      <c r="A919" s="300"/>
    </row>
    <row r="920">
      <c r="A920" s="300"/>
    </row>
    <row r="921">
      <c r="A921" s="300"/>
    </row>
    <row r="922">
      <c r="A922" s="300"/>
    </row>
    <row r="923">
      <c r="A923" s="300"/>
    </row>
    <row r="924">
      <c r="A924" s="300"/>
    </row>
    <row r="925">
      <c r="A925" s="300"/>
    </row>
    <row r="926">
      <c r="A926" s="300"/>
    </row>
    <row r="927">
      <c r="A927" s="300"/>
    </row>
    <row r="928">
      <c r="A928" s="300"/>
    </row>
    <row r="929">
      <c r="A929" s="300"/>
    </row>
    <row r="930">
      <c r="A930" s="300"/>
    </row>
    <row r="931">
      <c r="A931" s="300"/>
    </row>
    <row r="932">
      <c r="A932" s="300"/>
    </row>
    <row r="933">
      <c r="A933" s="300"/>
    </row>
    <row r="934">
      <c r="A934" s="300"/>
    </row>
    <row r="935">
      <c r="A935" s="300"/>
    </row>
    <row r="936">
      <c r="A936" s="300"/>
    </row>
    <row r="937">
      <c r="A937" s="300"/>
    </row>
    <row r="938">
      <c r="A938" s="300"/>
    </row>
    <row r="939">
      <c r="A939" s="300"/>
    </row>
    <row r="940">
      <c r="A940" s="300"/>
    </row>
    <row r="941">
      <c r="A941" s="300"/>
    </row>
    <row r="942">
      <c r="A942" s="300"/>
    </row>
    <row r="943">
      <c r="A943" s="300"/>
    </row>
    <row r="944">
      <c r="A944" s="300"/>
    </row>
    <row r="945">
      <c r="A945" s="300"/>
    </row>
    <row r="946">
      <c r="A946" s="300"/>
    </row>
    <row r="947">
      <c r="A947" s="300"/>
    </row>
    <row r="948">
      <c r="A948" s="300"/>
    </row>
    <row r="949">
      <c r="A949" s="300"/>
    </row>
    <row r="950">
      <c r="A950" s="300"/>
    </row>
    <row r="951">
      <c r="A951" s="300"/>
    </row>
    <row r="952">
      <c r="A952" s="300"/>
    </row>
    <row r="953">
      <c r="A953" s="300"/>
    </row>
    <row r="954">
      <c r="A954" s="300"/>
    </row>
    <row r="955">
      <c r="A955" s="300"/>
    </row>
    <row r="956">
      <c r="A956" s="300"/>
    </row>
    <row r="957">
      <c r="A957" s="300"/>
    </row>
    <row r="958">
      <c r="A958" s="300"/>
    </row>
    <row r="959">
      <c r="A959" s="300"/>
    </row>
    <row r="960">
      <c r="A960" s="300"/>
    </row>
    <row r="961">
      <c r="A961" s="300"/>
    </row>
    <row r="962">
      <c r="A962" s="300"/>
    </row>
    <row r="963">
      <c r="A963" s="300"/>
    </row>
    <row r="964">
      <c r="A964" s="300"/>
    </row>
    <row r="965">
      <c r="A965" s="300"/>
    </row>
    <row r="966">
      <c r="A966" s="300"/>
    </row>
    <row r="967">
      <c r="A967" s="300"/>
    </row>
    <row r="968">
      <c r="A968" s="300"/>
    </row>
    <row r="969">
      <c r="A969" s="300"/>
    </row>
    <row r="970">
      <c r="A970" s="300"/>
    </row>
    <row r="971">
      <c r="A971" s="300"/>
    </row>
    <row r="972">
      <c r="A972" s="300"/>
    </row>
    <row r="973">
      <c r="A973" s="300"/>
    </row>
    <row r="974">
      <c r="A974" s="300"/>
    </row>
    <row r="975">
      <c r="A975" s="300"/>
    </row>
    <row r="976">
      <c r="A976" s="300"/>
    </row>
    <row r="977">
      <c r="A977" s="300"/>
    </row>
    <row r="978">
      <c r="A978" s="300"/>
    </row>
    <row r="979">
      <c r="A979" s="300"/>
    </row>
    <row r="980">
      <c r="A980" s="300"/>
    </row>
    <row r="981">
      <c r="A981" s="300"/>
    </row>
    <row r="982">
      <c r="A982" s="300"/>
    </row>
    <row r="983">
      <c r="A983" s="300"/>
    </row>
    <row r="984">
      <c r="A984" s="300"/>
    </row>
    <row r="985">
      <c r="A985" s="300"/>
    </row>
    <row r="986">
      <c r="A986" s="300"/>
    </row>
    <row r="987">
      <c r="A987" s="300"/>
    </row>
    <row r="988">
      <c r="A988" s="300"/>
    </row>
    <row r="989">
      <c r="A989" s="300"/>
    </row>
    <row r="990">
      <c r="A990" s="300"/>
    </row>
    <row r="991">
      <c r="A991" s="300"/>
    </row>
    <row r="992">
      <c r="A992" s="300"/>
    </row>
    <row r="993">
      <c r="A993" s="300"/>
    </row>
    <row r="994">
      <c r="A994" s="300"/>
    </row>
    <row r="995">
      <c r="A995" s="300"/>
    </row>
    <row r="996">
      <c r="A996" s="300"/>
    </row>
    <row r="997">
      <c r="A997" s="300"/>
    </row>
    <row r="998">
      <c r="A998" s="300"/>
    </row>
    <row r="999">
      <c r="A999" s="300"/>
    </row>
    <row r="1000">
      <c r="A1000" s="300"/>
    </row>
    <row r="1001">
      <c r="A1001" s="300"/>
    </row>
    <row r="1002">
      <c r="A1002" s="300"/>
    </row>
    <row r="1003">
      <c r="A1003" s="300"/>
    </row>
  </sheetData>
  <mergeCells count="4">
    <mergeCell ref="A1:O1"/>
    <mergeCell ref="B2:E2"/>
    <mergeCell ref="F2:K2"/>
    <mergeCell ref="L2:O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25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253"/>
      <c r="B2" s="25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260" t="s">
        <v>754</v>
      </c>
      <c r="B3" s="232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266" t="s">
        <v>570</v>
      </c>
      <c r="B4" s="235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260" t="s">
        <v>397</v>
      </c>
      <c r="B5" s="235" t="s">
        <v>402</v>
      </c>
      <c r="C5" s="271">
        <f>'14thMAY'!E5</f>
        <v>23</v>
      </c>
      <c r="D5" s="272">
        <v>52.0</v>
      </c>
      <c r="E5" s="273">
        <v>13.0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186</v>
      </c>
      <c r="N5" s="268"/>
      <c r="O5" s="269"/>
    </row>
    <row r="6">
      <c r="A6" s="260" t="s">
        <v>401</v>
      </c>
      <c r="B6" s="235" t="s">
        <v>402</v>
      </c>
      <c r="C6" s="271" t="str">
        <f>'14thMAY'!E6</f>
        <v/>
      </c>
      <c r="D6" s="272">
        <v>16.0</v>
      </c>
      <c r="E6" s="273">
        <v>6.0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20</v>
      </c>
      <c r="N6" s="268"/>
      <c r="O6" s="269"/>
    </row>
    <row r="7">
      <c r="A7" s="260" t="s">
        <v>404</v>
      </c>
      <c r="B7" s="285" t="s">
        <v>402</v>
      </c>
      <c r="C7" s="271">
        <v>5.0</v>
      </c>
      <c r="D7" s="272">
        <v>11.0</v>
      </c>
      <c r="E7" s="273">
        <v>11.0</v>
      </c>
      <c r="F7" s="267"/>
      <c r="G7" s="267"/>
      <c r="H7" s="268"/>
      <c r="I7" s="268"/>
      <c r="J7" s="270"/>
      <c r="K7" s="269"/>
      <c r="L7" s="271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25</v>
      </c>
      <c r="N7" s="268"/>
      <c r="O7" s="269"/>
    </row>
    <row r="8">
      <c r="A8" s="260" t="s">
        <v>406</v>
      </c>
      <c r="B8" s="235" t="s">
        <v>402</v>
      </c>
      <c r="C8" s="271" t="str">
        <f>'14thMAY'!E8</f>
        <v/>
      </c>
      <c r="D8" s="272">
        <v>42.0</v>
      </c>
      <c r="E8" s="273">
        <v>1.0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41</v>
      </c>
      <c r="N8" s="268"/>
      <c r="O8" s="269"/>
    </row>
    <row r="9">
      <c r="A9" s="260" t="s">
        <v>409</v>
      </c>
      <c r="B9" s="235" t="s">
        <v>402</v>
      </c>
      <c r="C9" s="271" t="str">
        <f>'14thMAY'!E9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260" t="s">
        <v>411</v>
      </c>
      <c r="B10" s="235" t="s">
        <v>402</v>
      </c>
      <c r="C10" s="271" t="str">
        <f>'14thMAY'!E10</f>
        <v/>
      </c>
      <c r="D10" s="272">
        <v>14.0</v>
      </c>
      <c r="E10" s="273">
        <v>5.0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72</v>
      </c>
      <c r="N10" s="268"/>
      <c r="O10" s="269"/>
    </row>
    <row r="11">
      <c r="A11" s="260" t="s">
        <v>413</v>
      </c>
      <c r="B11" s="235" t="s">
        <v>402</v>
      </c>
      <c r="C11" s="271">
        <f>'14thMAY'!E11</f>
        <v>7</v>
      </c>
      <c r="D11" s="272">
        <v>68.0</v>
      </c>
      <c r="E11" s="273">
        <v>7.0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68</v>
      </c>
      <c r="N11" s="268"/>
      <c r="O11" s="269"/>
    </row>
    <row r="12">
      <c r="A12" s="260" t="s">
        <v>414</v>
      </c>
      <c r="B12" s="235" t="s">
        <v>402</v>
      </c>
      <c r="C12" s="271" t="str">
        <f>'14thMAY'!E12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260" t="s">
        <v>416</v>
      </c>
      <c r="B13" s="235" t="s">
        <v>402</v>
      </c>
      <c r="C13" s="271">
        <f>'14thMAY'!E13</f>
        <v>6</v>
      </c>
      <c r="D13" s="272">
        <v>24.0</v>
      </c>
      <c r="E13" s="273">
        <v>3.0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243</v>
      </c>
      <c r="N13" s="268"/>
      <c r="O13" s="269"/>
    </row>
    <row r="14">
      <c r="A14" s="260" t="s">
        <v>418</v>
      </c>
      <c r="B14" s="235" t="s">
        <v>402</v>
      </c>
      <c r="C14" s="271" t="str">
        <f>'14thMAY'!E14</f>
        <v/>
      </c>
      <c r="D14" s="272">
        <v>50.0</v>
      </c>
      <c r="E14" s="273">
        <v>13.0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37</v>
      </c>
      <c r="N14" s="268"/>
      <c r="O14" s="269"/>
    </row>
    <row r="15">
      <c r="A15" s="260" t="s">
        <v>420</v>
      </c>
      <c r="B15" s="235" t="s">
        <v>402</v>
      </c>
      <c r="C15" s="271">
        <v>2.0</v>
      </c>
      <c r="D15" s="272">
        <v>5.0</v>
      </c>
      <c r="E15" s="273">
        <v>3.5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14</v>
      </c>
      <c r="N15" s="268"/>
      <c r="O15" s="269"/>
    </row>
    <row r="16">
      <c r="A16" s="260" t="s">
        <v>422</v>
      </c>
      <c r="B16" s="235" t="s">
        <v>402</v>
      </c>
      <c r="C16" s="271">
        <f>'14thMAY'!E16</f>
        <v>5</v>
      </c>
      <c r="D16" s="272">
        <v>6.0</v>
      </c>
      <c r="E16" s="273">
        <v>6.0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20</v>
      </c>
      <c r="N16" s="268"/>
      <c r="O16" s="269"/>
    </row>
    <row r="17">
      <c r="A17" s="260" t="s">
        <v>423</v>
      </c>
      <c r="B17" s="235" t="s">
        <v>402</v>
      </c>
      <c r="C17" s="271">
        <f>'14thMAY'!E17</f>
        <v>9</v>
      </c>
      <c r="D17" s="272">
        <v>37.0</v>
      </c>
      <c r="E17" s="273">
        <v>1.0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90</v>
      </c>
      <c r="N17" s="268"/>
      <c r="O17" s="269"/>
    </row>
    <row r="18">
      <c r="A18" s="260" t="s">
        <v>425</v>
      </c>
      <c r="B18" s="235" t="s">
        <v>402</v>
      </c>
      <c r="C18" s="271">
        <f>'14thMAY'!E18</f>
        <v>4</v>
      </c>
      <c r="D18" s="272">
        <v>6.0</v>
      </c>
      <c r="E18" s="273">
        <v>5.0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10</v>
      </c>
      <c r="N18" s="268"/>
      <c r="O18" s="269"/>
    </row>
    <row r="19">
      <c r="A19" s="260" t="s">
        <v>426</v>
      </c>
      <c r="B19" s="235" t="s">
        <v>402</v>
      </c>
      <c r="C19" s="271">
        <f>'14thMAY'!E19</f>
        <v>9</v>
      </c>
      <c r="D19" s="272">
        <v>3.0</v>
      </c>
      <c r="E19" s="273">
        <v>3.0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9</v>
      </c>
      <c r="N19" s="268"/>
      <c r="O19" s="269"/>
    </row>
    <row r="20">
      <c r="A20" s="260" t="s">
        <v>428</v>
      </c>
      <c r="B20" s="235" t="s">
        <v>402</v>
      </c>
      <c r="C20" s="271">
        <f>'14thMAY'!E20</f>
        <v>2</v>
      </c>
      <c r="D20" s="272">
        <v>7.0</v>
      </c>
      <c r="E20" s="273">
        <v>5.0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4</v>
      </c>
      <c r="N20" s="268"/>
      <c r="O20" s="269"/>
    </row>
    <row r="21">
      <c r="A21" s="260" t="s">
        <v>429</v>
      </c>
      <c r="B21" s="235" t="s">
        <v>402</v>
      </c>
      <c r="C21" s="271">
        <f>'14thMAY'!E21</f>
        <v>5</v>
      </c>
      <c r="D21" s="272">
        <v>6.0</v>
      </c>
      <c r="E21" s="273">
        <v>7.0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16</v>
      </c>
      <c r="N21" s="268"/>
      <c r="O21" s="269"/>
    </row>
    <row r="22">
      <c r="A22" s="260" t="s">
        <v>431</v>
      </c>
      <c r="B22" s="235" t="s">
        <v>402</v>
      </c>
      <c r="C22" s="271" t="str">
        <f>'14thMAY'!E22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60" t="s">
        <v>432</v>
      </c>
      <c r="B23" s="235" t="s">
        <v>402</v>
      </c>
      <c r="C23" s="271">
        <f>'14thMAY'!E23</f>
        <v>8</v>
      </c>
      <c r="D23" s="272">
        <v>16.0</v>
      </c>
      <c r="E23" s="273">
        <v>1.0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46</v>
      </c>
      <c r="N23" s="268"/>
      <c r="O23" s="269"/>
    </row>
    <row r="24">
      <c r="A24" s="260" t="s">
        <v>433</v>
      </c>
      <c r="B24" s="235" t="s">
        <v>402</v>
      </c>
      <c r="C24" s="271">
        <f>'14thMAY'!E24</f>
        <v>5</v>
      </c>
      <c r="D24" s="272">
        <v>55.0</v>
      </c>
      <c r="E24" s="273">
        <v>8.0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52</v>
      </c>
      <c r="N24" s="268"/>
      <c r="O24" s="269"/>
    </row>
    <row r="25">
      <c r="A25" s="260" t="s">
        <v>435</v>
      </c>
      <c r="B25" s="235" t="s">
        <v>402</v>
      </c>
      <c r="C25" s="271">
        <f>'14thMAY'!E25</f>
        <v>8</v>
      </c>
      <c r="D25" s="272">
        <v>17.0</v>
      </c>
      <c r="E25" s="273">
        <v>4.0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21</v>
      </c>
      <c r="N25" s="268"/>
      <c r="O25" s="269"/>
    </row>
    <row r="26">
      <c r="A26" s="260" t="s">
        <v>438</v>
      </c>
      <c r="B26" s="235" t="s">
        <v>402</v>
      </c>
      <c r="C26" s="271">
        <f>'14thMAY'!E26</f>
        <v>3</v>
      </c>
      <c r="D26" s="272">
        <v>9.0</v>
      </c>
      <c r="E26" s="273">
        <v>6.0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6</v>
      </c>
      <c r="N26" s="268"/>
      <c r="O26" s="269"/>
    </row>
    <row r="27">
      <c r="A27" s="260" t="s">
        <v>439</v>
      </c>
      <c r="B27" s="235" t="s">
        <v>402</v>
      </c>
      <c r="C27" s="271" t="str">
        <f>'14thMAY'!E27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260" t="s">
        <v>440</v>
      </c>
      <c r="B28" s="235" t="s">
        <v>402</v>
      </c>
      <c r="C28" s="271">
        <f>'14thMAY'!E28</f>
        <v>5</v>
      </c>
      <c r="D28" s="272">
        <v>12.0</v>
      </c>
      <c r="E28" s="273"/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17</v>
      </c>
      <c r="N28" s="268"/>
      <c r="O28" s="269"/>
    </row>
    <row r="29">
      <c r="A29" s="260" t="s">
        <v>441</v>
      </c>
      <c r="B29" s="235" t="s">
        <v>402</v>
      </c>
      <c r="C29" s="271">
        <f>'14thMAY'!E29</f>
        <v>8.5</v>
      </c>
      <c r="D29" s="272">
        <v>10.0</v>
      </c>
      <c r="E29" s="273">
        <v>5.0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27</v>
      </c>
      <c r="N29" s="268"/>
      <c r="O29" s="269"/>
    </row>
    <row r="30">
      <c r="A30" s="260" t="s">
        <v>442</v>
      </c>
      <c r="B30" s="235" t="s">
        <v>402</v>
      </c>
      <c r="C30" s="271">
        <f>'14thMAY'!E30</f>
        <v>14</v>
      </c>
      <c r="D30" s="268"/>
      <c r="E30" s="273"/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14</v>
      </c>
      <c r="N30" s="268"/>
      <c r="O30" s="269"/>
    </row>
    <row r="31">
      <c r="A31" s="260" t="s">
        <v>444</v>
      </c>
      <c r="B31" s="235" t="s">
        <v>402</v>
      </c>
      <c r="C31" s="271">
        <f>'14thMAY'!E31</f>
        <v>6</v>
      </c>
      <c r="D31" s="268"/>
      <c r="E31" s="273">
        <v>5.0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1</v>
      </c>
      <c r="N31" s="268"/>
      <c r="O31" s="269"/>
    </row>
    <row r="32">
      <c r="A32" s="260" t="s">
        <v>445</v>
      </c>
      <c r="B32" s="235" t="s">
        <v>402</v>
      </c>
      <c r="C32" s="271">
        <f>'14thMAY'!E32</f>
        <v>3</v>
      </c>
      <c r="D32" s="272">
        <v>5.0</v>
      </c>
      <c r="E32" s="273">
        <v>4.0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16</v>
      </c>
      <c r="N32" s="268"/>
      <c r="O32" s="269"/>
    </row>
    <row r="33">
      <c r="A33" s="260" t="s">
        <v>446</v>
      </c>
      <c r="B33" s="235" t="s">
        <v>402</v>
      </c>
      <c r="C33" s="271">
        <v>1.0</v>
      </c>
      <c r="D33" s="268"/>
      <c r="E33" s="273">
        <v>1.0</v>
      </c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260" t="s">
        <v>447</v>
      </c>
      <c r="B34" s="235" t="s">
        <v>402</v>
      </c>
      <c r="C34" s="271" t="str">
        <f>'14thMAY'!E34</f>
        <v/>
      </c>
      <c r="D34" s="272">
        <v>26.0</v>
      </c>
      <c r="E34" s="273">
        <v>7.0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19</v>
      </c>
      <c r="N34" s="268"/>
      <c r="O34" s="269"/>
    </row>
    <row r="35">
      <c r="A35" s="260" t="s">
        <v>449</v>
      </c>
      <c r="B35" s="235" t="s">
        <v>402</v>
      </c>
      <c r="C35" s="271">
        <f>'14thMAY'!E35</f>
        <v>1</v>
      </c>
      <c r="D35" s="272">
        <v>5.0</v>
      </c>
      <c r="E35" s="273">
        <v>2.0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4</v>
      </c>
      <c r="N35" s="268"/>
      <c r="O35" s="269"/>
    </row>
    <row r="36">
      <c r="A36" s="260" t="s">
        <v>451</v>
      </c>
      <c r="B36" s="235" t="s">
        <v>402</v>
      </c>
      <c r="C36" s="271">
        <f>'14thMAY'!E36</f>
        <v>7</v>
      </c>
      <c r="D36" s="272">
        <v>24.0</v>
      </c>
      <c r="E36" s="273">
        <v>4.0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54</v>
      </c>
      <c r="N36" s="268"/>
      <c r="O36" s="269"/>
    </row>
    <row r="37">
      <c r="A37" s="275" t="s">
        <v>452</v>
      </c>
      <c r="B37" s="235" t="s">
        <v>402</v>
      </c>
      <c r="C37" s="271">
        <f>'14thMAY'!E37</f>
        <v>6</v>
      </c>
      <c r="D37" s="272">
        <v>12.0</v>
      </c>
      <c r="E37" s="273">
        <v>4.0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56</v>
      </c>
      <c r="N37" s="268"/>
      <c r="O37" s="269"/>
    </row>
    <row r="38">
      <c r="A38" s="275" t="s">
        <v>454</v>
      </c>
      <c r="B38" s="235" t="s">
        <v>402</v>
      </c>
      <c r="C38" s="271">
        <f>'14thMAY'!E38</f>
        <v>3</v>
      </c>
      <c r="D38" s="268"/>
      <c r="E38" s="273">
        <v>2.0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4</v>
      </c>
      <c r="N38" s="268"/>
      <c r="O38" s="269"/>
    </row>
    <row r="39">
      <c r="A39" s="276" t="s">
        <v>455</v>
      </c>
      <c r="B39" s="235" t="s">
        <v>402</v>
      </c>
      <c r="C39" s="271">
        <f>'14thMAY'!E39</f>
        <v>7</v>
      </c>
      <c r="D39" s="268"/>
      <c r="E39" s="273">
        <v>5.0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8</v>
      </c>
      <c r="N39" s="268"/>
      <c r="O39" s="269"/>
    </row>
    <row r="40">
      <c r="A40" s="276" t="s">
        <v>456</v>
      </c>
      <c r="B40" s="235" t="s">
        <v>402</v>
      </c>
      <c r="C40" s="271" t="str">
        <f>'14thMAY'!E40</f>
        <v/>
      </c>
      <c r="D40" s="272">
        <v>11.0</v>
      </c>
      <c r="E40" s="273">
        <v>6.0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5</v>
      </c>
      <c r="N40" s="268"/>
      <c r="O40" s="269"/>
    </row>
    <row r="41">
      <c r="A41" s="276" t="s">
        <v>457</v>
      </c>
      <c r="B41" s="235" t="s">
        <v>402</v>
      </c>
      <c r="C41" s="271" t="str">
        <f>'14thMAY'!E41</f>
        <v/>
      </c>
      <c r="D41" s="272">
        <v>7.0</v>
      </c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7</v>
      </c>
      <c r="N41" s="268"/>
      <c r="O41" s="269"/>
    </row>
    <row r="42">
      <c r="A42" s="277" t="s">
        <v>762</v>
      </c>
      <c r="B42" s="235"/>
      <c r="C42" s="271" t="str">
        <f>'14thMAY'!E42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'14thMAY'!E43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'14thMAY'!E44</f>
        <v/>
      </c>
      <c r="D44" s="227">
        <v>3.0</v>
      </c>
      <c r="E44" s="280"/>
      <c r="F44" s="235" t="s">
        <v>14</v>
      </c>
      <c r="G44" s="235"/>
      <c r="H44" s="272">
        <f>'14thMAY'!J44</f>
        <v>0.5</v>
      </c>
      <c r="I44" s="281">
        <v>1.0</v>
      </c>
      <c r="J44" s="282">
        <v>0.25</v>
      </c>
      <c r="K44" s="283">
        <v>1.0</v>
      </c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3.25</v>
      </c>
      <c r="N44" s="191"/>
      <c r="O44" s="247"/>
    </row>
    <row r="45">
      <c r="A45" s="12" t="s">
        <v>16</v>
      </c>
      <c r="B45" s="13" t="s">
        <v>17</v>
      </c>
      <c r="C45" s="271" t="str">
        <f>'14thMAY'!E45</f>
        <v/>
      </c>
      <c r="D45" s="227"/>
      <c r="E45" s="280"/>
      <c r="F45" s="235" t="s">
        <v>17</v>
      </c>
      <c r="G45" s="285">
        <v>35.0</v>
      </c>
      <c r="H45" s="272">
        <f>'14thMAY'!J45</f>
        <v>12</v>
      </c>
      <c r="I45" s="281">
        <v>1.0</v>
      </c>
      <c r="J45" s="282">
        <v>3.0</v>
      </c>
      <c r="K45" s="283">
        <v>1.0</v>
      </c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44</v>
      </c>
      <c r="N45" s="191"/>
      <c r="O45" s="247"/>
    </row>
    <row r="46">
      <c r="A46" s="15" t="s">
        <v>19</v>
      </c>
      <c r="B46" s="13" t="s">
        <v>17</v>
      </c>
      <c r="C46" s="271" t="str">
        <f>'14thMAY'!E46</f>
        <v/>
      </c>
      <c r="D46" s="227"/>
      <c r="E46" s="280"/>
      <c r="F46" s="235" t="s">
        <v>17</v>
      </c>
      <c r="G46" s="285">
        <v>5.0</v>
      </c>
      <c r="H46" s="272">
        <f>'14thMAY'!J46</f>
        <v>4</v>
      </c>
      <c r="I46" s="281">
        <v>1.0</v>
      </c>
      <c r="J46" s="282">
        <v>9.0</v>
      </c>
      <c r="K46" s="283">
        <v>1.0</v>
      </c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0</v>
      </c>
      <c r="N46" s="191"/>
      <c r="O46" s="247"/>
    </row>
    <row r="47">
      <c r="A47" s="12" t="s">
        <v>20</v>
      </c>
      <c r="B47" s="13" t="s">
        <v>17</v>
      </c>
      <c r="C47" s="271" t="str">
        <f>'14thMAY'!E47</f>
        <v/>
      </c>
      <c r="D47" s="191"/>
      <c r="E47" s="280"/>
      <c r="F47" s="235" t="s">
        <v>17</v>
      </c>
      <c r="G47" s="285">
        <v>20.0</v>
      </c>
      <c r="H47" s="272">
        <f>'14thMAY'!J47</f>
        <v>2</v>
      </c>
      <c r="I47" s="281">
        <v>1.0</v>
      </c>
      <c r="J47" s="282">
        <v>3.0</v>
      </c>
      <c r="K47" s="283">
        <v>1.0</v>
      </c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19</v>
      </c>
      <c r="N47" s="191"/>
      <c r="O47" s="247"/>
    </row>
    <row r="48">
      <c r="A48" s="12" t="s">
        <v>21</v>
      </c>
      <c r="B48" s="13" t="s">
        <v>17</v>
      </c>
      <c r="C48" s="271" t="str">
        <f>'14thMAY'!E48</f>
        <v/>
      </c>
      <c r="D48" s="227"/>
      <c r="E48" s="280"/>
      <c r="F48" s="235" t="s">
        <v>17</v>
      </c>
      <c r="G48" s="285">
        <v>5.0</v>
      </c>
      <c r="H48" s="272">
        <f>'14thMAY'!J48</f>
        <v>8</v>
      </c>
      <c r="I48" s="281">
        <v>1.0</v>
      </c>
      <c r="J48" s="282">
        <v>3.0</v>
      </c>
      <c r="K48" s="283">
        <v>1.0</v>
      </c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10</v>
      </c>
      <c r="N48" s="191"/>
      <c r="O48" s="247"/>
    </row>
    <row r="49">
      <c r="A49" s="12" t="s">
        <v>22</v>
      </c>
      <c r="B49" s="13" t="s">
        <v>17</v>
      </c>
      <c r="C49" s="271" t="str">
        <f>'14thMAY'!E49</f>
        <v/>
      </c>
      <c r="D49" s="191"/>
      <c r="E49" s="247"/>
      <c r="F49" s="235" t="s">
        <v>17</v>
      </c>
      <c r="G49" s="235"/>
      <c r="H49" s="272" t="str">
        <f>'14thMAY'!J49</f>
        <v/>
      </c>
      <c r="I49" s="281">
        <v>1.0</v>
      </c>
      <c r="J49" s="284"/>
      <c r="K49" s="283">
        <v>1.0</v>
      </c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>
        <f>'14thMAY'!E50</f>
        <v>1</v>
      </c>
      <c r="D50" s="227">
        <v>1.0</v>
      </c>
      <c r="E50" s="247"/>
      <c r="F50" s="235" t="s">
        <v>25</v>
      </c>
      <c r="G50" s="235"/>
      <c r="H50" s="272">
        <f>'14thMAY'!J50</f>
        <v>0.445</v>
      </c>
      <c r="I50" s="281">
        <v>1.0</v>
      </c>
      <c r="J50" s="282">
        <v>0.395</v>
      </c>
      <c r="K50" s="283">
        <v>1.0</v>
      </c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1.45</v>
      </c>
      <c r="N50" s="191"/>
      <c r="O50" s="247"/>
    </row>
    <row r="51">
      <c r="A51" s="12" t="s">
        <v>27</v>
      </c>
      <c r="B51" s="12" t="s">
        <v>24</v>
      </c>
      <c r="C51" s="271" t="str">
        <f>'14thMAY'!E51</f>
        <v/>
      </c>
      <c r="D51" s="191"/>
      <c r="E51" s="247"/>
      <c r="F51" s="235" t="s">
        <v>24</v>
      </c>
      <c r="G51" s="235"/>
      <c r="H51" s="272" t="str">
        <f>'14thMAY'!J51</f>
        <v/>
      </c>
      <c r="I51" s="281">
        <v>1.0</v>
      </c>
      <c r="J51" s="284"/>
      <c r="K51" s="283">
        <v>1.0</v>
      </c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'14thMAY'!E52</f>
        <v/>
      </c>
      <c r="D52" s="191"/>
      <c r="E52" s="280"/>
      <c r="F52" s="235" t="s">
        <v>14</v>
      </c>
      <c r="G52" s="285"/>
      <c r="H52" s="272" t="str">
        <f>'14thMAY'!J52</f>
        <v/>
      </c>
      <c r="I52" s="281">
        <v>1.0</v>
      </c>
      <c r="J52" s="284"/>
      <c r="K52" s="283">
        <v>1.0</v>
      </c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286" t="s">
        <v>30</v>
      </c>
      <c r="B53" s="12" t="s">
        <v>24</v>
      </c>
      <c r="C53" s="271" t="str">
        <f>'14thMAY'!E53</f>
        <v/>
      </c>
      <c r="D53" s="227"/>
      <c r="E53" s="280"/>
      <c r="F53" s="235" t="s">
        <v>35</v>
      </c>
      <c r="G53" s="235"/>
      <c r="H53" s="272">
        <f>'14thMAY'!J53</f>
        <v>0.618</v>
      </c>
      <c r="I53" s="281">
        <v>1.0</v>
      </c>
      <c r="J53" s="284"/>
      <c r="K53" s="283">
        <v>1.0</v>
      </c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0.218</v>
      </c>
      <c r="N53" s="191"/>
      <c r="O53" s="247"/>
    </row>
    <row r="54">
      <c r="A54" s="12" t="s">
        <v>33</v>
      </c>
      <c r="B54" s="12" t="s">
        <v>34</v>
      </c>
      <c r="C54" s="271" t="str">
        <f>'14thMAY'!E54</f>
        <v/>
      </c>
      <c r="D54" s="227">
        <v>3.0</v>
      </c>
      <c r="E54" s="247"/>
      <c r="F54" s="235" t="s">
        <v>35</v>
      </c>
      <c r="G54" s="235"/>
      <c r="H54" s="272" t="str">
        <f>'14thMAY'!J54</f>
        <v/>
      </c>
      <c r="I54" s="281">
        <v>1.0</v>
      </c>
      <c r="J54" s="282">
        <v>0.235</v>
      </c>
      <c r="K54" s="283">
        <v>1.0</v>
      </c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1.028</v>
      </c>
      <c r="N54" s="191"/>
      <c r="O54" s="247"/>
    </row>
    <row r="55">
      <c r="A55" s="12" t="s">
        <v>37</v>
      </c>
      <c r="B55" s="12" t="s">
        <v>17</v>
      </c>
      <c r="C55" s="271" t="str">
        <f>'14thMAY'!E55</f>
        <v/>
      </c>
      <c r="D55" s="191"/>
      <c r="E55" s="247"/>
      <c r="F55" s="235" t="s">
        <v>752</v>
      </c>
      <c r="G55" s="235"/>
      <c r="H55" s="272" t="str">
        <f>'14thMAY'!J55</f>
        <v/>
      </c>
      <c r="I55" s="281">
        <v>1.0</v>
      </c>
      <c r="J55" s="284"/>
      <c r="K55" s="283">
        <v>1.0</v>
      </c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'14thMAY'!E56</f>
        <v/>
      </c>
      <c r="D56" s="227">
        <v>1.0</v>
      </c>
      <c r="E56" s="247"/>
      <c r="F56" s="235" t="s">
        <v>17</v>
      </c>
      <c r="G56" s="285">
        <v>50.0</v>
      </c>
      <c r="H56" s="272">
        <f>'14thMAY'!J56</f>
        <v>68</v>
      </c>
      <c r="I56" s="281">
        <v>1.0</v>
      </c>
      <c r="J56" s="282">
        <v>63.0</v>
      </c>
      <c r="K56" s="283">
        <v>1.0</v>
      </c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155</v>
      </c>
      <c r="N56" s="191"/>
      <c r="O56" s="247"/>
    </row>
    <row r="57">
      <c r="A57" s="12" t="s">
        <v>42</v>
      </c>
      <c r="B57" s="12" t="s">
        <v>24</v>
      </c>
      <c r="C57" s="271" t="str">
        <f>'14thMAY'!E57</f>
        <v/>
      </c>
      <c r="D57" s="227">
        <v>1.0</v>
      </c>
      <c r="E57" s="280"/>
      <c r="F57" s="235" t="s">
        <v>35</v>
      </c>
      <c r="G57" s="235"/>
      <c r="H57" s="272">
        <f>'14thMAY'!J57</f>
        <v>0.131</v>
      </c>
      <c r="I57" s="281">
        <v>1.0</v>
      </c>
      <c r="J57" s="282">
        <v>0.385</v>
      </c>
      <c r="K57" s="283">
        <v>1.0</v>
      </c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0.143</v>
      </c>
      <c r="N57" s="191"/>
      <c r="O57" s="247"/>
    </row>
    <row r="58">
      <c r="A58" s="12" t="s">
        <v>44</v>
      </c>
      <c r="B58" s="12" t="s">
        <v>24</v>
      </c>
      <c r="C58" s="271" t="str">
        <f>'14thMAY'!E58</f>
        <v/>
      </c>
      <c r="D58" s="191"/>
      <c r="E58" s="247"/>
      <c r="F58" s="235" t="s">
        <v>25</v>
      </c>
      <c r="G58" s="285">
        <v>0.472</v>
      </c>
      <c r="H58" s="272">
        <f>'14thMAY'!J58</f>
        <v>0.472</v>
      </c>
      <c r="I58" s="281">
        <v>1.0</v>
      </c>
      <c r="J58" s="282">
        <v>0.485</v>
      </c>
      <c r="K58" s="283">
        <v>1.0</v>
      </c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0.459</v>
      </c>
      <c r="N58" s="191"/>
      <c r="O58" s="247"/>
    </row>
    <row r="59">
      <c r="A59" s="12" t="s">
        <v>45</v>
      </c>
      <c r="B59" s="12" t="s">
        <v>24</v>
      </c>
      <c r="C59" s="271" t="str">
        <f>'14thMAY'!E59</f>
        <v/>
      </c>
      <c r="D59" s="191"/>
      <c r="E59" s="247"/>
      <c r="F59" s="235" t="s">
        <v>25</v>
      </c>
      <c r="G59" s="235"/>
      <c r="H59" s="272">
        <f>'14thMAY'!J59</f>
        <v>0.873</v>
      </c>
      <c r="I59" s="281">
        <v>1.0</v>
      </c>
      <c r="J59" s="282">
        <v>0.485</v>
      </c>
      <c r="K59" s="283">
        <v>1.0</v>
      </c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0.388</v>
      </c>
      <c r="N59" s="191"/>
      <c r="O59" s="247"/>
    </row>
    <row r="60">
      <c r="A60" s="17" t="s">
        <v>46</v>
      </c>
      <c r="B60" s="12" t="s">
        <v>47</v>
      </c>
      <c r="C60" s="271" t="str">
        <f>'14thMAY'!E60</f>
        <v/>
      </c>
      <c r="D60" s="191"/>
      <c r="E60" s="247"/>
      <c r="F60" s="235" t="s">
        <v>51</v>
      </c>
      <c r="G60" s="235"/>
      <c r="H60" s="272" t="str">
        <f>'14thMAY'!J60</f>
        <v/>
      </c>
      <c r="I60" s="281">
        <v>1.0</v>
      </c>
      <c r="J60" s="284"/>
      <c r="K60" s="283">
        <v>1.0</v>
      </c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'14thMAY'!E61</f>
        <v/>
      </c>
      <c r="D61" s="191"/>
      <c r="E61" s="247"/>
      <c r="F61" s="235" t="s">
        <v>51</v>
      </c>
      <c r="G61" s="235"/>
      <c r="H61" s="272" t="str">
        <f>'14thMAY'!J61</f>
        <v/>
      </c>
      <c r="I61" s="281">
        <v>1.0</v>
      </c>
      <c r="J61" s="284"/>
      <c r="K61" s="283">
        <v>1.0</v>
      </c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'14thMAY'!E62</f>
        <v/>
      </c>
      <c r="D62" s="227">
        <v>1.0</v>
      </c>
      <c r="E62" s="247"/>
      <c r="F62" s="235" t="s">
        <v>51</v>
      </c>
      <c r="G62" s="235"/>
      <c r="H62" s="272">
        <f>'14thMAY'!J62</f>
        <v>0.312</v>
      </c>
      <c r="I62" s="281">
        <v>1.0</v>
      </c>
      <c r="J62" s="282">
        <v>0.27</v>
      </c>
      <c r="K62" s="283">
        <v>1.0</v>
      </c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0.665</v>
      </c>
      <c r="N62" s="191"/>
      <c r="O62" s="247"/>
    </row>
    <row r="63">
      <c r="A63" s="12" t="s">
        <v>53</v>
      </c>
      <c r="B63" s="12" t="s">
        <v>35</v>
      </c>
      <c r="C63" s="271" t="str">
        <f>'14thMAY'!E63</f>
        <v/>
      </c>
      <c r="D63" s="191"/>
      <c r="E63" s="247"/>
      <c r="F63" s="235" t="s">
        <v>35</v>
      </c>
      <c r="G63" s="235"/>
      <c r="H63" s="272">
        <f>'14thMAY'!J63</f>
        <v>0.81</v>
      </c>
      <c r="I63" s="281">
        <v>1.0</v>
      </c>
      <c r="J63" s="282">
        <v>0.285</v>
      </c>
      <c r="K63" s="283">
        <v>1.0</v>
      </c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0.525</v>
      </c>
      <c r="N63" s="191"/>
      <c r="O63" s="247"/>
    </row>
    <row r="64">
      <c r="A64" s="11" t="s">
        <v>55</v>
      </c>
      <c r="B64" s="11" t="s">
        <v>56</v>
      </c>
      <c r="C64" s="271" t="str">
        <f>'14thMAY'!E64</f>
        <v/>
      </c>
      <c r="D64" s="191"/>
      <c r="E64" s="247"/>
      <c r="F64" s="235" t="s">
        <v>14</v>
      </c>
      <c r="G64" s="235"/>
      <c r="H64" s="272">
        <f>'14thMAY'!J64</f>
        <v>3.83</v>
      </c>
      <c r="I64" s="281">
        <v>1.0</v>
      </c>
      <c r="J64" s="282">
        <v>0.825</v>
      </c>
      <c r="K64" s="283">
        <v>1.0</v>
      </c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3.005</v>
      </c>
      <c r="N64" s="191"/>
      <c r="O64" s="247"/>
    </row>
    <row r="65">
      <c r="A65" s="10" t="s">
        <v>57</v>
      </c>
      <c r="B65" s="11"/>
      <c r="C65" s="271" t="str">
        <f>'14thMAY'!E65</f>
        <v/>
      </c>
      <c r="D65" s="191"/>
      <c r="E65" s="247"/>
      <c r="F65" s="235"/>
      <c r="G65" s="235"/>
      <c r="H65" s="272" t="str">
        <f>'14thMAY'!J65</f>
        <v/>
      </c>
      <c r="I65" s="281">
        <v>1.0</v>
      </c>
      <c r="J65" s="284"/>
      <c r="K65" s="283">
        <v>1.0</v>
      </c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 t="str">
        <f>'14thMAY'!E66</f>
        <v/>
      </c>
      <c r="D66" s="227">
        <v>15.0</v>
      </c>
      <c r="E66" s="280">
        <v>2.0</v>
      </c>
      <c r="F66" s="235" t="s">
        <v>35</v>
      </c>
      <c r="G66" s="235"/>
      <c r="H66" s="272">
        <f>'14thMAY'!J66</f>
        <v>1.662</v>
      </c>
      <c r="I66" s="281">
        <v>1.0</v>
      </c>
      <c r="J66" s="282">
        <v>0.5</v>
      </c>
      <c r="K66" s="283">
        <v>1.0</v>
      </c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27.162</v>
      </c>
      <c r="N66" s="191"/>
      <c r="O66" s="247"/>
    </row>
    <row r="67">
      <c r="A67" s="12" t="s">
        <v>61</v>
      </c>
      <c r="B67" s="12" t="s">
        <v>59</v>
      </c>
      <c r="C67" s="271" t="str">
        <f>'14thMAY'!E67</f>
        <v/>
      </c>
      <c r="D67" s="227">
        <v>1.0</v>
      </c>
      <c r="E67" s="247"/>
      <c r="F67" s="235" t="s">
        <v>35</v>
      </c>
      <c r="G67" s="235"/>
      <c r="H67" s="272">
        <f>'14thMAY'!J67</f>
        <v>0.2</v>
      </c>
      <c r="I67" s="281">
        <v>1.0</v>
      </c>
      <c r="J67" s="282">
        <v>0.14</v>
      </c>
      <c r="K67" s="283">
        <v>1.0</v>
      </c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0.16</v>
      </c>
      <c r="N67" s="191"/>
      <c r="O67" s="247"/>
    </row>
    <row r="68">
      <c r="A68" s="12" t="s">
        <v>62</v>
      </c>
      <c r="B68" s="12" t="s">
        <v>35</v>
      </c>
      <c r="C68" s="271" t="str">
        <f>'14thMAY'!E68</f>
        <v/>
      </c>
      <c r="D68" s="227">
        <v>20.0</v>
      </c>
      <c r="E68" s="280"/>
      <c r="F68" s="235" t="s">
        <v>35</v>
      </c>
      <c r="G68" s="235"/>
      <c r="H68" s="272" t="str">
        <f>'14thMAY'!J68</f>
        <v/>
      </c>
      <c r="I68" s="281">
        <v>1.0</v>
      </c>
      <c r="J68" s="282">
        <v>2.76</v>
      </c>
      <c r="K68" s="283">
        <v>1.0</v>
      </c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17.34</v>
      </c>
      <c r="N68" s="191"/>
      <c r="O68" s="247"/>
    </row>
    <row r="69">
      <c r="A69" s="12" t="s">
        <v>64</v>
      </c>
      <c r="B69" s="12" t="s">
        <v>59</v>
      </c>
      <c r="C69" s="271">
        <f>'14thMAY'!E69</f>
        <v>1</v>
      </c>
      <c r="D69" s="227">
        <v>3.0</v>
      </c>
      <c r="E69" s="247"/>
      <c r="F69" s="235" t="s">
        <v>35</v>
      </c>
      <c r="G69" s="235"/>
      <c r="H69" s="272" t="str">
        <f>'14thMAY'!J69</f>
        <v/>
      </c>
      <c r="I69" s="281">
        <v>1.0</v>
      </c>
      <c r="J69" s="282">
        <v>0.375</v>
      </c>
      <c r="K69" s="283">
        <v>1.0</v>
      </c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1.275</v>
      </c>
      <c r="N69" s="191"/>
      <c r="O69" s="247"/>
    </row>
    <row r="70">
      <c r="A70" s="10" t="s">
        <v>65</v>
      </c>
      <c r="B70" s="11"/>
      <c r="C70" s="271" t="str">
        <f>'14thMAY'!E70</f>
        <v/>
      </c>
      <c r="D70" s="191"/>
      <c r="E70" s="247"/>
      <c r="F70" s="235"/>
      <c r="G70" s="235"/>
      <c r="H70" s="272" t="str">
        <f>'14thMAY'!J70</f>
        <v/>
      </c>
      <c r="I70" s="281">
        <v>1.0</v>
      </c>
      <c r="J70" s="284"/>
      <c r="K70" s="283">
        <v>1.0</v>
      </c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'14thMAY'!E71</f>
        <v/>
      </c>
      <c r="D71" s="227">
        <v>2.0</v>
      </c>
      <c r="E71" s="247"/>
      <c r="F71" s="235" t="s">
        <v>25</v>
      </c>
      <c r="G71" s="285">
        <v>13.5</v>
      </c>
      <c r="H71" s="272">
        <f>'14thMAY'!J71</f>
        <v>1.5</v>
      </c>
      <c r="I71" s="281">
        <v>1.0</v>
      </c>
      <c r="J71" s="282">
        <v>1.0</v>
      </c>
      <c r="K71" s="283">
        <v>1.0</v>
      </c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50.8</v>
      </c>
      <c r="N71" s="191"/>
      <c r="O71" s="247"/>
    </row>
    <row r="72">
      <c r="A72" s="12" t="s">
        <v>68</v>
      </c>
      <c r="B72" s="12" t="s">
        <v>35</v>
      </c>
      <c r="C72" s="271" t="str">
        <f>'14thMAY'!E72</f>
        <v/>
      </c>
      <c r="D72" s="227">
        <v>4.0</v>
      </c>
      <c r="E72" s="247"/>
      <c r="F72" s="235" t="s">
        <v>35</v>
      </c>
      <c r="G72" s="235"/>
      <c r="H72" s="272">
        <f>'14thMAY'!J72</f>
        <v>0.612</v>
      </c>
      <c r="I72" s="281">
        <v>1.0</v>
      </c>
      <c r="J72" s="282">
        <v>0.66</v>
      </c>
      <c r="K72" s="283">
        <v>1.0</v>
      </c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3.952</v>
      </c>
      <c r="N72" s="191"/>
      <c r="O72" s="247"/>
    </row>
    <row r="73">
      <c r="A73" s="12" t="s">
        <v>70</v>
      </c>
      <c r="B73" s="12" t="s">
        <v>35</v>
      </c>
      <c r="C73" s="271" t="str">
        <f>'14thMAY'!E73</f>
        <v/>
      </c>
      <c r="D73" s="191"/>
      <c r="E73" s="247"/>
      <c r="F73" s="235" t="s">
        <v>35</v>
      </c>
      <c r="G73" s="235"/>
      <c r="H73" s="272" t="str">
        <f>'14thMAY'!J73</f>
        <v/>
      </c>
      <c r="I73" s="281">
        <v>1.0</v>
      </c>
      <c r="J73" s="284"/>
      <c r="K73" s="283">
        <v>1.0</v>
      </c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'14thMAY'!E74</f>
        <v/>
      </c>
      <c r="D74" s="227">
        <v>5.0</v>
      </c>
      <c r="E74" s="247"/>
      <c r="F74" s="235" t="s">
        <v>25</v>
      </c>
      <c r="G74" s="235"/>
      <c r="H74" s="272">
        <f>'14thMAY'!J74</f>
        <v>0.781</v>
      </c>
      <c r="I74" s="281">
        <v>1.0</v>
      </c>
      <c r="J74" s="282">
        <v>0.375</v>
      </c>
      <c r="K74" s="283">
        <v>1.0</v>
      </c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5.406</v>
      </c>
      <c r="N74" s="191"/>
      <c r="O74" s="247"/>
    </row>
    <row r="75">
      <c r="A75" s="12" t="s">
        <v>74</v>
      </c>
      <c r="B75" s="12" t="s">
        <v>17</v>
      </c>
      <c r="C75" s="271" t="str">
        <f>'14thMAY'!E75</f>
        <v/>
      </c>
      <c r="D75" s="191"/>
      <c r="E75" s="247"/>
      <c r="F75" s="235" t="s">
        <v>25</v>
      </c>
      <c r="G75" s="235"/>
      <c r="H75" s="272">
        <f>'14thMAY'!J75</f>
        <v>1.546</v>
      </c>
      <c r="I75" s="281">
        <v>1.0</v>
      </c>
      <c r="J75" s="282">
        <v>0.115</v>
      </c>
      <c r="K75" s="283">
        <v>1.0</v>
      </c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1.431</v>
      </c>
      <c r="N75" s="191"/>
      <c r="O75" s="247"/>
    </row>
    <row r="76">
      <c r="A76" s="12" t="s">
        <v>76</v>
      </c>
      <c r="B76" s="12" t="s">
        <v>72</v>
      </c>
      <c r="C76" s="271" t="str">
        <f>'14thMAY'!E76</f>
        <v/>
      </c>
      <c r="D76" s="191"/>
      <c r="E76" s="247"/>
      <c r="F76" s="235" t="s">
        <v>35</v>
      </c>
      <c r="G76" s="235"/>
      <c r="H76" s="272">
        <f>'14thMAY'!J76</f>
        <v>1</v>
      </c>
      <c r="I76" s="281">
        <v>1.0</v>
      </c>
      <c r="J76" s="282">
        <v>1.0</v>
      </c>
      <c r="K76" s="283">
        <v>1.0</v>
      </c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'14thMAY'!E77</f>
        <v/>
      </c>
      <c r="D77" s="191"/>
      <c r="E77" s="247"/>
      <c r="F77" s="235" t="s">
        <v>25</v>
      </c>
      <c r="G77" s="285">
        <v>1.0</v>
      </c>
      <c r="H77" s="272">
        <f>'14thMAY'!J77</f>
        <v>1.685</v>
      </c>
      <c r="I77" s="281">
        <v>1.0</v>
      </c>
      <c r="J77" s="282">
        <v>0.83</v>
      </c>
      <c r="K77" s="283">
        <v>1.0</v>
      </c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1.855</v>
      </c>
      <c r="N77" s="191"/>
      <c r="O77" s="247"/>
    </row>
    <row r="78">
      <c r="A78" s="12" t="s">
        <v>80</v>
      </c>
      <c r="B78" s="12" t="s">
        <v>56</v>
      </c>
      <c r="C78" s="271" t="str">
        <f>'14thMAY'!E78</f>
        <v/>
      </c>
      <c r="D78" s="191"/>
      <c r="E78" s="247"/>
      <c r="F78" s="235" t="s">
        <v>35</v>
      </c>
      <c r="G78" s="235"/>
      <c r="H78" s="272" t="str">
        <f>'14thMAY'!J78</f>
        <v/>
      </c>
      <c r="I78" s="281">
        <v>1.0</v>
      </c>
      <c r="J78" s="284"/>
      <c r="K78" s="283">
        <v>1.0</v>
      </c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'14thMAY'!E79</f>
        <v/>
      </c>
      <c r="D79" s="191"/>
      <c r="E79" s="247"/>
      <c r="F79" s="235" t="s">
        <v>35</v>
      </c>
      <c r="G79" s="235"/>
      <c r="H79" s="272">
        <f>'14thMAY'!J79</f>
        <v>0.684</v>
      </c>
      <c r="I79" s="281">
        <v>1.0</v>
      </c>
      <c r="J79" s="282">
        <v>0.415</v>
      </c>
      <c r="K79" s="283">
        <v>1.0</v>
      </c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0.269</v>
      </c>
      <c r="N79" s="191"/>
      <c r="O79" s="247"/>
    </row>
    <row r="80">
      <c r="A80" s="10" t="s">
        <v>85</v>
      </c>
      <c r="B80" s="11"/>
      <c r="C80" s="271" t="str">
        <f>'14thMAY'!E80</f>
        <v/>
      </c>
      <c r="D80" s="191"/>
      <c r="E80" s="247"/>
      <c r="F80" s="235"/>
      <c r="G80" s="235"/>
      <c r="H80" s="272" t="str">
        <f>'14thMAY'!J80</f>
        <v/>
      </c>
      <c r="I80" s="281">
        <v>1.0</v>
      </c>
      <c r="J80" s="284"/>
      <c r="K80" s="283">
        <v>1.0</v>
      </c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'14thMAY'!E81</f>
        <v/>
      </c>
      <c r="D81" s="227">
        <v>4.0</v>
      </c>
      <c r="E81" s="247"/>
      <c r="F81" s="235" t="s">
        <v>25</v>
      </c>
      <c r="G81" s="235"/>
      <c r="H81" s="272" t="str">
        <f>'14thMAY'!J81</f>
        <v/>
      </c>
      <c r="I81" s="281">
        <v>1.0</v>
      </c>
      <c r="J81" s="282">
        <v>0.458</v>
      </c>
      <c r="K81" s="283">
        <v>1.0</v>
      </c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1.954</v>
      </c>
      <c r="N81" s="191"/>
      <c r="O81" s="247"/>
    </row>
    <row r="82">
      <c r="A82" s="12" t="s">
        <v>87</v>
      </c>
      <c r="B82" s="12" t="s">
        <v>83</v>
      </c>
      <c r="C82" s="271" t="str">
        <f>'14thMAY'!E82</f>
        <v/>
      </c>
      <c r="D82" s="227">
        <v>1.0</v>
      </c>
      <c r="E82" s="280"/>
      <c r="F82" s="235" t="s">
        <v>25</v>
      </c>
      <c r="G82" s="235"/>
      <c r="H82" s="272">
        <f>'14thMAY'!J82</f>
        <v>0.698</v>
      </c>
      <c r="I82" s="281">
        <v>1.0</v>
      </c>
      <c r="J82" s="282">
        <v>0.445</v>
      </c>
      <c r="K82" s="283">
        <v>1.0</v>
      </c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0.753</v>
      </c>
      <c r="N82" s="191"/>
      <c r="O82" s="247"/>
    </row>
    <row r="83">
      <c r="A83" s="12" t="s">
        <v>88</v>
      </c>
      <c r="B83" s="12" t="s">
        <v>83</v>
      </c>
      <c r="C83" s="271" t="str">
        <f>'14thMAY'!E83</f>
        <v/>
      </c>
      <c r="D83" s="227">
        <v>2.0</v>
      </c>
      <c r="E83" s="247"/>
      <c r="F83" s="235" t="s">
        <v>25</v>
      </c>
      <c r="G83" s="235"/>
      <c r="H83" s="272">
        <f>'14thMAY'!J83</f>
        <v>0.872</v>
      </c>
      <c r="I83" s="281">
        <v>1.0</v>
      </c>
      <c r="J83" s="282">
        <v>1.065</v>
      </c>
      <c r="K83" s="283">
        <v>1.0</v>
      </c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1.427</v>
      </c>
      <c r="N83" s="191"/>
      <c r="O83" s="247"/>
    </row>
    <row r="84">
      <c r="A84" s="12" t="s">
        <v>89</v>
      </c>
      <c r="B84" s="12" t="s">
        <v>83</v>
      </c>
      <c r="C84" s="271" t="str">
        <f>'14thMAY'!E84</f>
        <v/>
      </c>
      <c r="D84" s="227">
        <v>2.0</v>
      </c>
      <c r="E84" s="280"/>
      <c r="F84" s="235" t="s">
        <v>25</v>
      </c>
      <c r="G84" s="235"/>
      <c r="H84" s="272">
        <f>'14thMAY'!J84</f>
        <v>0.543</v>
      </c>
      <c r="I84" s="281">
        <v>1.0</v>
      </c>
      <c r="J84" s="284"/>
      <c r="K84" s="283">
        <v>1.0</v>
      </c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1.27</v>
      </c>
      <c r="N84" s="191"/>
      <c r="O84" s="247"/>
    </row>
    <row r="85">
      <c r="A85" s="12" t="s">
        <v>90</v>
      </c>
      <c r="B85" s="12" t="s">
        <v>24</v>
      </c>
      <c r="C85" s="271" t="str">
        <f>'14thMAY'!E85</f>
        <v/>
      </c>
      <c r="D85" s="227">
        <v>1.0</v>
      </c>
      <c r="E85" s="280"/>
      <c r="F85" s="235" t="s">
        <v>25</v>
      </c>
      <c r="G85" s="235"/>
      <c r="H85" s="272">
        <f>'14thMAY'!J85</f>
        <v>0.111</v>
      </c>
      <c r="I85" s="281">
        <v>1.0</v>
      </c>
      <c r="J85" s="282">
        <v>0.28</v>
      </c>
      <c r="K85" s="283">
        <v>1.0</v>
      </c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0.126</v>
      </c>
      <c r="N85" s="191"/>
      <c r="O85" s="247"/>
    </row>
    <row r="86">
      <c r="A86" s="12" t="s">
        <v>91</v>
      </c>
      <c r="B86" s="12" t="s">
        <v>56</v>
      </c>
      <c r="C86" s="271" t="str">
        <f>'14thMAY'!E86</f>
        <v/>
      </c>
      <c r="D86" s="227">
        <v>1.0</v>
      </c>
      <c r="E86" s="280"/>
      <c r="F86" s="235" t="s">
        <v>25</v>
      </c>
      <c r="G86" s="235"/>
      <c r="H86" s="272">
        <f>'14thMAY'!J86</f>
        <v>1.311</v>
      </c>
      <c r="I86" s="281">
        <v>1.0</v>
      </c>
      <c r="J86" s="282">
        <v>1.98</v>
      </c>
      <c r="K86" s="283">
        <v>1.0</v>
      </c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4.331</v>
      </c>
      <c r="N86" s="191"/>
      <c r="O86" s="247"/>
    </row>
    <row r="87">
      <c r="A87" s="12" t="s">
        <v>92</v>
      </c>
      <c r="B87" s="12" t="s">
        <v>83</v>
      </c>
      <c r="C87" s="271" t="str">
        <f>'14thMAY'!E87</f>
        <v/>
      </c>
      <c r="D87" s="191"/>
      <c r="E87" s="247"/>
      <c r="F87" s="235" t="s">
        <v>25</v>
      </c>
      <c r="G87" s="235"/>
      <c r="H87" s="272">
        <f>'14thMAY'!J87</f>
        <v>0.605</v>
      </c>
      <c r="I87" s="281"/>
      <c r="J87" s="282">
        <v>0.05</v>
      </c>
      <c r="K87" s="283">
        <v>1.0</v>
      </c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0.555</v>
      </c>
      <c r="N87" s="191"/>
      <c r="O87" s="247"/>
    </row>
    <row r="88">
      <c r="A88" s="12" t="s">
        <v>93</v>
      </c>
      <c r="B88" s="12" t="s">
        <v>83</v>
      </c>
      <c r="C88" s="271" t="str">
        <f>'14thMAY'!E88</f>
        <v/>
      </c>
      <c r="D88" s="191"/>
      <c r="E88" s="247"/>
      <c r="F88" s="235" t="s">
        <v>25</v>
      </c>
      <c r="G88" s="235"/>
      <c r="H88" s="272">
        <f>'14thMAY'!J88</f>
        <v>0.74</v>
      </c>
      <c r="I88" s="281">
        <v>1.0</v>
      </c>
      <c r="J88" s="282">
        <v>0.695</v>
      </c>
      <c r="K88" s="283">
        <v>1.0</v>
      </c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0.045</v>
      </c>
      <c r="N88" s="191"/>
      <c r="O88" s="247"/>
    </row>
    <row r="89">
      <c r="A89" s="12" t="s">
        <v>95</v>
      </c>
      <c r="B89" s="12" t="s">
        <v>83</v>
      </c>
      <c r="C89" s="271" t="str">
        <f>'14thMAY'!E89</f>
        <v/>
      </c>
      <c r="D89" s="191"/>
      <c r="E89" s="247"/>
      <c r="F89" s="235" t="s">
        <v>25</v>
      </c>
      <c r="G89" s="235"/>
      <c r="H89" s="272">
        <f>'14thMAY'!J89</f>
        <v>0.563</v>
      </c>
      <c r="I89" s="281">
        <v>1.0</v>
      </c>
      <c r="J89" s="284"/>
      <c r="K89" s="283">
        <v>1.0</v>
      </c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0.143</v>
      </c>
      <c r="N89" s="191"/>
      <c r="O89" s="247"/>
    </row>
    <row r="90">
      <c r="A90" s="10" t="s">
        <v>96</v>
      </c>
      <c r="B90" s="11"/>
      <c r="C90" s="271" t="str">
        <f>'14thMAY'!E90</f>
        <v/>
      </c>
      <c r="D90" s="191"/>
      <c r="E90" s="247"/>
      <c r="F90" s="235"/>
      <c r="G90" s="235"/>
      <c r="H90" s="272" t="str">
        <f>'14thMAY'!J90</f>
        <v/>
      </c>
      <c r="I90" s="281">
        <v>1.0</v>
      </c>
      <c r="J90" s="284"/>
      <c r="K90" s="283">
        <v>1.0</v>
      </c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'14thMAY'!E91</f>
        <v/>
      </c>
      <c r="D91" s="191"/>
      <c r="E91" s="247"/>
      <c r="F91" s="235" t="s">
        <v>35</v>
      </c>
      <c r="G91" s="235"/>
      <c r="H91" s="272" t="str">
        <f>'14thMAY'!J91</f>
        <v/>
      </c>
      <c r="I91" s="281">
        <v>1.0</v>
      </c>
      <c r="J91" s="284"/>
      <c r="K91" s="283">
        <v>1.0</v>
      </c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'14thMAY'!E92</f>
        <v/>
      </c>
      <c r="D92" s="191"/>
      <c r="E92" s="247"/>
      <c r="F92" s="235" t="s">
        <v>35</v>
      </c>
      <c r="G92" s="235"/>
      <c r="H92" s="272">
        <f>'14thMAY'!J92</f>
        <v>0.51</v>
      </c>
      <c r="I92" s="281">
        <v>1.0</v>
      </c>
      <c r="J92" s="282">
        <v>0.095</v>
      </c>
      <c r="K92" s="283">
        <v>1.0</v>
      </c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0.415</v>
      </c>
      <c r="N92" s="191"/>
      <c r="O92" s="247"/>
    </row>
    <row r="93">
      <c r="A93" s="12" t="s">
        <v>100</v>
      </c>
      <c r="B93" s="12" t="s">
        <v>40</v>
      </c>
      <c r="C93" s="271">
        <v>2.0</v>
      </c>
      <c r="D93" s="191"/>
      <c r="E93" s="247"/>
      <c r="F93" s="235" t="s">
        <v>35</v>
      </c>
      <c r="G93" s="235"/>
      <c r="H93" s="272" t="str">
        <f>'14thMAY'!J93</f>
        <v/>
      </c>
      <c r="I93" s="281">
        <v>1.0</v>
      </c>
      <c r="J93" s="282">
        <v>0.375</v>
      </c>
      <c r="K93" s="283">
        <v>1.0</v>
      </c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0.142</v>
      </c>
      <c r="N93" s="191"/>
      <c r="O93" s="247"/>
    </row>
    <row r="94">
      <c r="A94" s="12" t="s">
        <v>101</v>
      </c>
      <c r="B94" s="12" t="s">
        <v>40</v>
      </c>
      <c r="C94" s="271" t="str">
        <f>'14thMAY'!E94</f>
        <v/>
      </c>
      <c r="D94" s="191"/>
      <c r="E94" s="247"/>
      <c r="F94" s="235" t="s">
        <v>35</v>
      </c>
      <c r="G94" s="235"/>
      <c r="H94" s="272" t="str">
        <f>'14thMAY'!J94</f>
        <v/>
      </c>
      <c r="I94" s="281">
        <v>1.0</v>
      </c>
      <c r="J94" s="284"/>
      <c r="K94" s="283">
        <v>1.0</v>
      </c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'14thMAY'!E95</f>
        <v/>
      </c>
      <c r="D95" s="191"/>
      <c r="E95" s="247"/>
      <c r="F95" s="235" t="s">
        <v>35</v>
      </c>
      <c r="G95" s="285">
        <v>0.08</v>
      </c>
      <c r="H95" s="272" t="str">
        <f>'14thMAY'!J95</f>
        <v/>
      </c>
      <c r="I95" s="281">
        <v>1.0</v>
      </c>
      <c r="J95" s="282">
        <v>0.08</v>
      </c>
      <c r="K95" s="283">
        <v>1.0</v>
      </c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0.004</v>
      </c>
      <c r="N95" s="191"/>
      <c r="O95" s="247"/>
    </row>
    <row r="96">
      <c r="A96" s="12" t="s">
        <v>103</v>
      </c>
      <c r="B96" s="12" t="s">
        <v>40</v>
      </c>
      <c r="C96" s="271" t="str">
        <f>'14thMAY'!E96</f>
        <v/>
      </c>
      <c r="D96" s="191"/>
      <c r="E96" s="247"/>
      <c r="F96" s="235" t="s">
        <v>35</v>
      </c>
      <c r="G96" s="235"/>
      <c r="H96" s="272">
        <f>'14thMAY'!J96</f>
        <v>0.846</v>
      </c>
      <c r="I96" s="281">
        <v>1.0</v>
      </c>
      <c r="J96" s="282">
        <v>0.305</v>
      </c>
      <c r="K96" s="283">
        <v>1.0</v>
      </c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0.541</v>
      </c>
      <c r="N96" s="191"/>
      <c r="O96" s="247"/>
    </row>
    <row r="97">
      <c r="A97" s="12" t="s">
        <v>104</v>
      </c>
      <c r="B97" s="12" t="s">
        <v>40</v>
      </c>
      <c r="C97" s="271" t="str">
        <f>'14thMAY'!E97</f>
        <v/>
      </c>
      <c r="D97" s="191"/>
      <c r="E97" s="247"/>
      <c r="F97" s="235" t="s">
        <v>35</v>
      </c>
      <c r="G97" s="235"/>
      <c r="H97" s="272" t="str">
        <f>'14thMAY'!J97</f>
        <v/>
      </c>
      <c r="I97" s="281">
        <v>1.0</v>
      </c>
      <c r="J97" s="284"/>
      <c r="K97" s="283">
        <v>1.0</v>
      </c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'14thMAY'!E98</f>
        <v/>
      </c>
      <c r="D98" s="227">
        <v>1.0</v>
      </c>
      <c r="E98" s="247"/>
      <c r="F98" s="235" t="s">
        <v>35</v>
      </c>
      <c r="G98" s="235"/>
      <c r="H98" s="272" t="str">
        <f>'14thMAY'!J98</f>
        <v/>
      </c>
      <c r="I98" s="281">
        <v>1.0</v>
      </c>
      <c r="J98" s="282">
        <v>0.43</v>
      </c>
      <c r="K98" s="283">
        <v>1.0</v>
      </c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0.677</v>
      </c>
      <c r="N98" s="191"/>
      <c r="O98" s="247"/>
    </row>
    <row r="99">
      <c r="A99" s="12" t="s">
        <v>108</v>
      </c>
      <c r="B99" s="12" t="s">
        <v>40</v>
      </c>
      <c r="C99" s="271" t="str">
        <f>'14thMAY'!E99</f>
        <v/>
      </c>
      <c r="D99" s="191"/>
      <c r="E99" s="247"/>
      <c r="F99" s="235" t="s">
        <v>35</v>
      </c>
      <c r="G99" s="235"/>
      <c r="H99" s="272">
        <f>'14thMAY'!J99</f>
        <v>0.345</v>
      </c>
      <c r="I99" s="281">
        <v>1.0</v>
      </c>
      <c r="J99" s="282">
        <v>0.33</v>
      </c>
      <c r="K99" s="283">
        <v>1.0</v>
      </c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0.015</v>
      </c>
      <c r="N99" s="191"/>
      <c r="O99" s="247"/>
    </row>
    <row r="100">
      <c r="A100" s="12" t="s">
        <v>109</v>
      </c>
      <c r="B100" s="12" t="s">
        <v>40</v>
      </c>
      <c r="C100" s="271" t="str">
        <f>'14thMAY'!E100</f>
        <v/>
      </c>
      <c r="D100" s="191"/>
      <c r="E100" s="247"/>
      <c r="F100" s="235" t="s">
        <v>35</v>
      </c>
      <c r="G100" s="235"/>
      <c r="H100" s="272">
        <f>'14thMAY'!J100</f>
        <v>0.297</v>
      </c>
      <c r="I100" s="281">
        <v>1.0</v>
      </c>
      <c r="J100" s="282">
        <v>0.26</v>
      </c>
      <c r="K100" s="283">
        <v>1.0</v>
      </c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0.037</v>
      </c>
      <c r="N100" s="191"/>
      <c r="O100" s="247"/>
    </row>
    <row r="101">
      <c r="A101" s="12" t="s">
        <v>110</v>
      </c>
      <c r="B101" s="12" t="s">
        <v>40</v>
      </c>
      <c r="C101" s="271" t="str">
        <f>'14thMAY'!E101</f>
        <v/>
      </c>
      <c r="D101" s="227">
        <v>0.5</v>
      </c>
      <c r="E101" s="247"/>
      <c r="F101" s="235" t="s">
        <v>35</v>
      </c>
      <c r="G101" s="235"/>
      <c r="H101" s="272">
        <f>'14thMAY'!J101</f>
        <v>0.524</v>
      </c>
      <c r="I101" s="281">
        <v>1.0</v>
      </c>
      <c r="J101" s="282">
        <v>0.625</v>
      </c>
      <c r="K101" s="283">
        <v>1.0</v>
      </c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0.399</v>
      </c>
      <c r="N101" s="191"/>
      <c r="O101" s="247"/>
    </row>
    <row r="102">
      <c r="A102" s="12" t="s">
        <v>111</v>
      </c>
      <c r="B102" s="12" t="s">
        <v>40</v>
      </c>
      <c r="C102" s="271" t="str">
        <f>'14thMAY'!E102</f>
        <v/>
      </c>
      <c r="D102" s="191"/>
      <c r="E102" s="247"/>
      <c r="F102" s="235" t="s">
        <v>35</v>
      </c>
      <c r="G102" s="235"/>
      <c r="H102" s="272" t="str">
        <f>'14thMAY'!J102</f>
        <v/>
      </c>
      <c r="I102" s="281">
        <v>1.0</v>
      </c>
      <c r="J102" s="284"/>
      <c r="K102" s="283">
        <v>1.0</v>
      </c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 t="str">
        <f>'14thMAY'!E103</f>
        <v/>
      </c>
      <c r="D103" s="227">
        <v>1.0</v>
      </c>
      <c r="E103" s="280">
        <v>1.0</v>
      </c>
      <c r="F103" s="235" t="s">
        <v>35</v>
      </c>
      <c r="G103" s="235"/>
      <c r="H103" s="272">
        <f>'14thMAY'!J103</f>
        <v>0.299</v>
      </c>
      <c r="I103" s="281">
        <v>1.0</v>
      </c>
      <c r="J103" s="282">
        <v>0.079</v>
      </c>
      <c r="K103" s="283">
        <v>1.0</v>
      </c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0.22</v>
      </c>
      <c r="N103" s="191"/>
      <c r="O103" s="247"/>
    </row>
    <row r="104">
      <c r="A104" s="12" t="s">
        <v>114</v>
      </c>
      <c r="B104" s="12" t="s">
        <v>40</v>
      </c>
      <c r="C104" s="271" t="str">
        <f>'14thMAY'!E104</f>
        <v/>
      </c>
      <c r="D104" s="191"/>
      <c r="E104" s="247"/>
      <c r="F104" s="235" t="s">
        <v>35</v>
      </c>
      <c r="G104" s="285"/>
      <c r="H104" s="272">
        <f>'14thMAY'!J104</f>
        <v>0.386</v>
      </c>
      <c r="I104" s="281">
        <v>1.0</v>
      </c>
      <c r="J104" s="282">
        <v>0.335</v>
      </c>
      <c r="K104" s="283">
        <v>1.0</v>
      </c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0.051</v>
      </c>
      <c r="N104" s="191"/>
      <c r="O104" s="247"/>
    </row>
    <row r="105">
      <c r="A105" s="12" t="s">
        <v>116</v>
      </c>
      <c r="B105" s="12" t="s">
        <v>40</v>
      </c>
      <c r="C105" s="271" t="str">
        <f>'14thMAY'!E105</f>
        <v/>
      </c>
      <c r="D105" s="191"/>
      <c r="E105" s="247"/>
      <c r="F105" s="235" t="s">
        <v>35</v>
      </c>
      <c r="G105" s="235"/>
      <c r="H105" s="272" t="str">
        <f>'14thMAY'!J105</f>
        <v/>
      </c>
      <c r="I105" s="281">
        <v>1.0</v>
      </c>
      <c r="J105" s="284"/>
      <c r="K105" s="283">
        <v>1.0</v>
      </c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'14thMAY'!E106</f>
        <v/>
      </c>
      <c r="D106" s="191"/>
      <c r="E106" s="247"/>
      <c r="F106" s="235" t="s">
        <v>35</v>
      </c>
      <c r="G106" s="285">
        <v>1.0</v>
      </c>
      <c r="H106" s="272">
        <f>'14thMAY'!J106</f>
        <v>0.04</v>
      </c>
      <c r="I106" s="281">
        <v>1.0</v>
      </c>
      <c r="J106" s="282">
        <v>0.935</v>
      </c>
      <c r="K106" s="283">
        <v>1.0</v>
      </c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0.105</v>
      </c>
      <c r="N106" s="191"/>
      <c r="O106" s="247"/>
    </row>
    <row r="107">
      <c r="A107" s="12" t="s">
        <v>118</v>
      </c>
      <c r="B107" s="12" t="s">
        <v>40</v>
      </c>
      <c r="C107" s="271" t="str">
        <f>'14thMAY'!E107</f>
        <v/>
      </c>
      <c r="D107" s="191"/>
      <c r="E107" s="247"/>
      <c r="F107" s="235" t="s">
        <v>35</v>
      </c>
      <c r="G107" s="235"/>
      <c r="H107" s="272">
        <f>'14thMAY'!J107</f>
        <v>0.99</v>
      </c>
      <c r="I107" s="281">
        <v>1.0</v>
      </c>
      <c r="J107" s="282">
        <v>0.535</v>
      </c>
      <c r="K107" s="283">
        <v>1.0</v>
      </c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0.455</v>
      </c>
      <c r="N107" s="191"/>
      <c r="O107" s="247"/>
    </row>
    <row r="108">
      <c r="A108" s="12" t="s">
        <v>119</v>
      </c>
      <c r="B108" s="12" t="s">
        <v>40</v>
      </c>
      <c r="C108" s="271" t="str">
        <f>'14thMAY'!E108</f>
        <v/>
      </c>
      <c r="D108" s="191"/>
      <c r="E108" s="247"/>
      <c r="F108" s="235" t="s">
        <v>35</v>
      </c>
      <c r="G108" s="235"/>
      <c r="H108" s="272">
        <f>'14thMAY'!J108</f>
        <v>0.651</v>
      </c>
      <c r="I108" s="281">
        <v>1.0</v>
      </c>
      <c r="J108" s="282">
        <v>0.65</v>
      </c>
      <c r="K108" s="283">
        <v>1.0</v>
      </c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0.001</v>
      </c>
      <c r="N108" s="191"/>
      <c r="O108" s="247"/>
    </row>
    <row r="109">
      <c r="A109" s="12" t="s">
        <v>120</v>
      </c>
      <c r="B109" s="12" t="s">
        <v>40</v>
      </c>
      <c r="C109" s="271" t="str">
        <f>'14thMAY'!E109</f>
        <v/>
      </c>
      <c r="D109" s="191"/>
      <c r="E109" s="247"/>
      <c r="F109" s="235" t="s">
        <v>35</v>
      </c>
      <c r="G109" s="285">
        <v>0.26</v>
      </c>
      <c r="H109" s="272" t="str">
        <f>'14thMAY'!J109</f>
        <v/>
      </c>
      <c r="I109" s="281">
        <v>1.0</v>
      </c>
      <c r="J109" s="282">
        <v>0.26</v>
      </c>
      <c r="K109" s="283">
        <v>1.0</v>
      </c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0.013</v>
      </c>
      <c r="N109" s="191"/>
      <c r="O109" s="247"/>
    </row>
    <row r="110">
      <c r="A110" s="12" t="s">
        <v>121</v>
      </c>
      <c r="B110" s="12" t="s">
        <v>40</v>
      </c>
      <c r="C110" s="271" t="str">
        <f>'14thMAY'!E110</f>
        <v/>
      </c>
      <c r="D110" s="191"/>
      <c r="E110" s="247"/>
      <c r="F110" s="235" t="s">
        <v>35</v>
      </c>
      <c r="G110" s="235"/>
      <c r="H110" s="272">
        <f>'14thMAY'!J110</f>
        <v>0.308</v>
      </c>
      <c r="I110" s="281">
        <v>1.0</v>
      </c>
      <c r="J110" s="284"/>
      <c r="K110" s="283">
        <v>1.0</v>
      </c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0.295</v>
      </c>
      <c r="N110" s="191"/>
      <c r="O110" s="247"/>
    </row>
    <row r="111">
      <c r="A111" s="12" t="s">
        <v>122</v>
      </c>
      <c r="B111" s="12" t="s">
        <v>40</v>
      </c>
      <c r="C111" s="271" t="str">
        <f>'14thMAY'!E111</f>
        <v/>
      </c>
      <c r="D111" s="191"/>
      <c r="E111" s="247"/>
      <c r="F111" s="235" t="s">
        <v>35</v>
      </c>
      <c r="G111" s="235"/>
      <c r="H111" s="272" t="str">
        <f>'14thMAY'!J111</f>
        <v/>
      </c>
      <c r="I111" s="281">
        <v>1.0</v>
      </c>
      <c r="J111" s="284"/>
      <c r="K111" s="283">
        <v>1.0</v>
      </c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'14thMAY'!E112</f>
        <v/>
      </c>
      <c r="D112" s="191"/>
      <c r="E112" s="247"/>
      <c r="F112" s="235" t="s">
        <v>35</v>
      </c>
      <c r="G112" s="285">
        <v>0.6</v>
      </c>
      <c r="H112" s="272">
        <f>'14thMAY'!J112</f>
        <v>0.6</v>
      </c>
      <c r="I112" s="281">
        <v>1.0</v>
      </c>
      <c r="J112" s="282">
        <f>0.645+0.045</f>
        <v>0.69</v>
      </c>
      <c r="K112" s="283">
        <v>1.0</v>
      </c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0.51</v>
      </c>
      <c r="N112" s="191"/>
      <c r="O112" s="247"/>
    </row>
    <row r="113">
      <c r="A113" s="12" t="s">
        <v>124</v>
      </c>
      <c r="B113" s="12" t="s">
        <v>40</v>
      </c>
      <c r="C113" s="271" t="str">
        <f>'14thMAY'!E113</f>
        <v/>
      </c>
      <c r="D113" s="227">
        <v>1.0</v>
      </c>
      <c r="E113" s="247"/>
      <c r="F113" s="235" t="s">
        <v>35</v>
      </c>
      <c r="G113" s="235"/>
      <c r="H113" s="272">
        <f>'14thMAY'!J113</f>
        <v>0.04</v>
      </c>
      <c r="I113" s="281">
        <v>1.0</v>
      </c>
      <c r="J113" s="282">
        <f>0.25+0.41</f>
        <v>0.66</v>
      </c>
      <c r="K113" s="283">
        <v>1.0</v>
      </c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0.38</v>
      </c>
      <c r="N113" s="191"/>
      <c r="O113" s="247"/>
    </row>
    <row r="114">
      <c r="A114" s="12" t="s">
        <v>125</v>
      </c>
      <c r="B114" s="12" t="s">
        <v>40</v>
      </c>
      <c r="C114" s="271" t="str">
        <f>'14thMAY'!E114</f>
        <v/>
      </c>
      <c r="D114" s="191"/>
      <c r="E114" s="247"/>
      <c r="F114" s="235" t="s">
        <v>35</v>
      </c>
      <c r="G114" s="235"/>
      <c r="H114" s="272" t="str">
        <f>'14thMAY'!J114</f>
        <v/>
      </c>
      <c r="I114" s="281">
        <v>1.0</v>
      </c>
      <c r="J114" s="284"/>
      <c r="K114" s="283">
        <v>1.0</v>
      </c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'14thMAY'!E115</f>
        <v/>
      </c>
      <c r="D115" s="191"/>
      <c r="E115" s="247"/>
      <c r="F115" s="235" t="s">
        <v>35</v>
      </c>
      <c r="G115" s="235"/>
      <c r="H115" s="272">
        <f>'14thMAY'!J115</f>
        <v>0.61</v>
      </c>
      <c r="I115" s="281">
        <v>1.0</v>
      </c>
      <c r="J115" s="282">
        <v>0.44</v>
      </c>
      <c r="K115" s="283">
        <v>1.0</v>
      </c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0.17</v>
      </c>
      <c r="N115" s="191"/>
      <c r="O115" s="247"/>
    </row>
    <row r="116">
      <c r="A116" s="12" t="s">
        <v>127</v>
      </c>
      <c r="B116" s="12" t="s">
        <v>40</v>
      </c>
      <c r="C116" s="271" t="str">
        <f>'14thMAY'!E116</f>
        <v/>
      </c>
      <c r="D116" s="191"/>
      <c r="E116" s="247"/>
      <c r="F116" s="235" t="s">
        <v>35</v>
      </c>
      <c r="G116" s="285">
        <v>0.03</v>
      </c>
      <c r="H116" s="272">
        <f>'14thMAY'!J116</f>
        <v>0.03</v>
      </c>
      <c r="I116" s="281">
        <v>1.0</v>
      </c>
      <c r="J116" s="282">
        <v>0.05</v>
      </c>
      <c r="K116" s="283">
        <v>1.0</v>
      </c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0.01</v>
      </c>
      <c r="N116" s="191"/>
      <c r="O116" s="247"/>
    </row>
    <row r="117">
      <c r="A117" s="12" t="s">
        <v>128</v>
      </c>
      <c r="B117" s="12" t="s">
        <v>40</v>
      </c>
      <c r="C117" s="271">
        <f>'14thMAY'!E117</f>
        <v>1</v>
      </c>
      <c r="D117" s="191"/>
      <c r="E117" s="247"/>
      <c r="F117" s="235" t="s">
        <v>35</v>
      </c>
      <c r="G117" s="235"/>
      <c r="H117" s="272" t="str">
        <f>'14thMAY'!J117</f>
        <v/>
      </c>
      <c r="I117" s="281">
        <v>1.0</v>
      </c>
      <c r="J117" s="282">
        <v>0.04</v>
      </c>
      <c r="K117" s="283">
        <v>1.0</v>
      </c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0.023</v>
      </c>
      <c r="N117" s="191"/>
      <c r="O117" s="247"/>
    </row>
    <row r="118">
      <c r="A118" s="12" t="s">
        <v>129</v>
      </c>
      <c r="B118" s="12" t="s">
        <v>40</v>
      </c>
      <c r="C118" s="271" t="str">
        <f>'14thMAY'!E118</f>
        <v/>
      </c>
      <c r="D118" s="191"/>
      <c r="E118" s="247"/>
      <c r="F118" s="235" t="s">
        <v>35</v>
      </c>
      <c r="G118" s="285">
        <v>0.83</v>
      </c>
      <c r="H118" s="272">
        <f>'14thMAY'!J118</f>
        <v>0.83</v>
      </c>
      <c r="I118" s="281">
        <v>1.0</v>
      </c>
      <c r="J118" s="282">
        <f>0.485+0.405</f>
        <v>0.89</v>
      </c>
      <c r="K118" s="283">
        <v>1.0</v>
      </c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0.77</v>
      </c>
      <c r="N118" s="191"/>
      <c r="O118" s="247"/>
    </row>
    <row r="119">
      <c r="A119" s="12" t="s">
        <v>130</v>
      </c>
      <c r="B119" s="12" t="s">
        <v>40</v>
      </c>
      <c r="C119" s="271" t="str">
        <f>'14thMAY'!E119</f>
        <v/>
      </c>
      <c r="D119" s="191"/>
      <c r="E119" s="247"/>
      <c r="F119" s="235" t="s">
        <v>35</v>
      </c>
      <c r="G119" s="285">
        <v>0.48</v>
      </c>
      <c r="H119" s="272">
        <f>'14thMAY'!J119</f>
        <v>0.1</v>
      </c>
      <c r="I119" s="281">
        <v>1.0</v>
      </c>
      <c r="J119" s="282">
        <v>0.48</v>
      </c>
      <c r="K119" s="283">
        <v>1.0</v>
      </c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0.1</v>
      </c>
      <c r="N119" s="191"/>
      <c r="O119" s="247"/>
    </row>
    <row r="120">
      <c r="A120" s="12" t="s">
        <v>131</v>
      </c>
      <c r="B120" s="12" t="s">
        <v>40</v>
      </c>
      <c r="C120" s="271" t="str">
        <f>'14thMAY'!E120</f>
        <v/>
      </c>
      <c r="D120" s="191"/>
      <c r="E120" s="247"/>
      <c r="F120" s="235" t="s">
        <v>35</v>
      </c>
      <c r="G120" s="235"/>
      <c r="H120" s="272" t="str">
        <f>'14thMAY'!J120</f>
        <v/>
      </c>
      <c r="I120" s="281">
        <v>1.0</v>
      </c>
      <c r="J120" s="282"/>
      <c r="K120" s="283">
        <v>1.0</v>
      </c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247"/>
    </row>
    <row r="121">
      <c r="A121" s="12" t="s">
        <v>132</v>
      </c>
      <c r="B121" s="12" t="s">
        <v>40</v>
      </c>
      <c r="C121" s="271" t="str">
        <f>'14thMAY'!E121</f>
        <v/>
      </c>
      <c r="D121" s="191"/>
      <c r="E121" s="247"/>
      <c r="F121" s="235" t="s">
        <v>35</v>
      </c>
      <c r="G121" s="235"/>
      <c r="H121" s="272">
        <f>'14thMAY'!J121</f>
        <v>0.89</v>
      </c>
      <c r="I121" s="281">
        <v>1.0</v>
      </c>
      <c r="J121" s="282">
        <f>0.295+0.5</f>
        <v>0.795</v>
      </c>
      <c r="K121" s="283">
        <v>1.0</v>
      </c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0.095</v>
      </c>
      <c r="N121" s="191"/>
      <c r="O121" s="247"/>
    </row>
    <row r="122">
      <c r="A122" s="12" t="s">
        <v>133</v>
      </c>
      <c r="B122" s="12" t="s">
        <v>40</v>
      </c>
      <c r="C122" s="271" t="str">
        <f>'14thMAY'!E122</f>
        <v/>
      </c>
      <c r="D122" s="227">
        <v>1.0</v>
      </c>
      <c r="E122" s="280">
        <v>1.0</v>
      </c>
      <c r="F122" s="235" t="s">
        <v>35</v>
      </c>
      <c r="G122" s="235"/>
      <c r="H122" s="272">
        <f>'14thMAY'!J122</f>
        <v>0.08</v>
      </c>
      <c r="I122" s="281">
        <v>1.0</v>
      </c>
      <c r="J122" s="282">
        <v>0.035</v>
      </c>
      <c r="K122" s="283">
        <v>1.0</v>
      </c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0.045</v>
      </c>
      <c r="N122" s="191"/>
      <c r="O122" s="247"/>
    </row>
    <row r="123">
      <c r="A123" s="12" t="s">
        <v>134</v>
      </c>
      <c r="B123" s="12" t="s">
        <v>40</v>
      </c>
      <c r="C123" s="271" t="str">
        <f>'14thMAY'!E123</f>
        <v/>
      </c>
      <c r="D123" s="191"/>
      <c r="E123" s="247"/>
      <c r="F123" s="235" t="s">
        <v>35</v>
      </c>
      <c r="G123" s="235"/>
      <c r="H123" s="272" t="str">
        <f>'14thMAY'!J123</f>
        <v/>
      </c>
      <c r="I123" s="281">
        <v>1.0</v>
      </c>
      <c r="J123" s="284"/>
      <c r="K123" s="283">
        <v>1.0</v>
      </c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'14thMAY'!E124</f>
        <v/>
      </c>
      <c r="D124" s="191"/>
      <c r="E124" s="247"/>
      <c r="F124" s="235" t="s">
        <v>35</v>
      </c>
      <c r="G124" s="235"/>
      <c r="H124" s="272" t="str">
        <f>'14thMAY'!J124</f>
        <v/>
      </c>
      <c r="I124" s="281">
        <v>1.0</v>
      </c>
      <c r="J124" s="284"/>
      <c r="K124" s="283">
        <v>1.0</v>
      </c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'14thMAY'!E125</f>
        <v/>
      </c>
      <c r="D125" s="227">
        <v>2.0</v>
      </c>
      <c r="E125" s="247"/>
      <c r="F125" s="285" t="s">
        <v>35</v>
      </c>
      <c r="G125" s="235"/>
      <c r="H125" s="272" t="str">
        <f>'14thMAY'!J125</f>
        <v/>
      </c>
      <c r="I125" s="281">
        <v>1.0</v>
      </c>
      <c r="J125" s="284"/>
      <c r="K125" s="283">
        <v>1.0</v>
      </c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0.96</v>
      </c>
      <c r="N125" s="191"/>
      <c r="O125" s="247"/>
    </row>
    <row r="126">
      <c r="A126" s="21" t="s">
        <v>143</v>
      </c>
      <c r="B126" s="15" t="s">
        <v>40</v>
      </c>
      <c r="C126" s="271" t="str">
        <f>'14thMAY'!E126</f>
        <v/>
      </c>
      <c r="D126" s="191"/>
      <c r="E126" s="247"/>
      <c r="F126" s="285" t="s">
        <v>35</v>
      </c>
      <c r="G126" s="235"/>
      <c r="H126" s="272">
        <f>'14thMAY'!J126</f>
        <v>0.23</v>
      </c>
      <c r="I126" s="281">
        <v>1.0</v>
      </c>
      <c r="J126" s="282">
        <v>0.04</v>
      </c>
      <c r="K126" s="283">
        <v>1.0</v>
      </c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0.19</v>
      </c>
      <c r="N126" s="191"/>
      <c r="O126" s="247"/>
    </row>
    <row r="127">
      <c r="A127" s="10" t="s">
        <v>146</v>
      </c>
      <c r="B127" s="11"/>
      <c r="C127" s="271" t="str">
        <f>'14thMAY'!E127</f>
        <v/>
      </c>
      <c r="D127" s="191"/>
      <c r="E127" s="247"/>
      <c r="F127" s="235"/>
      <c r="G127" s="235"/>
      <c r="H127" s="272" t="str">
        <f>'14thMAY'!J127</f>
        <v/>
      </c>
      <c r="I127" s="281">
        <v>1.0</v>
      </c>
      <c r="J127" s="284"/>
      <c r="K127" s="283">
        <v>1.0</v>
      </c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'14thMAY'!E128</f>
        <v/>
      </c>
      <c r="D128" s="191"/>
      <c r="E128" s="247"/>
      <c r="F128" s="235" t="s">
        <v>35</v>
      </c>
      <c r="G128" s="235"/>
      <c r="H128" s="272" t="str">
        <f>'14thMAY'!J128</f>
        <v/>
      </c>
      <c r="I128" s="281">
        <v>1.0</v>
      </c>
      <c r="J128" s="284"/>
      <c r="K128" s="283">
        <v>1.0</v>
      </c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'14thMAY'!E129</f>
        <v/>
      </c>
      <c r="D129" s="227">
        <v>1.6</v>
      </c>
      <c r="E129" s="247"/>
      <c r="F129" s="235" t="s">
        <v>35</v>
      </c>
      <c r="G129" s="235"/>
      <c r="H129" s="272" t="str">
        <f>'14thMAY'!J129</f>
        <v/>
      </c>
      <c r="I129" s="281">
        <v>1.0</v>
      </c>
      <c r="J129" s="282">
        <v>1.0</v>
      </c>
      <c r="K129" s="283">
        <v>1.0</v>
      </c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0.6</v>
      </c>
      <c r="N129" s="191"/>
      <c r="O129" s="247"/>
    </row>
    <row r="130">
      <c r="A130" s="12" t="s">
        <v>149</v>
      </c>
      <c r="B130" s="12" t="s">
        <v>40</v>
      </c>
      <c r="C130" s="271" t="str">
        <f>'14thMAY'!E130</f>
        <v/>
      </c>
      <c r="D130" s="227">
        <v>1.0</v>
      </c>
      <c r="E130" s="280">
        <v>1.0</v>
      </c>
      <c r="F130" s="235" t="s">
        <v>35</v>
      </c>
      <c r="G130" s="235"/>
      <c r="H130" s="272">
        <f>'14thMAY'!J130</f>
        <v>0.199</v>
      </c>
      <c r="I130" s="281">
        <v>1.0</v>
      </c>
      <c r="J130" s="282">
        <v>0.089</v>
      </c>
      <c r="K130" s="283">
        <v>1.0</v>
      </c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0.11</v>
      </c>
      <c r="N130" s="191"/>
      <c r="O130" s="247"/>
    </row>
    <row r="131">
      <c r="A131" s="12" t="s">
        <v>150</v>
      </c>
      <c r="B131" s="12" t="s">
        <v>24</v>
      </c>
      <c r="C131" s="271" t="str">
        <f>'14thMAY'!E131</f>
        <v/>
      </c>
      <c r="D131" s="191"/>
      <c r="E131" s="247"/>
      <c r="F131" s="235" t="s">
        <v>25</v>
      </c>
      <c r="G131" s="235"/>
      <c r="H131" s="272" t="str">
        <f>'14thMAY'!J131</f>
        <v/>
      </c>
      <c r="I131" s="281">
        <v>1.0</v>
      </c>
      <c r="J131" s="284"/>
      <c r="K131" s="283">
        <v>1.0</v>
      </c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'14thMAY'!E132</f>
        <v/>
      </c>
      <c r="D132" s="191"/>
      <c r="E132" s="247"/>
      <c r="F132" s="235"/>
      <c r="G132" s="235"/>
      <c r="H132" s="272" t="str">
        <f>'14thMAY'!J132</f>
        <v/>
      </c>
      <c r="I132" s="281">
        <v>1.0</v>
      </c>
      <c r="J132" s="284"/>
      <c r="K132" s="283">
        <v>1.0</v>
      </c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'14thMAY'!E133</f>
        <v/>
      </c>
      <c r="D133" s="227">
        <v>7.0</v>
      </c>
      <c r="E133" s="247"/>
      <c r="F133" s="235" t="s">
        <v>35</v>
      </c>
      <c r="G133" s="235"/>
      <c r="H133" s="272" t="str">
        <f>'14thMAY'!J133</f>
        <v/>
      </c>
      <c r="I133" s="281">
        <v>1.0</v>
      </c>
      <c r="J133" s="284"/>
      <c r="K133" s="283">
        <v>1.0</v>
      </c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1.4</v>
      </c>
      <c r="N133" s="191"/>
      <c r="O133" s="247"/>
    </row>
    <row r="134">
      <c r="A134" s="12" t="s">
        <v>154</v>
      </c>
      <c r="B134" s="12" t="s">
        <v>155</v>
      </c>
      <c r="C134" s="271" t="str">
        <f>'14thMAY'!E134</f>
        <v/>
      </c>
      <c r="D134" s="227">
        <v>5.0</v>
      </c>
      <c r="E134" s="247"/>
      <c r="F134" s="235" t="s">
        <v>35</v>
      </c>
      <c r="G134" s="235"/>
      <c r="H134" s="272" t="str">
        <f>'14thMAY'!J134</f>
        <v/>
      </c>
      <c r="I134" s="281">
        <v>1.0</v>
      </c>
      <c r="J134" s="284"/>
      <c r="K134" s="283">
        <v>1.0</v>
      </c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2.5</v>
      </c>
      <c r="N134" s="191"/>
      <c r="O134" s="247"/>
    </row>
    <row r="135">
      <c r="A135" s="12" t="s">
        <v>157</v>
      </c>
      <c r="B135" s="12" t="s">
        <v>34</v>
      </c>
      <c r="C135" s="271">
        <f>'14thMAY'!E135</f>
        <v>1</v>
      </c>
      <c r="D135" s="227">
        <v>2.0</v>
      </c>
      <c r="E135" s="280">
        <v>1.0</v>
      </c>
      <c r="F135" s="235" t="s">
        <v>35</v>
      </c>
      <c r="G135" s="235"/>
      <c r="H135" s="272" t="str">
        <f>'14thMAY'!J135</f>
        <v/>
      </c>
      <c r="I135" s="281">
        <v>1.0</v>
      </c>
      <c r="J135" s="282">
        <v>0.355</v>
      </c>
      <c r="K135" s="283">
        <v>1.0</v>
      </c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0.55</v>
      </c>
      <c r="N135" s="191"/>
      <c r="O135" s="247"/>
    </row>
    <row r="136">
      <c r="A136" s="12" t="s">
        <v>158</v>
      </c>
      <c r="B136" s="12" t="s">
        <v>34</v>
      </c>
      <c r="C136" s="271">
        <f>'14thMAY'!E136</f>
        <v>1</v>
      </c>
      <c r="D136" s="191"/>
      <c r="E136" s="247"/>
      <c r="F136" s="235" t="s">
        <v>35</v>
      </c>
      <c r="G136" s="235"/>
      <c r="H136" s="272" t="str">
        <f>'14thMAY'!J136</f>
        <v/>
      </c>
      <c r="I136" s="281">
        <v>1.0</v>
      </c>
      <c r="J136" s="284"/>
      <c r="K136" s="283">
        <v>1.0</v>
      </c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0.425</v>
      </c>
      <c r="N136" s="191"/>
      <c r="O136" s="247"/>
    </row>
    <row r="137">
      <c r="A137" s="12" t="s">
        <v>159</v>
      </c>
      <c r="B137" s="12" t="s">
        <v>34</v>
      </c>
      <c r="C137" s="271" t="str">
        <f>'14thMAY'!E137</f>
        <v/>
      </c>
      <c r="D137" s="191"/>
      <c r="E137" s="247"/>
      <c r="F137" s="235" t="s">
        <v>35</v>
      </c>
      <c r="G137" s="235"/>
      <c r="H137" s="272" t="str">
        <f>'14thMAY'!J137</f>
        <v/>
      </c>
      <c r="I137" s="281">
        <v>1.0</v>
      </c>
      <c r="J137" s="284"/>
      <c r="K137" s="283">
        <v>1.0</v>
      </c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'14thMAY'!E138</f>
        <v/>
      </c>
      <c r="D138" s="191"/>
      <c r="E138" s="247"/>
      <c r="F138" s="235" t="s">
        <v>35</v>
      </c>
      <c r="G138" s="235"/>
      <c r="H138" s="272">
        <f>'14thMAY'!J138</f>
        <v>0.498</v>
      </c>
      <c r="I138" s="281">
        <v>1.0</v>
      </c>
      <c r="J138" s="282">
        <v>0.328</v>
      </c>
      <c r="K138" s="283">
        <v>1.0</v>
      </c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0.17</v>
      </c>
      <c r="N138" s="191"/>
      <c r="O138" s="247"/>
    </row>
    <row r="139">
      <c r="A139" s="12" t="s">
        <v>161</v>
      </c>
      <c r="B139" s="12" t="s">
        <v>34</v>
      </c>
      <c r="C139" s="271" t="str">
        <f>'14thMAY'!E139</f>
        <v/>
      </c>
      <c r="D139" s="191"/>
      <c r="E139" s="247"/>
      <c r="F139" s="235" t="s">
        <v>35</v>
      </c>
      <c r="G139" s="235"/>
      <c r="H139" s="272">
        <f>'14thMAY'!J139</f>
        <v>0.507</v>
      </c>
      <c r="I139" s="281">
        <v>1.0</v>
      </c>
      <c r="J139" s="282">
        <v>0.308</v>
      </c>
      <c r="K139" s="283">
        <v>1.0</v>
      </c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0.199</v>
      </c>
      <c r="N139" s="191"/>
      <c r="O139" s="247"/>
    </row>
    <row r="140">
      <c r="A140" s="12" t="s">
        <v>162</v>
      </c>
      <c r="B140" s="12" t="s">
        <v>34</v>
      </c>
      <c r="C140" s="271">
        <f>'14thMAY'!E140</f>
        <v>1</v>
      </c>
      <c r="D140" s="191"/>
      <c r="E140" s="247"/>
      <c r="F140" s="235" t="s">
        <v>35</v>
      </c>
      <c r="G140" s="235"/>
      <c r="H140" s="272" t="str">
        <f>'14thMAY'!J140</f>
        <v/>
      </c>
      <c r="I140" s="281">
        <v>1.0</v>
      </c>
      <c r="J140" s="282"/>
      <c r="K140" s="283">
        <v>1.0</v>
      </c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0.4</v>
      </c>
      <c r="N140" s="191"/>
      <c r="O140" s="247"/>
    </row>
    <row r="141">
      <c r="A141" s="12" t="s">
        <v>163</v>
      </c>
      <c r="B141" s="12" t="s">
        <v>34</v>
      </c>
      <c r="C141" s="271" t="str">
        <f>'14thMAY'!E141</f>
        <v/>
      </c>
      <c r="D141" s="227">
        <v>1.0</v>
      </c>
      <c r="E141" s="247"/>
      <c r="F141" s="235" t="s">
        <v>35</v>
      </c>
      <c r="G141" s="235"/>
      <c r="H141" s="272">
        <f>'14thMAY'!J141</f>
        <v>0.878</v>
      </c>
      <c r="I141" s="281">
        <v>1.0</v>
      </c>
      <c r="J141" s="282">
        <v>0.9</v>
      </c>
      <c r="K141" s="283">
        <v>1.0</v>
      </c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0.348</v>
      </c>
      <c r="N141" s="191"/>
      <c r="O141" s="247"/>
    </row>
    <row r="142">
      <c r="A142" s="12" t="s">
        <v>164</v>
      </c>
      <c r="B142" s="12" t="s">
        <v>155</v>
      </c>
      <c r="C142" s="271" t="str">
        <f>'14thMAY'!E142</f>
        <v/>
      </c>
      <c r="D142" s="227">
        <v>1.0</v>
      </c>
      <c r="E142" s="247"/>
      <c r="F142" s="235" t="s">
        <v>35</v>
      </c>
      <c r="G142" s="235"/>
      <c r="H142" s="272">
        <f>'14thMAY'!J142</f>
        <v>1</v>
      </c>
      <c r="I142" s="281">
        <v>1.0</v>
      </c>
      <c r="J142" s="282">
        <v>0.375</v>
      </c>
      <c r="K142" s="283">
        <v>1.0</v>
      </c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1.125</v>
      </c>
      <c r="N142" s="191"/>
      <c r="O142" s="247"/>
    </row>
    <row r="143">
      <c r="A143" s="12" t="s">
        <v>165</v>
      </c>
      <c r="B143" s="12" t="s">
        <v>155</v>
      </c>
      <c r="C143" s="271" t="str">
        <f>'14thMAY'!E143</f>
        <v/>
      </c>
      <c r="D143" s="191"/>
      <c r="E143" s="247"/>
      <c r="F143" s="235" t="s">
        <v>35</v>
      </c>
      <c r="G143" s="235"/>
      <c r="H143" s="272" t="str">
        <f>'14thMAY'!J143</f>
        <v/>
      </c>
      <c r="I143" s="281">
        <v>1.0</v>
      </c>
      <c r="J143" s="284"/>
      <c r="K143" s="283">
        <v>1.0</v>
      </c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'14thMAY'!E144</f>
        <v/>
      </c>
      <c r="D144" s="227">
        <v>1.0</v>
      </c>
      <c r="E144" s="247"/>
      <c r="F144" s="235" t="s">
        <v>35</v>
      </c>
      <c r="G144" s="235"/>
      <c r="H144" s="272">
        <f>'14thMAY'!J144</f>
        <v>0.807</v>
      </c>
      <c r="I144" s="281">
        <v>1.0</v>
      </c>
      <c r="J144" s="282">
        <v>0.71</v>
      </c>
      <c r="K144" s="283">
        <v>1.0</v>
      </c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3.877</v>
      </c>
      <c r="N144" s="191"/>
      <c r="O144" s="247"/>
    </row>
    <row r="145">
      <c r="A145" s="12" t="s">
        <v>167</v>
      </c>
      <c r="B145" s="12" t="s">
        <v>106</v>
      </c>
      <c r="C145" s="271">
        <f>'14thMAY'!E145</f>
        <v>1</v>
      </c>
      <c r="D145" s="227">
        <v>3.0</v>
      </c>
      <c r="E145" s="247"/>
      <c r="F145" s="235" t="s">
        <v>35</v>
      </c>
      <c r="G145" s="235"/>
      <c r="H145" s="272">
        <f>'14thMAY'!J145</f>
        <v>0.029</v>
      </c>
      <c r="I145" s="281">
        <v>1.0</v>
      </c>
      <c r="J145" s="282">
        <v>0.507</v>
      </c>
      <c r="K145" s="283">
        <v>1.0</v>
      </c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1.182</v>
      </c>
      <c r="N145" s="191"/>
      <c r="O145" s="247"/>
    </row>
    <row r="146">
      <c r="A146" s="12" t="s">
        <v>168</v>
      </c>
      <c r="B146" s="12" t="s">
        <v>17</v>
      </c>
      <c r="C146" s="271" t="str">
        <f>'14thMAY'!E146</f>
        <v/>
      </c>
      <c r="D146" s="227"/>
      <c r="E146" s="247"/>
      <c r="F146" s="235" t="s">
        <v>35</v>
      </c>
      <c r="G146" s="235"/>
      <c r="H146" s="272">
        <f>'14thMAY'!J146</f>
        <v>0.563</v>
      </c>
      <c r="I146" s="281">
        <v>1.0</v>
      </c>
      <c r="J146" s="282">
        <v>0.205</v>
      </c>
      <c r="K146" s="283">
        <v>1.0</v>
      </c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0.358</v>
      </c>
      <c r="N146" s="191"/>
      <c r="O146" s="247"/>
    </row>
    <row r="147">
      <c r="A147" s="12" t="s">
        <v>169</v>
      </c>
      <c r="B147" s="12" t="s">
        <v>106</v>
      </c>
      <c r="C147" s="271" t="str">
        <f>'14thMAY'!E147</f>
        <v/>
      </c>
      <c r="D147" s="191"/>
      <c r="E147" s="247"/>
      <c r="F147" s="235" t="s">
        <v>35</v>
      </c>
      <c r="G147" s="235"/>
      <c r="H147" s="272" t="str">
        <f>'14thMAY'!J147</f>
        <v/>
      </c>
      <c r="I147" s="281">
        <v>1.0</v>
      </c>
      <c r="J147" s="284"/>
      <c r="K147" s="283">
        <v>1.0</v>
      </c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'14thMAY'!E148</f>
        <v/>
      </c>
      <c r="D148" s="191"/>
      <c r="E148" s="247"/>
      <c r="F148" s="235" t="s">
        <v>35</v>
      </c>
      <c r="G148" s="235"/>
      <c r="H148" s="272" t="str">
        <f>'14thMAY'!J148</f>
        <v/>
      </c>
      <c r="I148" s="281">
        <v>1.0</v>
      </c>
      <c r="J148" s="284"/>
      <c r="K148" s="283">
        <v>1.0</v>
      </c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 t="str">
        <f>'14thMAY'!E149</f>
        <v/>
      </c>
      <c r="D149" s="191"/>
      <c r="E149" s="247"/>
      <c r="F149" s="235" t="s">
        <v>14</v>
      </c>
      <c r="G149" s="235"/>
      <c r="H149" s="272">
        <f>'14thMAY'!J149</f>
        <v>0.24</v>
      </c>
      <c r="I149" s="281">
        <v>1.0</v>
      </c>
      <c r="J149" s="282"/>
      <c r="K149" s="283">
        <v>1.0</v>
      </c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0.18</v>
      </c>
      <c r="N149" s="191"/>
      <c r="O149" s="247"/>
    </row>
    <row r="150">
      <c r="A150" s="11" t="s">
        <v>173</v>
      </c>
      <c r="B150" s="11" t="s">
        <v>106</v>
      </c>
      <c r="C150" s="271" t="str">
        <f>'14thMAY'!E150</f>
        <v/>
      </c>
      <c r="D150" s="287"/>
      <c r="E150" s="288"/>
      <c r="F150" s="235" t="s">
        <v>14</v>
      </c>
      <c r="G150" s="289"/>
      <c r="H150" s="272" t="str">
        <f>'14thMAY'!J150</f>
        <v/>
      </c>
      <c r="I150" s="281">
        <v>1.0</v>
      </c>
      <c r="J150" s="291"/>
      <c r="K150" s="283">
        <v>1.0</v>
      </c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</v>
      </c>
      <c r="N150" s="216"/>
      <c r="O150" s="292"/>
    </row>
    <row r="151">
      <c r="A151" s="22" t="s">
        <v>174</v>
      </c>
      <c r="B151" s="23" t="s">
        <v>106</v>
      </c>
      <c r="C151" s="271" t="str">
        <f>'14thMAY'!E151</f>
        <v/>
      </c>
      <c r="D151" s="216"/>
      <c r="E151" s="288"/>
      <c r="F151" s="235" t="s">
        <v>14</v>
      </c>
      <c r="G151" s="289"/>
      <c r="H151" s="272">
        <f>'14thMAY'!J151</f>
        <v>0.345</v>
      </c>
      <c r="I151" s="281">
        <v>1.0</v>
      </c>
      <c r="J151" s="301">
        <v>0.336</v>
      </c>
      <c r="K151" s="283">
        <v>1.0</v>
      </c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0.009</v>
      </c>
      <c r="N151" s="216"/>
      <c r="O151" s="292"/>
    </row>
    <row r="152">
      <c r="A152" s="10" t="s">
        <v>175</v>
      </c>
      <c r="B152" s="11"/>
      <c r="C152" s="271" t="str">
        <f>'14thMAY'!E152</f>
        <v/>
      </c>
      <c r="D152" s="191"/>
      <c r="E152" s="247"/>
      <c r="F152" s="235"/>
      <c r="G152" s="235"/>
      <c r="H152" s="272" t="str">
        <f>'14thMAY'!J152</f>
        <v/>
      </c>
      <c r="I152" s="281">
        <v>1.0</v>
      </c>
      <c r="J152" s="284"/>
      <c r="K152" s="283">
        <v>1.0</v>
      </c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'14thMAY'!E153</f>
        <v/>
      </c>
      <c r="D153" s="227">
        <v>15.5</v>
      </c>
      <c r="E153" s="247"/>
      <c r="F153" s="235" t="s">
        <v>25</v>
      </c>
      <c r="G153" s="235"/>
      <c r="H153" s="272" t="str">
        <f>'14thMAY'!J153</f>
        <v/>
      </c>
      <c r="I153" s="281">
        <v>1.0</v>
      </c>
      <c r="J153" s="282">
        <v>4.0</v>
      </c>
      <c r="K153" s="283">
        <v>1.0</v>
      </c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11.5</v>
      </c>
      <c r="N153" s="191"/>
      <c r="O153" s="247"/>
    </row>
    <row r="154">
      <c r="A154" s="12" t="s">
        <v>178</v>
      </c>
      <c r="B154" s="12" t="s">
        <v>35</v>
      </c>
      <c r="C154" s="271">
        <f>'14thMAY'!E154</f>
        <v>6</v>
      </c>
      <c r="D154" s="227">
        <v>32.0</v>
      </c>
      <c r="E154" s="280">
        <v>6.0</v>
      </c>
      <c r="F154" s="235" t="s">
        <v>35</v>
      </c>
      <c r="G154" s="235"/>
      <c r="H154" s="272" t="str">
        <f>'14thMAY'!J154</f>
        <v/>
      </c>
      <c r="I154" s="281">
        <v>1.0</v>
      </c>
      <c r="J154" s="284"/>
      <c r="K154" s="283">
        <v>1.0</v>
      </c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16</v>
      </c>
      <c r="N154" s="191"/>
      <c r="O154" s="247"/>
    </row>
    <row r="155">
      <c r="A155" s="12" t="s">
        <v>180</v>
      </c>
      <c r="B155" s="12" t="s">
        <v>35</v>
      </c>
      <c r="C155" s="271" t="str">
        <f>'14thMAY'!E155</f>
        <v/>
      </c>
      <c r="D155" s="227"/>
      <c r="E155" s="247"/>
      <c r="F155" s="235" t="s">
        <v>35</v>
      </c>
      <c r="G155" s="285">
        <v>0.662</v>
      </c>
      <c r="H155" s="272">
        <f>'14thMAY'!J155</f>
        <v>0.121</v>
      </c>
      <c r="I155" s="281">
        <v>1.0</v>
      </c>
      <c r="J155" s="282">
        <v>0.15</v>
      </c>
      <c r="K155" s="283">
        <v>1.0</v>
      </c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0.633</v>
      </c>
      <c r="N155" s="191"/>
      <c r="O155" s="247"/>
    </row>
    <row r="156">
      <c r="A156" s="12" t="s">
        <v>181</v>
      </c>
      <c r="B156" s="12" t="s">
        <v>35</v>
      </c>
      <c r="C156" s="271" t="str">
        <f>'14thMAY'!E156</f>
        <v/>
      </c>
      <c r="D156" s="191"/>
      <c r="E156" s="280"/>
      <c r="F156" s="235" t="s">
        <v>35</v>
      </c>
      <c r="G156" s="235"/>
      <c r="H156" s="272">
        <f>'14thMAY'!J156</f>
        <v>1.02</v>
      </c>
      <c r="I156" s="281">
        <v>1.0</v>
      </c>
      <c r="J156" s="282"/>
      <c r="K156" s="283">
        <v>1.0</v>
      </c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1.008</v>
      </c>
      <c r="N156" s="191"/>
      <c r="O156" s="247"/>
    </row>
    <row r="157">
      <c r="A157" s="12" t="s">
        <v>182</v>
      </c>
      <c r="B157" s="12" t="s">
        <v>35</v>
      </c>
      <c r="C157" s="271" t="str">
        <f>'14thMAY'!E157</f>
        <v/>
      </c>
      <c r="D157" s="191"/>
      <c r="E157" s="247"/>
      <c r="F157" s="235" t="s">
        <v>35</v>
      </c>
      <c r="G157" s="285"/>
      <c r="H157" s="272" t="str">
        <f>'14thMAY'!J157</f>
        <v/>
      </c>
      <c r="I157" s="281">
        <v>1.0</v>
      </c>
      <c r="J157" s="282"/>
      <c r="K157" s="283">
        <v>1.0</v>
      </c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71" t="str">
        <f>'14thMAY'!E158</f>
        <v/>
      </c>
      <c r="D158" s="191"/>
      <c r="E158" s="247"/>
      <c r="F158" s="235" t="s">
        <v>14</v>
      </c>
      <c r="G158" s="235"/>
      <c r="H158" s="272" t="str">
        <f>'14thMAY'!J158</f>
        <v/>
      </c>
      <c r="I158" s="281">
        <v>1.0</v>
      </c>
      <c r="J158" s="284"/>
      <c r="K158" s="283">
        <v>1.0</v>
      </c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'14thMAY'!E159</f>
        <v/>
      </c>
      <c r="D159" s="191"/>
      <c r="E159" s="247"/>
      <c r="F159" s="235"/>
      <c r="G159" s="235"/>
      <c r="H159" s="272" t="str">
        <f>'14thMAY'!J159</f>
        <v/>
      </c>
      <c r="I159" s="281">
        <v>1.0</v>
      </c>
      <c r="J159" s="284"/>
      <c r="K159" s="283">
        <v>1.0</v>
      </c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'14thMAY'!E160</f>
        <v/>
      </c>
      <c r="D160" s="227">
        <v>9.0</v>
      </c>
      <c r="E160" s="247"/>
      <c r="F160" s="235" t="s">
        <v>17</v>
      </c>
      <c r="G160" s="235"/>
      <c r="H160" s="272">
        <f>'14thMAY'!J160</f>
        <v>3</v>
      </c>
      <c r="I160" s="281">
        <v>1.0</v>
      </c>
      <c r="J160" s="282">
        <v>2.0</v>
      </c>
      <c r="K160" s="283">
        <v>1.0</v>
      </c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10</v>
      </c>
      <c r="N160" s="191"/>
      <c r="O160" s="247"/>
    </row>
    <row r="161">
      <c r="A161" s="12" t="s">
        <v>187</v>
      </c>
      <c r="B161" s="12" t="s">
        <v>17</v>
      </c>
      <c r="C161" s="271" t="str">
        <f>'14thMAY'!E161</f>
        <v/>
      </c>
      <c r="D161" s="227">
        <v>12.0</v>
      </c>
      <c r="E161" s="247"/>
      <c r="F161" s="235" t="s">
        <v>17</v>
      </c>
      <c r="G161" s="235"/>
      <c r="H161" s="272" t="str">
        <f>'14thMAY'!J161</f>
        <v/>
      </c>
      <c r="I161" s="281">
        <v>1.0</v>
      </c>
      <c r="J161" s="282">
        <v>1.0</v>
      </c>
      <c r="K161" s="283">
        <v>1.0</v>
      </c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11</v>
      </c>
      <c r="N161" s="191"/>
      <c r="O161" s="247"/>
    </row>
    <row r="162">
      <c r="A162" s="12" t="s">
        <v>188</v>
      </c>
      <c r="B162" s="12" t="s">
        <v>35</v>
      </c>
      <c r="C162" s="271" t="str">
        <f>'14thMAY'!E162</f>
        <v/>
      </c>
      <c r="D162" s="227">
        <v>19.0</v>
      </c>
      <c r="E162" s="247"/>
      <c r="F162" s="235" t="s">
        <v>35</v>
      </c>
      <c r="G162" s="235"/>
      <c r="H162" s="272">
        <f>'14thMAY'!J162</f>
        <v>0.735</v>
      </c>
      <c r="I162" s="281">
        <v>1.0</v>
      </c>
      <c r="J162" s="282">
        <v>3.0</v>
      </c>
      <c r="K162" s="283">
        <v>1.0</v>
      </c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16.735</v>
      </c>
      <c r="N162" s="191"/>
      <c r="O162" s="247"/>
    </row>
    <row r="163">
      <c r="A163" s="12" t="s">
        <v>189</v>
      </c>
      <c r="B163" s="12" t="s">
        <v>17</v>
      </c>
      <c r="C163" s="271" t="str">
        <f>'14thMAY'!E163</f>
        <v/>
      </c>
      <c r="D163" s="227"/>
      <c r="E163" s="280"/>
      <c r="F163" s="235" t="s">
        <v>17</v>
      </c>
      <c r="G163" s="285">
        <v>3.0</v>
      </c>
      <c r="H163" s="272" t="str">
        <f>'14thMAY'!J163</f>
        <v/>
      </c>
      <c r="I163" s="281">
        <v>1.0</v>
      </c>
      <c r="J163" s="282"/>
      <c r="K163" s="283">
        <v>1.0</v>
      </c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3</v>
      </c>
      <c r="N163" s="191"/>
      <c r="O163" s="247"/>
    </row>
    <row r="164">
      <c r="A164" s="12" t="s">
        <v>190</v>
      </c>
      <c r="B164" s="12" t="s">
        <v>17</v>
      </c>
      <c r="C164" s="271" t="str">
        <f>'14thMAY'!E164</f>
        <v/>
      </c>
      <c r="D164" s="191"/>
      <c r="E164" s="247"/>
      <c r="F164" s="235" t="s">
        <v>17</v>
      </c>
      <c r="G164" s="235"/>
      <c r="H164" s="272" t="str">
        <f>'14thMAY'!J164</f>
        <v/>
      </c>
      <c r="I164" s="281">
        <v>1.0</v>
      </c>
      <c r="J164" s="284"/>
      <c r="K164" s="283">
        <v>1.0</v>
      </c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'14thMAY'!E165</f>
        <v/>
      </c>
      <c r="D165" s="227">
        <v>5.9</v>
      </c>
      <c r="E165" s="247"/>
      <c r="F165" s="235" t="s">
        <v>35</v>
      </c>
      <c r="G165" s="235"/>
      <c r="H165" s="272">
        <f>'14thMAY'!J165</f>
        <v>0.352</v>
      </c>
      <c r="I165" s="281">
        <v>1.0</v>
      </c>
      <c r="J165" s="282">
        <v>0.89</v>
      </c>
      <c r="K165" s="283">
        <v>1.0</v>
      </c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5.362</v>
      </c>
      <c r="N165" s="191"/>
      <c r="O165" s="247"/>
    </row>
    <row r="166">
      <c r="A166" s="12" t="s">
        <v>192</v>
      </c>
      <c r="B166" s="12" t="s">
        <v>35</v>
      </c>
      <c r="C166" s="271" t="str">
        <f>'14thMAY'!E166</f>
        <v/>
      </c>
      <c r="D166" s="227">
        <v>4.3</v>
      </c>
      <c r="E166" s="247"/>
      <c r="F166" s="235" t="s">
        <v>35</v>
      </c>
      <c r="G166" s="285"/>
      <c r="H166" s="272">
        <f>'14thMAY'!J166</f>
        <v>0.9</v>
      </c>
      <c r="I166" s="281">
        <v>1.0</v>
      </c>
      <c r="J166" s="282">
        <v>0.38</v>
      </c>
      <c r="K166" s="283">
        <v>1.0</v>
      </c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4.82</v>
      </c>
      <c r="N166" s="191"/>
      <c r="O166" s="247"/>
    </row>
    <row r="167">
      <c r="A167" s="12" t="s">
        <v>193</v>
      </c>
      <c r="B167" s="12" t="s">
        <v>35</v>
      </c>
      <c r="C167" s="271" t="str">
        <f>'14thMAY'!E167</f>
        <v/>
      </c>
      <c r="D167" s="227">
        <v>35.5</v>
      </c>
      <c r="E167" s="247"/>
      <c r="F167" s="235" t="s">
        <v>35</v>
      </c>
      <c r="G167" s="235"/>
      <c r="H167" s="272" t="str">
        <f>'14thMAY'!J167</f>
        <v/>
      </c>
      <c r="I167" s="281">
        <v>1.0</v>
      </c>
      <c r="J167" s="282">
        <v>3.455</v>
      </c>
      <c r="K167" s="283">
        <v>1.0</v>
      </c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32.045</v>
      </c>
      <c r="N167" s="191"/>
      <c r="O167" s="247"/>
    </row>
    <row r="168">
      <c r="A168" s="12" t="s">
        <v>194</v>
      </c>
      <c r="B168" s="12" t="s">
        <v>17</v>
      </c>
      <c r="C168" s="271" t="str">
        <f>'14thMAY'!E168</f>
        <v/>
      </c>
      <c r="D168" s="227">
        <v>10.0</v>
      </c>
      <c r="E168" s="247"/>
      <c r="F168" s="235" t="s">
        <v>17</v>
      </c>
      <c r="G168" s="235"/>
      <c r="H168" s="272" t="str">
        <f>'14thMAY'!J168</f>
        <v/>
      </c>
      <c r="I168" s="281">
        <v>1.0</v>
      </c>
      <c r="J168" s="284"/>
      <c r="K168" s="283">
        <v>1.0</v>
      </c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10</v>
      </c>
      <c r="N168" s="191"/>
      <c r="O168" s="247"/>
    </row>
    <row r="169">
      <c r="A169" s="12" t="s">
        <v>195</v>
      </c>
      <c r="B169" s="12" t="s">
        <v>35</v>
      </c>
      <c r="C169" s="271" t="str">
        <f>'14thMAY'!E169</f>
        <v/>
      </c>
      <c r="D169" s="191"/>
      <c r="E169" s="247"/>
      <c r="F169" s="235" t="s">
        <v>35</v>
      </c>
      <c r="G169" s="235"/>
      <c r="H169" s="272">
        <f>'14thMAY'!J169</f>
        <v>0.867</v>
      </c>
      <c r="I169" s="281">
        <v>1.0</v>
      </c>
      <c r="J169" s="282">
        <v>1.295</v>
      </c>
      <c r="K169" s="283">
        <v>1.0</v>
      </c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-0.428</v>
      </c>
      <c r="N169" s="191"/>
      <c r="O169" s="247"/>
    </row>
    <row r="170">
      <c r="A170" s="12" t="s">
        <v>196</v>
      </c>
      <c r="B170" s="12" t="s">
        <v>35</v>
      </c>
      <c r="C170" s="271" t="str">
        <f>'14thMAY'!E170</f>
        <v/>
      </c>
      <c r="D170" s="191"/>
      <c r="E170" s="247"/>
      <c r="F170" s="235" t="s">
        <v>35</v>
      </c>
      <c r="G170" s="235"/>
      <c r="H170" s="272">
        <f>'14thMAY'!J170</f>
        <v>0.411</v>
      </c>
      <c r="I170" s="281">
        <v>1.0</v>
      </c>
      <c r="J170" s="282"/>
      <c r="K170" s="283">
        <v>1.0</v>
      </c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0.411</v>
      </c>
      <c r="N170" s="191"/>
      <c r="O170" s="247"/>
    </row>
    <row r="171">
      <c r="A171" s="12" t="s">
        <v>197</v>
      </c>
      <c r="B171" s="12" t="s">
        <v>35</v>
      </c>
      <c r="C171" s="271" t="str">
        <f>'14thMAY'!E171</f>
        <v/>
      </c>
      <c r="D171" s="191"/>
      <c r="E171" s="247"/>
      <c r="F171" s="235" t="s">
        <v>35</v>
      </c>
      <c r="G171" s="285">
        <v>1.0</v>
      </c>
      <c r="H171" s="272">
        <f>'14thMAY'!J171</f>
        <v>1.306</v>
      </c>
      <c r="I171" s="281">
        <v>1.0</v>
      </c>
      <c r="J171" s="282">
        <v>0.735</v>
      </c>
      <c r="K171" s="283">
        <v>1.0</v>
      </c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1.571</v>
      </c>
      <c r="N171" s="191"/>
      <c r="O171" s="247"/>
    </row>
    <row r="172">
      <c r="A172" s="12" t="s">
        <v>198</v>
      </c>
      <c r="B172" s="12" t="s">
        <v>35</v>
      </c>
      <c r="C172" s="271" t="str">
        <f>'14thMAY'!E172</f>
        <v/>
      </c>
      <c r="D172" s="227">
        <v>11.3</v>
      </c>
      <c r="E172" s="247"/>
      <c r="F172" s="235" t="s">
        <v>35</v>
      </c>
      <c r="G172" s="235"/>
      <c r="H172" s="272">
        <f>'14thMAY'!J172</f>
        <v>0.619</v>
      </c>
      <c r="I172" s="281">
        <v>1.0</v>
      </c>
      <c r="J172" s="282">
        <v>2.655</v>
      </c>
      <c r="K172" s="283">
        <v>1.0</v>
      </c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9.264</v>
      </c>
      <c r="N172" s="191"/>
      <c r="O172" s="247"/>
    </row>
    <row r="173">
      <c r="A173" s="12" t="s">
        <v>199</v>
      </c>
      <c r="B173" s="12" t="s">
        <v>35</v>
      </c>
      <c r="C173" s="271" t="str">
        <f>'14thMAY'!E173</f>
        <v/>
      </c>
      <c r="D173" s="227">
        <v>4.0</v>
      </c>
      <c r="E173" s="247"/>
      <c r="F173" s="235" t="s">
        <v>35</v>
      </c>
      <c r="G173" s="235"/>
      <c r="H173" s="272" t="str">
        <f>'14thMAY'!J173</f>
        <v/>
      </c>
      <c r="I173" s="281">
        <v>1.0</v>
      </c>
      <c r="J173" s="282">
        <v>1.0</v>
      </c>
      <c r="K173" s="283">
        <v>1.0</v>
      </c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3</v>
      </c>
      <c r="N173" s="191"/>
      <c r="O173" s="247"/>
    </row>
    <row r="174">
      <c r="A174" s="12" t="s">
        <v>200</v>
      </c>
      <c r="B174" s="12" t="s">
        <v>35</v>
      </c>
      <c r="C174" s="271" t="str">
        <f>'14thMAY'!E174</f>
        <v/>
      </c>
      <c r="D174" s="227">
        <v>3.5</v>
      </c>
      <c r="E174" s="247"/>
      <c r="F174" s="235" t="s">
        <v>35</v>
      </c>
      <c r="G174" s="235"/>
      <c r="H174" s="272">
        <f>'14thMAY'!J174</f>
        <v>0.915</v>
      </c>
      <c r="I174" s="281">
        <v>1.0</v>
      </c>
      <c r="J174" s="282">
        <v>0.655</v>
      </c>
      <c r="K174" s="283">
        <v>1.0</v>
      </c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3.76</v>
      </c>
      <c r="N174" s="191"/>
      <c r="O174" s="247"/>
    </row>
    <row r="175">
      <c r="A175" s="12" t="s">
        <v>201</v>
      </c>
      <c r="B175" s="12" t="s">
        <v>202</v>
      </c>
      <c r="C175" s="271" t="str">
        <f>'14thMAY'!E175</f>
        <v/>
      </c>
      <c r="D175" s="191"/>
      <c r="E175" s="247"/>
      <c r="F175" s="235" t="s">
        <v>202</v>
      </c>
      <c r="G175" s="235"/>
      <c r="H175" s="272" t="str">
        <f>'14thMAY'!J175</f>
        <v/>
      </c>
      <c r="I175" s="281">
        <v>1.0</v>
      </c>
      <c r="J175" s="284"/>
      <c r="K175" s="283">
        <v>1.0</v>
      </c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'14thMAY'!E176</f>
        <v/>
      </c>
      <c r="D176" s="227">
        <v>2.0</v>
      </c>
      <c r="E176" s="247"/>
      <c r="F176" s="235" t="s">
        <v>202</v>
      </c>
      <c r="G176" s="235"/>
      <c r="H176" s="272" t="str">
        <f>'14thMAY'!J176</f>
        <v/>
      </c>
      <c r="I176" s="281">
        <v>1.0</v>
      </c>
      <c r="J176" s="282"/>
      <c r="K176" s="283">
        <v>1.0</v>
      </c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2</v>
      </c>
      <c r="N176" s="191"/>
      <c r="O176" s="247"/>
    </row>
    <row r="177">
      <c r="A177" s="12" t="s">
        <v>205</v>
      </c>
      <c r="B177" s="12" t="s">
        <v>202</v>
      </c>
      <c r="C177" s="271" t="str">
        <f>'14thMAY'!E177</f>
        <v/>
      </c>
      <c r="D177" s="227">
        <v>10.0</v>
      </c>
      <c r="E177" s="247"/>
      <c r="F177" s="235" t="s">
        <v>202</v>
      </c>
      <c r="G177" s="235"/>
      <c r="H177" s="272" t="str">
        <f>'14thMAY'!J177</f>
        <v/>
      </c>
      <c r="I177" s="281">
        <v>1.0</v>
      </c>
      <c r="J177" s="284"/>
      <c r="K177" s="283">
        <v>1.0</v>
      </c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10</v>
      </c>
      <c r="N177" s="191"/>
      <c r="O177" s="247"/>
    </row>
    <row r="178">
      <c r="A178" s="12" t="s">
        <v>206</v>
      </c>
      <c r="B178" s="12" t="s">
        <v>207</v>
      </c>
      <c r="C178" s="271" t="str">
        <f>'14thMAY'!E178</f>
        <v/>
      </c>
      <c r="D178" s="227">
        <v>3.0</v>
      </c>
      <c r="E178" s="247"/>
      <c r="F178" s="235" t="s">
        <v>17</v>
      </c>
      <c r="G178" s="235"/>
      <c r="H178" s="272" t="str">
        <f>'14thMAY'!J178</f>
        <v/>
      </c>
      <c r="I178" s="281">
        <v>1.0</v>
      </c>
      <c r="J178" s="282">
        <v>23.0</v>
      </c>
      <c r="K178" s="283">
        <v>1.0</v>
      </c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67</v>
      </c>
      <c r="N178" s="191"/>
      <c r="O178" s="247"/>
    </row>
    <row r="179">
      <c r="A179" s="12" t="s">
        <v>209</v>
      </c>
      <c r="B179" s="12" t="s">
        <v>17</v>
      </c>
      <c r="C179" s="271" t="str">
        <f>'14thMAY'!E179</f>
        <v/>
      </c>
      <c r="D179" s="191"/>
      <c r="E179" s="247"/>
      <c r="F179" s="235" t="s">
        <v>17</v>
      </c>
      <c r="G179" s="235"/>
      <c r="H179" s="272" t="str">
        <f>'14thMAY'!J179</f>
        <v/>
      </c>
      <c r="I179" s="281">
        <v>1.0</v>
      </c>
      <c r="J179" s="284"/>
      <c r="K179" s="283">
        <v>1.0</v>
      </c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'14thMAY'!E180</f>
        <v/>
      </c>
      <c r="D180" s="227">
        <v>3.0</v>
      </c>
      <c r="E180" s="247"/>
      <c r="F180" s="235" t="s">
        <v>202</v>
      </c>
      <c r="G180" s="285"/>
      <c r="H180" s="272" t="str">
        <f>'14thMAY'!J180</f>
        <v/>
      </c>
      <c r="I180" s="281">
        <v>1.0</v>
      </c>
      <c r="J180" s="282"/>
      <c r="K180" s="283">
        <v>1.0</v>
      </c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3</v>
      </c>
      <c r="N180" s="191"/>
      <c r="O180" s="247"/>
    </row>
    <row r="181">
      <c r="A181" s="12" t="s">
        <v>211</v>
      </c>
      <c r="B181" s="12" t="s">
        <v>202</v>
      </c>
      <c r="C181" s="271" t="str">
        <f>'14thMAY'!E181</f>
        <v/>
      </c>
      <c r="D181" s="227">
        <v>1.0</v>
      </c>
      <c r="E181" s="247"/>
      <c r="F181" s="235" t="s">
        <v>202</v>
      </c>
      <c r="G181" s="235"/>
      <c r="H181" s="272">
        <f>'14thMAY'!J181</f>
        <v>1</v>
      </c>
      <c r="I181" s="281">
        <v>1.0</v>
      </c>
      <c r="J181" s="282">
        <v>1.0</v>
      </c>
      <c r="K181" s="283">
        <v>1.0</v>
      </c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1</v>
      </c>
      <c r="N181" s="191"/>
      <c r="O181" s="247"/>
    </row>
    <row r="182">
      <c r="A182" s="12" t="s">
        <v>212</v>
      </c>
      <c r="B182" s="12" t="s">
        <v>202</v>
      </c>
      <c r="C182" s="271" t="str">
        <f>'14thMAY'!E182</f>
        <v/>
      </c>
      <c r="D182" s="227">
        <v>1.0</v>
      </c>
      <c r="E182" s="247"/>
      <c r="F182" s="235" t="s">
        <v>202</v>
      </c>
      <c r="G182" s="235"/>
      <c r="H182" s="272">
        <f>'14thMAY'!J182</f>
        <v>1</v>
      </c>
      <c r="I182" s="281">
        <v>1.0</v>
      </c>
      <c r="J182" s="282">
        <v>2.0</v>
      </c>
      <c r="K182" s="283">
        <v>1.0</v>
      </c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</v>
      </c>
      <c r="N182" s="191"/>
      <c r="O182" s="247"/>
    </row>
    <row r="183">
      <c r="A183" s="12" t="s">
        <v>213</v>
      </c>
      <c r="B183" s="12" t="s">
        <v>35</v>
      </c>
      <c r="C183" s="271" t="str">
        <f>'14thMAY'!E183</f>
        <v/>
      </c>
      <c r="D183" s="191"/>
      <c r="E183" s="247"/>
      <c r="F183" s="235" t="s">
        <v>35</v>
      </c>
      <c r="G183" s="235"/>
      <c r="H183" s="272" t="str">
        <f>'14thMAY'!J183</f>
        <v/>
      </c>
      <c r="I183" s="281">
        <v>1.0</v>
      </c>
      <c r="J183" s="284"/>
      <c r="K183" s="283">
        <v>1.0</v>
      </c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>
        <f>'14thMAY'!E184</f>
        <v>1</v>
      </c>
      <c r="D184" s="191"/>
      <c r="E184" s="247"/>
      <c r="F184" s="235" t="s">
        <v>35</v>
      </c>
      <c r="G184" s="235"/>
      <c r="H184" s="272" t="str">
        <f>'14thMAY'!J184</f>
        <v/>
      </c>
      <c r="I184" s="281">
        <v>1.0</v>
      </c>
      <c r="J184" s="282">
        <v>0.255</v>
      </c>
      <c r="K184" s="283">
        <v>1.0</v>
      </c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0.075</v>
      </c>
      <c r="N184" s="191"/>
      <c r="O184" s="247"/>
    </row>
    <row r="185">
      <c r="A185" s="12" t="s">
        <v>215</v>
      </c>
      <c r="B185" s="12" t="s">
        <v>35</v>
      </c>
      <c r="C185" s="271" t="str">
        <f>'14thMAY'!E185</f>
        <v/>
      </c>
      <c r="D185" s="227">
        <v>3.8</v>
      </c>
      <c r="E185" s="247"/>
      <c r="F185" s="235" t="s">
        <v>35</v>
      </c>
      <c r="G185" s="285">
        <v>1.0</v>
      </c>
      <c r="H185" s="272" t="str">
        <f>'14thMAY'!J185</f>
        <v/>
      </c>
      <c r="I185" s="281">
        <v>1.0</v>
      </c>
      <c r="J185" s="284"/>
      <c r="K185" s="283">
        <v>1.0</v>
      </c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4.8</v>
      </c>
      <c r="N185" s="191"/>
      <c r="O185" s="247"/>
    </row>
    <row r="186">
      <c r="A186" s="12" t="s">
        <v>216</v>
      </c>
      <c r="B186" s="12" t="s">
        <v>17</v>
      </c>
      <c r="C186" s="271">
        <f>'14thMAY'!E186</f>
        <v>1</v>
      </c>
      <c r="D186" s="191"/>
      <c r="E186" s="247"/>
      <c r="F186" s="235" t="s">
        <v>17</v>
      </c>
      <c r="G186" s="235"/>
      <c r="H186" s="272" t="str">
        <f>'14thMAY'!J186</f>
        <v/>
      </c>
      <c r="I186" s="281">
        <v>1.0</v>
      </c>
      <c r="J186" s="282">
        <v>0.5</v>
      </c>
      <c r="K186" s="283">
        <v>1.0</v>
      </c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0.5</v>
      </c>
      <c r="N186" s="191"/>
      <c r="O186" s="247"/>
    </row>
    <row r="187">
      <c r="A187" s="12" t="s">
        <v>217</v>
      </c>
      <c r="B187" s="12" t="s">
        <v>35</v>
      </c>
      <c r="C187" s="271" t="str">
        <f>'14thMAY'!E187</f>
        <v/>
      </c>
      <c r="D187" s="191"/>
      <c r="E187" s="247"/>
      <c r="F187" s="235" t="s">
        <v>35</v>
      </c>
      <c r="G187" s="285">
        <v>0.5</v>
      </c>
      <c r="H187" s="272">
        <f>'14thMAY'!J187</f>
        <v>0.785</v>
      </c>
      <c r="I187" s="281">
        <v>1.0</v>
      </c>
      <c r="J187" s="282">
        <v>1.098</v>
      </c>
      <c r="K187" s="283">
        <v>1.0</v>
      </c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0.187</v>
      </c>
      <c r="N187" s="191"/>
      <c r="O187" s="247"/>
    </row>
    <row r="188">
      <c r="A188" s="12" t="s">
        <v>218</v>
      </c>
      <c r="B188" s="12" t="s">
        <v>17</v>
      </c>
      <c r="C188" s="271" t="str">
        <f>'14thMAY'!E188</f>
        <v/>
      </c>
      <c r="D188" s="227"/>
      <c r="E188" s="247"/>
      <c r="F188" s="235" t="s">
        <v>17</v>
      </c>
      <c r="G188" s="285">
        <v>4.0</v>
      </c>
      <c r="H188" s="272">
        <f>'14thMAY'!J188</f>
        <v>4</v>
      </c>
      <c r="I188" s="281">
        <v>1.0</v>
      </c>
      <c r="J188" s="282">
        <v>4.0</v>
      </c>
      <c r="K188" s="283">
        <v>1.0</v>
      </c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4</v>
      </c>
      <c r="N188" s="191"/>
      <c r="O188" s="247"/>
    </row>
    <row r="189">
      <c r="A189" s="12" t="s">
        <v>220</v>
      </c>
      <c r="B189" s="12" t="s">
        <v>35</v>
      </c>
      <c r="C189" s="271" t="str">
        <f>'14thMAY'!E189</f>
        <v/>
      </c>
      <c r="D189" s="191"/>
      <c r="E189" s="247"/>
      <c r="F189" s="235" t="s">
        <v>35</v>
      </c>
      <c r="G189" s="235"/>
      <c r="H189" s="272" t="str">
        <f>'14thMAY'!J189</f>
        <v/>
      </c>
      <c r="I189" s="281">
        <v>1.0</v>
      </c>
      <c r="J189" s="284"/>
      <c r="K189" s="283">
        <v>1.0</v>
      </c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'14thMAY'!E190</f>
        <v/>
      </c>
      <c r="D190" s="227">
        <v>26.0</v>
      </c>
      <c r="E190" s="247"/>
      <c r="F190" s="235" t="s">
        <v>17</v>
      </c>
      <c r="G190" s="235"/>
      <c r="H190" s="272">
        <f>'14thMAY'!J190</f>
        <v>3</v>
      </c>
      <c r="I190" s="281">
        <v>1.0</v>
      </c>
      <c r="J190" s="282">
        <v>5.0</v>
      </c>
      <c r="K190" s="283">
        <v>1.0</v>
      </c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24</v>
      </c>
      <c r="N190" s="191"/>
      <c r="O190" s="247"/>
    </row>
    <row r="191">
      <c r="A191" s="12" t="s">
        <v>222</v>
      </c>
      <c r="B191" s="12" t="s">
        <v>17</v>
      </c>
      <c r="C191" s="271" t="str">
        <f>'14thMAY'!E191</f>
        <v/>
      </c>
      <c r="D191" s="191"/>
      <c r="E191" s="247"/>
      <c r="F191" s="235" t="s">
        <v>17</v>
      </c>
      <c r="G191" s="235"/>
      <c r="H191" s="272" t="str">
        <f>'14thMAY'!J191</f>
        <v/>
      </c>
      <c r="I191" s="281">
        <v>1.0</v>
      </c>
      <c r="J191" s="284"/>
      <c r="K191" s="283">
        <v>1.0</v>
      </c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'14thMAY'!E192</f>
        <v/>
      </c>
      <c r="D192" s="227">
        <v>10.0</v>
      </c>
      <c r="E192" s="247"/>
      <c r="F192" s="235" t="s">
        <v>17</v>
      </c>
      <c r="G192" s="235"/>
      <c r="H192" s="272">
        <f>'14thMAY'!J192</f>
        <v>0.5</v>
      </c>
      <c r="I192" s="281">
        <v>1.0</v>
      </c>
      <c r="J192" s="282">
        <v>3.0</v>
      </c>
      <c r="K192" s="283">
        <v>1.0</v>
      </c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7.5</v>
      </c>
      <c r="N192" s="191"/>
      <c r="O192" s="247"/>
    </row>
    <row r="193">
      <c r="A193" s="12" t="s">
        <v>224</v>
      </c>
      <c r="B193" s="12" t="s">
        <v>202</v>
      </c>
      <c r="C193" s="271" t="str">
        <f>'14thMAY'!E193</f>
        <v/>
      </c>
      <c r="D193" s="227"/>
      <c r="E193" s="247"/>
      <c r="F193" s="235" t="s">
        <v>202</v>
      </c>
      <c r="G193" s="285">
        <v>1.0</v>
      </c>
      <c r="H193" s="272">
        <f>'14thMAY'!J193</f>
        <v>1</v>
      </c>
      <c r="I193" s="281">
        <v>1.0</v>
      </c>
      <c r="J193" s="282">
        <v>2.0</v>
      </c>
      <c r="K193" s="283">
        <v>1.0</v>
      </c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</v>
      </c>
      <c r="N193" s="191"/>
      <c r="O193" s="247"/>
    </row>
    <row r="194">
      <c r="A194" s="12" t="s">
        <v>225</v>
      </c>
      <c r="B194" s="12" t="s">
        <v>35</v>
      </c>
      <c r="C194" s="271" t="str">
        <f>'14thMAY'!E194</f>
        <v/>
      </c>
      <c r="D194" s="191"/>
      <c r="E194" s="247"/>
      <c r="F194" s="235" t="s">
        <v>35</v>
      </c>
      <c r="G194" s="235"/>
      <c r="H194" s="272">
        <f>'14thMAY'!J194</f>
        <v>0.705</v>
      </c>
      <c r="I194" s="281">
        <v>1.0</v>
      </c>
      <c r="J194" s="282">
        <v>0.5</v>
      </c>
      <c r="K194" s="283">
        <v>1.0</v>
      </c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0.205</v>
      </c>
      <c r="N194" s="191"/>
      <c r="O194" s="247"/>
    </row>
    <row r="195">
      <c r="A195" s="12" t="s">
        <v>227</v>
      </c>
      <c r="B195" s="12" t="s">
        <v>35</v>
      </c>
      <c r="C195" s="271" t="str">
        <f>'14thMAY'!E195</f>
        <v/>
      </c>
      <c r="D195" s="191"/>
      <c r="E195" s="247"/>
      <c r="F195" s="235" t="s">
        <v>35</v>
      </c>
      <c r="G195" s="285">
        <v>0.5</v>
      </c>
      <c r="H195" s="272">
        <f>'14thMAY'!J195</f>
        <v>0.313</v>
      </c>
      <c r="I195" s="281">
        <v>1.0</v>
      </c>
      <c r="J195" s="282">
        <v>0.5</v>
      </c>
      <c r="K195" s="283">
        <v>1.0</v>
      </c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0.313</v>
      </c>
      <c r="N195" s="191"/>
      <c r="O195" s="247"/>
    </row>
    <row r="196">
      <c r="A196" s="12" t="s">
        <v>228</v>
      </c>
      <c r="B196" s="12" t="s">
        <v>155</v>
      </c>
      <c r="C196" s="271" t="str">
        <f>'14thMAY'!E196</f>
        <v/>
      </c>
      <c r="D196" s="227">
        <v>1.0</v>
      </c>
      <c r="E196" s="247"/>
      <c r="F196" s="235" t="s">
        <v>35</v>
      </c>
      <c r="G196" s="235"/>
      <c r="H196" s="272">
        <f>'14thMAY'!J196</f>
        <v>0.144</v>
      </c>
      <c r="I196" s="281">
        <v>1.0</v>
      </c>
      <c r="J196" s="284"/>
      <c r="K196" s="283">
        <v>1.0</v>
      </c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0.632</v>
      </c>
      <c r="N196" s="191"/>
      <c r="O196" s="247"/>
    </row>
    <row r="197">
      <c r="A197" s="12" t="s">
        <v>229</v>
      </c>
      <c r="B197" s="12" t="s">
        <v>17</v>
      </c>
      <c r="C197" s="271" t="str">
        <f>'14thMAY'!E197</f>
        <v/>
      </c>
      <c r="D197" s="227">
        <v>4.5</v>
      </c>
      <c r="E197" s="247"/>
      <c r="F197" s="235" t="s">
        <v>17</v>
      </c>
      <c r="G197" s="235"/>
      <c r="H197" s="272">
        <f>'14thMAY'!J197</f>
        <v>2</v>
      </c>
      <c r="I197" s="281">
        <v>1.0</v>
      </c>
      <c r="J197" s="282">
        <v>0.3</v>
      </c>
      <c r="K197" s="283">
        <v>1.0</v>
      </c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6.2</v>
      </c>
      <c r="N197" s="191"/>
      <c r="O197" s="247"/>
    </row>
    <row r="198">
      <c r="A198" s="12" t="s">
        <v>231</v>
      </c>
      <c r="B198" s="12" t="s">
        <v>35</v>
      </c>
      <c r="C198" s="271" t="str">
        <f>'14thMAY'!E198</f>
        <v/>
      </c>
      <c r="D198" s="227">
        <v>1.3</v>
      </c>
      <c r="E198" s="247"/>
      <c r="F198" s="235" t="s">
        <v>35</v>
      </c>
      <c r="G198" s="235"/>
      <c r="H198" s="272">
        <f>'14thMAY'!J198</f>
        <v>0.988</v>
      </c>
      <c r="I198" s="281">
        <v>1.0</v>
      </c>
      <c r="J198" s="282"/>
      <c r="K198" s="283">
        <v>1.0</v>
      </c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2.288</v>
      </c>
      <c r="N198" s="191"/>
      <c r="O198" s="247"/>
    </row>
    <row r="199">
      <c r="A199" s="12" t="s">
        <v>232</v>
      </c>
      <c r="B199" s="12" t="s">
        <v>202</v>
      </c>
      <c r="C199" s="271" t="str">
        <f>'14thMAY'!E199</f>
        <v/>
      </c>
      <c r="D199" s="191"/>
      <c r="E199" s="247"/>
      <c r="F199" s="235" t="s">
        <v>202</v>
      </c>
      <c r="G199" s="285">
        <v>5.0</v>
      </c>
      <c r="H199" s="272">
        <f>'14thMAY'!J199</f>
        <v>0.25</v>
      </c>
      <c r="I199" s="281">
        <v>1.0</v>
      </c>
      <c r="J199" s="282">
        <v>0.25</v>
      </c>
      <c r="K199" s="283">
        <v>1.0</v>
      </c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5</v>
      </c>
      <c r="N199" s="191"/>
      <c r="O199" s="247"/>
    </row>
    <row r="200">
      <c r="A200" s="12" t="s">
        <v>233</v>
      </c>
      <c r="B200" s="12" t="s">
        <v>17</v>
      </c>
      <c r="C200" s="271" t="str">
        <f>'14thMAY'!E200</f>
        <v/>
      </c>
      <c r="D200" s="227">
        <v>4.0</v>
      </c>
      <c r="E200" s="280"/>
      <c r="F200" s="235" t="s">
        <v>234</v>
      </c>
      <c r="G200" s="285"/>
      <c r="H200" s="272">
        <f>'14thMAY'!J200</f>
        <v>2.5</v>
      </c>
      <c r="I200" s="281">
        <v>1.0</v>
      </c>
      <c r="J200" s="282">
        <v>2.0</v>
      </c>
      <c r="K200" s="283">
        <v>1.0</v>
      </c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4.5</v>
      </c>
      <c r="N200" s="191"/>
      <c r="O200" s="247"/>
    </row>
    <row r="201">
      <c r="A201" s="25" t="s">
        <v>235</v>
      </c>
      <c r="B201" s="26" t="s">
        <v>202</v>
      </c>
      <c r="C201" s="271" t="str">
        <f>'14thMAY'!E201</f>
        <v/>
      </c>
      <c r="D201" s="227">
        <v>1.0</v>
      </c>
      <c r="E201" s="247"/>
      <c r="F201" s="235" t="s">
        <v>202</v>
      </c>
      <c r="G201" s="235"/>
      <c r="H201" s="272">
        <f>'14thMAY'!J201</f>
        <v>0.5</v>
      </c>
      <c r="I201" s="281">
        <v>1.0</v>
      </c>
      <c r="J201" s="282">
        <v>0.5</v>
      </c>
      <c r="K201" s="283">
        <v>1.0</v>
      </c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1</v>
      </c>
      <c r="N201" s="191"/>
      <c r="O201" s="247"/>
    </row>
    <row r="202">
      <c r="A202" s="25" t="s">
        <v>236</v>
      </c>
      <c r="B202" s="26" t="s">
        <v>237</v>
      </c>
      <c r="C202" s="271" t="str">
        <f>'14thMAY'!E202</f>
        <v/>
      </c>
      <c r="D202" s="227">
        <v>1.0</v>
      </c>
      <c r="E202" s="247"/>
      <c r="F202" s="235" t="s">
        <v>35</v>
      </c>
      <c r="G202" s="235"/>
      <c r="H202" s="272">
        <f>'14thMAY'!J202</f>
        <v>1</v>
      </c>
      <c r="I202" s="281">
        <v>1.0</v>
      </c>
      <c r="J202" s="282">
        <v>1.3</v>
      </c>
      <c r="K202" s="283">
        <v>1.0</v>
      </c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0.7</v>
      </c>
      <c r="N202" s="191"/>
      <c r="O202" s="247"/>
    </row>
    <row r="203">
      <c r="A203" s="25" t="s">
        <v>238</v>
      </c>
      <c r="B203" s="26" t="s">
        <v>202</v>
      </c>
      <c r="C203" s="271" t="str">
        <f>'14thMAY'!E203</f>
        <v/>
      </c>
      <c r="D203" s="227">
        <v>1.0</v>
      </c>
      <c r="E203" s="247"/>
      <c r="F203" s="235" t="s">
        <v>202</v>
      </c>
      <c r="G203" s="235"/>
      <c r="H203" s="272" t="str">
        <f>'14thMAY'!J203</f>
        <v/>
      </c>
      <c r="I203" s="281">
        <v>1.0</v>
      </c>
      <c r="J203" s="282"/>
      <c r="K203" s="283">
        <v>1.0</v>
      </c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1</v>
      </c>
      <c r="N203" s="191"/>
      <c r="O203" s="247"/>
    </row>
    <row r="204">
      <c r="A204" s="25" t="s">
        <v>239</v>
      </c>
      <c r="B204" s="26" t="s">
        <v>35</v>
      </c>
      <c r="C204" s="271" t="str">
        <f>'14thMAY'!E204</f>
        <v/>
      </c>
      <c r="D204" s="191"/>
      <c r="E204" s="247"/>
      <c r="F204" s="235" t="s">
        <v>35</v>
      </c>
      <c r="G204" s="235"/>
      <c r="H204" s="272" t="str">
        <f>'14thMAY'!J204</f>
        <v/>
      </c>
      <c r="I204" s="281">
        <v>1.0</v>
      </c>
      <c r="J204" s="284"/>
      <c r="K204" s="283">
        <v>1.0</v>
      </c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'14thMAY'!E205</f>
        <v/>
      </c>
      <c r="D205" s="227"/>
      <c r="E205" s="247"/>
      <c r="F205" s="235" t="s">
        <v>17</v>
      </c>
      <c r="G205" s="285">
        <v>6.0</v>
      </c>
      <c r="H205" s="272">
        <f>'14thMAY'!J205</f>
        <v>2</v>
      </c>
      <c r="I205" s="281">
        <v>1.0</v>
      </c>
      <c r="J205" s="282">
        <v>2.0</v>
      </c>
      <c r="K205" s="283">
        <v>1.0</v>
      </c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6</v>
      </c>
      <c r="N205" s="191"/>
      <c r="O205" s="247"/>
    </row>
    <row r="206">
      <c r="A206" s="12" t="s">
        <v>242</v>
      </c>
      <c r="B206" s="12" t="s">
        <v>35</v>
      </c>
      <c r="C206" s="271" t="str">
        <f>'14thMAY'!E206</f>
        <v/>
      </c>
      <c r="D206" s="227"/>
      <c r="E206" s="247"/>
      <c r="F206" s="235" t="s">
        <v>35</v>
      </c>
      <c r="G206" s="285">
        <v>200.0</v>
      </c>
      <c r="H206" s="272">
        <f>'14thMAY'!J206</f>
        <v>40.15</v>
      </c>
      <c r="I206" s="281">
        <v>1.0</v>
      </c>
      <c r="J206" s="282"/>
      <c r="K206" s="283">
        <v>1.0</v>
      </c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240.15</v>
      </c>
      <c r="N206" s="191"/>
      <c r="O206" s="247"/>
    </row>
    <row r="207">
      <c r="A207" s="12" t="s">
        <v>243</v>
      </c>
      <c r="B207" s="12" t="s">
        <v>241</v>
      </c>
      <c r="C207" s="271" t="str">
        <f>'14thMAY'!E207</f>
        <v/>
      </c>
      <c r="D207" s="227">
        <v>37.0</v>
      </c>
      <c r="E207" s="247"/>
      <c r="F207" s="235" t="s">
        <v>17</v>
      </c>
      <c r="G207" s="285"/>
      <c r="H207" s="272">
        <f>'14thMAY'!J207</f>
        <v>2</v>
      </c>
      <c r="I207" s="281">
        <v>1.0</v>
      </c>
      <c r="J207" s="282"/>
      <c r="K207" s="283">
        <v>1.0</v>
      </c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39</v>
      </c>
      <c r="N207" s="191"/>
      <c r="O207" s="247"/>
    </row>
    <row r="208">
      <c r="A208" s="10" t="s">
        <v>245</v>
      </c>
      <c r="B208" s="11"/>
      <c r="C208" s="271" t="str">
        <f>'14thMAY'!E208</f>
        <v/>
      </c>
      <c r="D208" s="191"/>
      <c r="E208" s="247"/>
      <c r="F208" s="235"/>
      <c r="G208" s="235"/>
      <c r="H208" s="272" t="str">
        <f>'14thMAY'!J208</f>
        <v/>
      </c>
      <c r="I208" s="281">
        <v>1.0</v>
      </c>
      <c r="J208" s="284"/>
      <c r="K208" s="283">
        <v>1.0</v>
      </c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'14thMAY'!E209</f>
        <v/>
      </c>
      <c r="D209" s="227"/>
      <c r="E209" s="247"/>
      <c r="F209" s="235" t="s">
        <v>155</v>
      </c>
      <c r="G209" s="285"/>
      <c r="H209" s="272" t="str">
        <f>'14thMAY'!J209</f>
        <v/>
      </c>
      <c r="I209" s="281">
        <v>1.0</v>
      </c>
      <c r="J209" s="282"/>
      <c r="K209" s="283">
        <v>1.0</v>
      </c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</v>
      </c>
      <c r="N209" s="191"/>
      <c r="O209" s="247"/>
    </row>
    <row r="210">
      <c r="A210" s="12" t="s">
        <v>247</v>
      </c>
      <c r="B210" s="13" t="s">
        <v>59</v>
      </c>
      <c r="C210" s="271">
        <f>'14thMAY'!E210</f>
        <v>1</v>
      </c>
      <c r="D210" s="227">
        <v>4.0</v>
      </c>
      <c r="E210" s="280">
        <v>1.0</v>
      </c>
      <c r="F210" s="235" t="s">
        <v>35</v>
      </c>
      <c r="G210" s="235"/>
      <c r="H210" s="272" t="str">
        <f>'14thMAY'!J210</f>
        <v/>
      </c>
      <c r="I210" s="281">
        <v>1.0</v>
      </c>
      <c r="J210" s="282"/>
      <c r="K210" s="283">
        <v>1.0</v>
      </c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2</v>
      </c>
      <c r="N210" s="191"/>
      <c r="O210" s="247"/>
    </row>
    <row r="211">
      <c r="A211" s="12" t="s">
        <v>248</v>
      </c>
      <c r="B211" s="13" t="s">
        <v>59</v>
      </c>
      <c r="C211" s="271">
        <f>'14thMAY'!E211</f>
        <v>1</v>
      </c>
      <c r="D211" s="227">
        <v>3.0</v>
      </c>
      <c r="E211" s="280">
        <v>2.0</v>
      </c>
      <c r="F211" s="235" t="s">
        <v>35</v>
      </c>
      <c r="G211" s="235"/>
      <c r="H211" s="272" t="str">
        <f>'14thMAY'!J211</f>
        <v/>
      </c>
      <c r="I211" s="281">
        <v>1.0</v>
      </c>
      <c r="J211" s="284"/>
      <c r="K211" s="283">
        <v>1.0</v>
      </c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0.9</v>
      </c>
      <c r="N211" s="191"/>
      <c r="O211" s="247"/>
    </row>
    <row r="212">
      <c r="A212" s="12" t="s">
        <v>250</v>
      </c>
      <c r="B212" s="13" t="s">
        <v>59</v>
      </c>
      <c r="C212" s="271" t="str">
        <f>'14thMAY'!E212</f>
        <v/>
      </c>
      <c r="D212" s="191"/>
      <c r="E212" s="280"/>
      <c r="F212" s="235" t="s">
        <v>35</v>
      </c>
      <c r="G212" s="235"/>
      <c r="H212" s="272" t="str">
        <f>'14thMAY'!J212</f>
        <v/>
      </c>
      <c r="I212" s="281">
        <v>1.0</v>
      </c>
      <c r="J212" s="284"/>
      <c r="K212" s="283">
        <v>1.0</v>
      </c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</v>
      </c>
      <c r="N212" s="191"/>
      <c r="O212" s="247"/>
    </row>
    <row r="213">
      <c r="A213" s="12" t="s">
        <v>251</v>
      </c>
      <c r="B213" s="13" t="s">
        <v>34</v>
      </c>
      <c r="C213" s="271" t="str">
        <f>'14thMAY'!E213</f>
        <v/>
      </c>
      <c r="D213" s="191"/>
      <c r="E213" s="247"/>
      <c r="F213" s="235" t="s">
        <v>35</v>
      </c>
      <c r="G213" s="235"/>
      <c r="H213" s="272" t="str">
        <f>'14thMAY'!J213</f>
        <v/>
      </c>
      <c r="I213" s="281">
        <v>1.0</v>
      </c>
      <c r="J213" s="284"/>
      <c r="K213" s="283">
        <v>1.0</v>
      </c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'14thMAY'!E214</f>
        <v/>
      </c>
      <c r="D214" s="191"/>
      <c r="E214" s="247"/>
      <c r="F214" s="235"/>
      <c r="G214" s="235"/>
      <c r="H214" s="272" t="str">
        <f>'14thMAY'!J214</f>
        <v/>
      </c>
      <c r="I214" s="281">
        <v>1.0</v>
      </c>
      <c r="J214" s="284"/>
      <c r="K214" s="283">
        <v>1.0</v>
      </c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'14thMAY'!E215</f>
        <v/>
      </c>
      <c r="D215" s="191"/>
      <c r="E215" s="247"/>
      <c r="F215" s="235" t="s">
        <v>254</v>
      </c>
      <c r="G215" s="235"/>
      <c r="H215" s="272" t="str">
        <f>'14thMAY'!J215</f>
        <v/>
      </c>
      <c r="I215" s="281">
        <v>1.0</v>
      </c>
      <c r="J215" s="284"/>
      <c r="K215" s="283">
        <v>1.0</v>
      </c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'14thMAY'!E216</f>
        <v/>
      </c>
      <c r="D216" s="191"/>
      <c r="E216" s="247"/>
      <c r="F216" s="235" t="s">
        <v>234</v>
      </c>
      <c r="G216" s="235"/>
      <c r="H216" s="272" t="str">
        <f>'14thMAY'!J216</f>
        <v/>
      </c>
      <c r="I216" s="281">
        <v>1.0</v>
      </c>
      <c r="J216" s="284"/>
      <c r="K216" s="283">
        <v>1.0</v>
      </c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'14thMAY'!E217</f>
        <v/>
      </c>
      <c r="D217" s="227">
        <v>13.0</v>
      </c>
      <c r="E217" s="247"/>
      <c r="F217" s="235" t="s">
        <v>17</v>
      </c>
      <c r="G217" s="235"/>
      <c r="H217" s="272">
        <f>'14thMAY'!J217</f>
        <v>13</v>
      </c>
      <c r="I217" s="281">
        <v>1.0</v>
      </c>
      <c r="J217" s="282">
        <v>6.0</v>
      </c>
      <c r="K217" s="283">
        <v>1.0</v>
      </c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20</v>
      </c>
      <c r="N217" s="191"/>
      <c r="O217" s="247"/>
    </row>
    <row r="218">
      <c r="A218" s="12" t="s">
        <v>260</v>
      </c>
      <c r="B218" s="12" t="s">
        <v>261</v>
      </c>
      <c r="C218" s="271">
        <f>'14thMAY'!E218</f>
        <v>1</v>
      </c>
      <c r="D218" s="191"/>
      <c r="E218" s="280">
        <v>1.0</v>
      </c>
      <c r="F218" s="235" t="s">
        <v>35</v>
      </c>
      <c r="G218" s="235"/>
      <c r="H218" s="272" t="str">
        <f>'14thMAY'!J218</f>
        <v/>
      </c>
      <c r="I218" s="281">
        <v>1.0</v>
      </c>
      <c r="J218" s="282"/>
      <c r="K218" s="283">
        <v>1.0</v>
      </c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</v>
      </c>
      <c r="N218" s="191"/>
      <c r="O218" s="247"/>
    </row>
    <row r="219">
      <c r="A219" s="12" t="s">
        <v>263</v>
      </c>
      <c r="B219" s="12" t="s">
        <v>17</v>
      </c>
      <c r="C219" s="271" t="str">
        <f>'14thMAY'!E219</f>
        <v/>
      </c>
      <c r="D219" s="227">
        <v>100.0</v>
      </c>
      <c r="E219" s="247"/>
      <c r="F219" s="235" t="s">
        <v>17</v>
      </c>
      <c r="G219" s="235"/>
      <c r="H219" s="272">
        <f>'14thMAY'!J219</f>
        <v>17</v>
      </c>
      <c r="I219" s="281">
        <v>1.0</v>
      </c>
      <c r="J219" s="282">
        <v>65.0</v>
      </c>
      <c r="K219" s="283">
        <v>1.0</v>
      </c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52</v>
      </c>
      <c r="N219" s="191"/>
      <c r="O219" s="247"/>
    </row>
    <row r="220">
      <c r="A220" s="12" t="s">
        <v>264</v>
      </c>
      <c r="B220" s="12" t="s">
        <v>261</v>
      </c>
      <c r="C220" s="271">
        <f>'14thMAY'!E220</f>
        <v>1</v>
      </c>
      <c r="D220" s="191"/>
      <c r="E220" s="280">
        <v>1.0</v>
      </c>
      <c r="F220" s="235" t="s">
        <v>35</v>
      </c>
      <c r="G220" s="235"/>
      <c r="H220" s="272" t="str">
        <f>'14thMAY'!J220</f>
        <v/>
      </c>
      <c r="I220" s="281">
        <v>1.0</v>
      </c>
      <c r="J220" s="284"/>
      <c r="K220" s="283">
        <v>1.0</v>
      </c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</v>
      </c>
      <c r="N220" s="191"/>
      <c r="O220" s="247"/>
    </row>
    <row r="221">
      <c r="A221" s="12" t="s">
        <v>265</v>
      </c>
      <c r="B221" s="12" t="s">
        <v>40</v>
      </c>
      <c r="C221" s="271" t="str">
        <f>'14thMAY'!E221</f>
        <v/>
      </c>
      <c r="D221" s="227">
        <v>4.0</v>
      </c>
      <c r="E221" s="247"/>
      <c r="F221" s="235" t="s">
        <v>17</v>
      </c>
      <c r="G221" s="235"/>
      <c r="H221" s="272">
        <f>'14thMAY'!J221</f>
        <v>54</v>
      </c>
      <c r="I221" s="281">
        <v>1.0</v>
      </c>
      <c r="J221" s="282">
        <v>35.0</v>
      </c>
      <c r="K221" s="283">
        <v>1.0</v>
      </c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119</v>
      </c>
      <c r="N221" s="191"/>
      <c r="O221" s="247"/>
    </row>
    <row r="222">
      <c r="A222" s="12" t="s">
        <v>266</v>
      </c>
      <c r="B222" s="12" t="s">
        <v>267</v>
      </c>
      <c r="C222" s="271" t="str">
        <f>'14thMAY'!E222</f>
        <v/>
      </c>
      <c r="D222" s="227">
        <v>2.0</v>
      </c>
      <c r="E222" s="247"/>
      <c r="F222" s="235" t="s">
        <v>17</v>
      </c>
      <c r="G222" s="235"/>
      <c r="H222" s="272">
        <f>'14thMAY'!J222</f>
        <v>31</v>
      </c>
      <c r="I222" s="281">
        <v>1.0</v>
      </c>
      <c r="J222" s="282">
        <v>56.0</v>
      </c>
      <c r="K222" s="283">
        <v>1.0</v>
      </c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75</v>
      </c>
      <c r="N222" s="191"/>
      <c r="O222" s="247"/>
    </row>
    <row r="223">
      <c r="A223" s="12" t="s">
        <v>268</v>
      </c>
      <c r="B223" s="12" t="s">
        <v>40</v>
      </c>
      <c r="C223" s="271" t="str">
        <f>'14thMAY'!E223</f>
        <v/>
      </c>
      <c r="D223" s="227">
        <v>3.0</v>
      </c>
      <c r="E223" s="247"/>
      <c r="F223" s="235" t="s">
        <v>17</v>
      </c>
      <c r="G223" s="235"/>
      <c r="H223" s="272">
        <f>'14thMAY'!J223</f>
        <v>20</v>
      </c>
      <c r="I223" s="281">
        <v>1.0</v>
      </c>
      <c r="J223" s="282">
        <v>14.0</v>
      </c>
      <c r="K223" s="283">
        <v>1.0</v>
      </c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81</v>
      </c>
      <c r="N223" s="191"/>
      <c r="O223" s="247"/>
    </row>
    <row r="224">
      <c r="A224" s="12" t="s">
        <v>269</v>
      </c>
      <c r="B224" s="294" t="s">
        <v>40</v>
      </c>
      <c r="C224" s="271" t="str">
        <f>'14thMAY'!E224</f>
        <v/>
      </c>
      <c r="D224" s="227">
        <v>2.0</v>
      </c>
      <c r="E224" s="191"/>
      <c r="F224" s="191" t="s">
        <v>17</v>
      </c>
      <c r="G224" s="191"/>
      <c r="H224" s="272">
        <f>'14thMAY'!J224</f>
        <v>37</v>
      </c>
      <c r="I224" s="281">
        <v>1.0</v>
      </c>
      <c r="J224" s="227">
        <v>61.0</v>
      </c>
      <c r="K224" s="283">
        <v>1.0</v>
      </c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76</v>
      </c>
      <c r="N224" s="191"/>
      <c r="O224" s="247"/>
    </row>
    <row r="225">
      <c r="A225" s="12" t="s">
        <v>270</v>
      </c>
      <c r="B225" s="294" t="s">
        <v>40</v>
      </c>
      <c r="C225" s="271" t="str">
        <f>'14thMAY'!E225</f>
        <v/>
      </c>
      <c r="D225" s="191"/>
      <c r="E225" s="191"/>
      <c r="F225" s="191" t="s">
        <v>17</v>
      </c>
      <c r="G225" s="191"/>
      <c r="H225" s="272">
        <f>'14thMAY'!J225</f>
        <v>13</v>
      </c>
      <c r="I225" s="281">
        <v>1.0</v>
      </c>
      <c r="J225" s="227">
        <v>7.0</v>
      </c>
      <c r="K225" s="283">
        <v>1.0</v>
      </c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6</v>
      </c>
      <c r="N225" s="191"/>
      <c r="O225" s="247"/>
    </row>
    <row r="226">
      <c r="A226" s="12" t="s">
        <v>271</v>
      </c>
      <c r="B226" s="294" t="s">
        <v>40</v>
      </c>
      <c r="C226" s="271"/>
      <c r="D226" s="227">
        <v>4.0</v>
      </c>
      <c r="E226" s="191"/>
      <c r="F226" s="191" t="s">
        <v>17</v>
      </c>
      <c r="G226" s="191"/>
      <c r="H226" s="272">
        <f>'14thMAY'!J226</f>
        <v>11</v>
      </c>
      <c r="I226" s="281">
        <v>1.0</v>
      </c>
      <c r="J226" s="227">
        <v>29.0</v>
      </c>
      <c r="K226" s="283">
        <v>1.0</v>
      </c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182</v>
      </c>
      <c r="N226" s="191"/>
      <c r="O226" s="247"/>
    </row>
    <row r="227">
      <c r="A227" s="12" t="s">
        <v>272</v>
      </c>
      <c r="B227" s="294" t="s">
        <v>40</v>
      </c>
      <c r="C227" s="271" t="str">
        <f>'14thMAY'!E227</f>
        <v/>
      </c>
      <c r="D227" s="297">
        <v>23.0</v>
      </c>
      <c r="E227" s="296"/>
      <c r="F227" s="296" t="s">
        <v>17</v>
      </c>
      <c r="G227" s="296"/>
      <c r="H227" s="272">
        <f>'14thMAY'!J227</f>
        <v>7</v>
      </c>
      <c r="I227" s="281">
        <v>1.0</v>
      </c>
      <c r="J227" s="297">
        <v>7.0</v>
      </c>
      <c r="K227" s="283">
        <v>1.0</v>
      </c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23</v>
      </c>
      <c r="N227" s="296"/>
      <c r="O227" s="299"/>
    </row>
    <row r="228">
      <c r="A228" s="23"/>
      <c r="B228" s="11"/>
      <c r="C228" s="271" t="str">
        <f>'14thMAY'!E228</f>
        <v/>
      </c>
      <c r="D228" s="11"/>
      <c r="E228" s="11"/>
      <c r="F228" s="11"/>
      <c r="G228" s="11"/>
      <c r="H228" s="272" t="str">
        <f>'14thMAY'!J228</f>
        <v/>
      </c>
      <c r="I228" s="28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'14thMAY'!E229</f>
        <v/>
      </c>
      <c r="D229" s="11"/>
      <c r="E229" s="11"/>
      <c r="F229" s="11"/>
      <c r="G229" s="11"/>
      <c r="H229" s="272" t="str">
        <f>'14thMAY'!J229</f>
        <v/>
      </c>
      <c r="I229" s="281"/>
      <c r="J229" s="11"/>
      <c r="K229" s="283"/>
      <c r="L229" s="11"/>
      <c r="M229" s="11"/>
      <c r="N229" s="11"/>
      <c r="O229" s="11"/>
    </row>
    <row r="230">
      <c r="A230" s="11"/>
      <c r="B230" s="11"/>
      <c r="C230" s="271" t="str">
        <f>'14thMAY'!E230</f>
        <v/>
      </c>
      <c r="D230" s="11"/>
      <c r="E230" s="11"/>
      <c r="F230" s="11"/>
      <c r="G230" s="11"/>
      <c r="H230" s="272" t="str">
        <f>'14thMAY'!J230</f>
        <v/>
      </c>
      <c r="I230" s="281"/>
      <c r="J230" s="11"/>
      <c r="K230" s="283"/>
      <c r="L230" s="11"/>
      <c r="M230" s="11"/>
      <c r="N230" s="11"/>
      <c r="O230" s="11"/>
    </row>
    <row r="231">
      <c r="A231" s="11"/>
      <c r="B231" s="11"/>
      <c r="C231" s="271" t="str">
        <f>'14thMAY'!E231</f>
        <v/>
      </c>
      <c r="D231" s="11"/>
      <c r="E231" s="11"/>
      <c r="F231" s="11"/>
      <c r="G231" s="11"/>
      <c r="H231" s="272" t="str">
        <f>'14thMAY'!J231</f>
        <v/>
      </c>
      <c r="I231" s="281"/>
      <c r="J231" s="11"/>
      <c r="K231" s="283"/>
      <c r="L231" s="11"/>
      <c r="M231" s="11"/>
      <c r="N231" s="11"/>
      <c r="O231" s="11"/>
    </row>
    <row r="232">
      <c r="A232" s="11"/>
      <c r="B232" s="11"/>
      <c r="C232" s="271" t="str">
        <f>'14thMAY'!E232</f>
        <v/>
      </c>
      <c r="D232" s="11"/>
      <c r="E232" s="11"/>
      <c r="F232" s="11"/>
      <c r="G232" s="11"/>
      <c r="H232" s="272" t="str">
        <f>'14thMAY'!J232</f>
        <v/>
      </c>
      <c r="I232" s="281"/>
      <c r="J232" s="11"/>
      <c r="K232" s="283"/>
      <c r="L232" s="11"/>
      <c r="M232" s="11"/>
      <c r="N232" s="11"/>
      <c r="O232" s="11"/>
    </row>
    <row r="233">
      <c r="A233" s="11"/>
      <c r="B233" s="11"/>
      <c r="C233" s="271" t="str">
        <f>'14thMAY'!E233</f>
        <v/>
      </c>
      <c r="D233" s="11"/>
      <c r="E233" s="11"/>
      <c r="F233" s="11"/>
      <c r="G233" s="11"/>
      <c r="H233" s="272" t="str">
        <f>'14thMAY'!J233</f>
        <v/>
      </c>
      <c r="I233" s="11"/>
      <c r="J233" s="11"/>
      <c r="K233" s="283"/>
      <c r="L233" s="11"/>
      <c r="M233" s="11"/>
      <c r="N233" s="11"/>
      <c r="O233" s="11"/>
    </row>
    <row r="234">
      <c r="A234" s="11"/>
      <c r="B234" s="11"/>
      <c r="C234" s="271" t="str">
        <f>'14thMAY'!E234</f>
        <v/>
      </c>
      <c r="D234" s="11"/>
      <c r="E234" s="11"/>
      <c r="F234" s="11"/>
      <c r="G234" s="11"/>
      <c r="H234" s="272" t="str">
        <f>'14thMAY'!J234</f>
        <v/>
      </c>
      <c r="I234" s="11"/>
      <c r="J234" s="11"/>
      <c r="K234" s="283"/>
      <c r="L234" s="11"/>
      <c r="M234" s="11"/>
      <c r="N234" s="11"/>
      <c r="O234" s="11"/>
    </row>
    <row r="235">
      <c r="A235" s="11"/>
      <c r="B235" s="11"/>
      <c r="C235" s="271" t="str">
        <f>'14thMAY'!E235</f>
        <v/>
      </c>
      <c r="D235" s="11"/>
      <c r="E235" s="11"/>
      <c r="F235" s="11"/>
      <c r="G235" s="11"/>
      <c r="H235" s="272" t="str">
        <f>'14thMAY'!J235</f>
        <v/>
      </c>
      <c r="I235" s="11"/>
      <c r="J235" s="11"/>
      <c r="K235" s="283"/>
      <c r="L235" s="11"/>
      <c r="M235" s="11"/>
      <c r="N235" s="11"/>
      <c r="O235" s="11"/>
    </row>
    <row r="236">
      <c r="A236" s="11"/>
      <c r="B236" s="11"/>
      <c r="C236" s="271" t="str">
        <f>'14thMAY'!E236</f>
        <v/>
      </c>
      <c r="D236" s="11"/>
      <c r="E236" s="11"/>
      <c r="F236" s="11"/>
      <c r="G236" s="11"/>
      <c r="H236" s="272" t="str">
        <f>'14thMAY'!J236</f>
        <v/>
      </c>
      <c r="I236" s="11"/>
      <c r="J236" s="11"/>
      <c r="K236" s="283"/>
      <c r="L236" s="11"/>
      <c r="M236" s="11"/>
      <c r="N236" s="11"/>
      <c r="O236" s="11"/>
    </row>
    <row r="237">
      <c r="A237" s="11"/>
      <c r="B237" s="11"/>
      <c r="C237" s="271" t="str">
        <f>'14thMAY'!E237</f>
        <v/>
      </c>
      <c r="D237" s="11"/>
      <c r="E237" s="11"/>
      <c r="F237" s="11"/>
      <c r="G237" s="11"/>
      <c r="H237" s="272" t="str">
        <f>'14thMAY'!J237</f>
        <v/>
      </c>
      <c r="I237" s="11"/>
      <c r="J237" s="11"/>
      <c r="K237" s="283"/>
      <c r="L237" s="11"/>
      <c r="M237" s="11"/>
      <c r="N237" s="11"/>
      <c r="O237" s="11"/>
    </row>
    <row r="238">
      <c r="A238" s="11"/>
      <c r="B238" s="11"/>
      <c r="C238" s="271" t="str">
        <f>'14thMAY'!E238</f>
        <v/>
      </c>
      <c r="D238" s="11"/>
      <c r="E238" s="11"/>
      <c r="F238" s="11"/>
      <c r="G238" s="11"/>
      <c r="H238" s="272" t="str">
        <f>'14thMAY'!J238</f>
        <v/>
      </c>
      <c r="I238" s="11"/>
      <c r="J238" s="11"/>
      <c r="K238" s="283"/>
      <c r="L238" s="11"/>
      <c r="M238" s="11"/>
      <c r="N238" s="11"/>
      <c r="O238" s="11"/>
    </row>
    <row r="239">
      <c r="A239" s="11"/>
      <c r="B239" s="11"/>
      <c r="C239" s="271" t="str">
        <f>'14thMAY'!E239</f>
        <v/>
      </c>
      <c r="D239" s="11"/>
      <c r="E239" s="11"/>
      <c r="F239" s="11"/>
      <c r="G239" s="11"/>
      <c r="H239" s="272" t="str">
        <f>'14thMAY'!J239</f>
        <v/>
      </c>
      <c r="I239" s="11"/>
      <c r="J239" s="11"/>
      <c r="K239" s="283"/>
      <c r="L239" s="11"/>
      <c r="M239" s="11"/>
      <c r="N239" s="11"/>
      <c r="O239" s="11"/>
    </row>
    <row r="240">
      <c r="A240" s="11"/>
      <c r="B240" s="11"/>
      <c r="C240" s="271" t="str">
        <f>'14thMAY'!E240</f>
        <v/>
      </c>
      <c r="D240" s="11"/>
      <c r="E240" s="11"/>
      <c r="F240" s="11"/>
      <c r="G240" s="11"/>
      <c r="H240" s="272" t="str">
        <f>'14thMAY'!J240</f>
        <v/>
      </c>
      <c r="I240" s="11"/>
      <c r="J240" s="11"/>
      <c r="K240" s="283"/>
      <c r="L240" s="11"/>
      <c r="M240" s="11"/>
      <c r="N240" s="11"/>
      <c r="O240" s="11"/>
    </row>
    <row r="241">
      <c r="A241" s="11"/>
      <c r="B241" s="11"/>
      <c r="C241" s="271" t="str">
        <f>'14thMAY'!E241</f>
        <v/>
      </c>
      <c r="D241" s="11"/>
      <c r="E241" s="11"/>
      <c r="F241" s="11"/>
      <c r="G241" s="11"/>
      <c r="H241" s="272" t="str">
        <f>'14thMAY'!J241</f>
        <v/>
      </c>
      <c r="I241" s="11"/>
      <c r="J241" s="11"/>
      <c r="K241" s="283"/>
      <c r="L241" s="11"/>
      <c r="M241" s="11"/>
      <c r="N241" s="11"/>
      <c r="O241" s="11"/>
    </row>
    <row r="242">
      <c r="A242" s="11"/>
      <c r="B242" s="11"/>
      <c r="C242" s="271" t="str">
        <f>'14thMAY'!E242</f>
        <v/>
      </c>
      <c r="D242" s="11"/>
      <c r="E242" s="11"/>
      <c r="F242" s="11"/>
      <c r="G242" s="11"/>
      <c r="H242" s="272" t="str">
        <f>'14thMAY'!J242</f>
        <v/>
      </c>
      <c r="I242" s="11"/>
      <c r="J242" s="11"/>
      <c r="K242" s="283"/>
      <c r="L242" s="11"/>
      <c r="M242" s="11"/>
      <c r="N242" s="11"/>
      <c r="O242" s="11"/>
    </row>
    <row r="243">
      <c r="A243" s="11"/>
      <c r="B243" s="11"/>
      <c r="C243" s="271" t="str">
        <f>'14thMAY'!E243</f>
        <v/>
      </c>
      <c r="D243" s="11"/>
      <c r="E243" s="11"/>
      <c r="F243" s="11"/>
      <c r="G243" s="11"/>
      <c r="H243" s="272" t="str">
        <f>'14thMAY'!J243</f>
        <v/>
      </c>
      <c r="I243" s="11"/>
      <c r="J243" s="11"/>
      <c r="K243" s="283"/>
      <c r="L243" s="11"/>
      <c r="M243" s="11"/>
      <c r="N243" s="11"/>
      <c r="O243" s="11"/>
    </row>
    <row r="244">
      <c r="A244" s="11"/>
      <c r="B244" s="11"/>
      <c r="C244" s="271" t="str">
        <f>'14thMAY'!E244</f>
        <v/>
      </c>
      <c r="D244" s="11"/>
      <c r="E244" s="11"/>
      <c r="F244" s="11"/>
      <c r="G244" s="11"/>
      <c r="H244" s="272" t="str">
        <f>'14thMAY'!J244</f>
        <v/>
      </c>
      <c r="I244" s="11"/>
      <c r="J244" s="11"/>
      <c r="K244" s="283"/>
      <c r="L244" s="11"/>
      <c r="M244" s="11"/>
      <c r="N244" s="11"/>
      <c r="O244" s="11"/>
    </row>
    <row r="245">
      <c r="A245" s="11"/>
      <c r="B245" s="11"/>
      <c r="C245" s="271" t="str">
        <f>'14thMAY'!E245</f>
        <v/>
      </c>
      <c r="D245" s="11"/>
      <c r="E245" s="11"/>
      <c r="F245" s="11"/>
      <c r="G245" s="11"/>
      <c r="H245" s="272" t="str">
        <f>'14thMAY'!J245</f>
        <v/>
      </c>
      <c r="I245" s="11"/>
      <c r="J245" s="11"/>
      <c r="K245" s="283"/>
      <c r="L245" s="11"/>
      <c r="M245" s="11"/>
      <c r="N245" s="11"/>
      <c r="O245" s="11"/>
    </row>
    <row r="246">
      <c r="A246" s="11"/>
      <c r="B246" s="11"/>
      <c r="C246" s="271" t="str">
        <f>'14thMAY'!E246</f>
        <v/>
      </c>
      <c r="D246" s="11"/>
      <c r="E246" s="11"/>
      <c r="F246" s="11"/>
      <c r="G246" s="11"/>
      <c r="H246" s="272" t="str">
        <f>'14thMAY'!J246</f>
        <v/>
      </c>
      <c r="I246" s="11"/>
      <c r="J246" s="11"/>
      <c r="K246" s="283"/>
      <c r="L246" s="11"/>
      <c r="M246" s="11"/>
      <c r="N246" s="11"/>
      <c r="O246" s="11"/>
    </row>
    <row r="247">
      <c r="A247" s="11"/>
      <c r="B247" s="11"/>
      <c r="C247" s="271" t="str">
        <f>'14thMAY'!E247</f>
        <v/>
      </c>
      <c r="D247" s="11"/>
      <c r="E247" s="11"/>
      <c r="F247" s="11"/>
      <c r="G247" s="11"/>
      <c r="H247" s="272" t="str">
        <f>'14thMAY'!J247</f>
        <v/>
      </c>
      <c r="I247" s="11"/>
      <c r="J247" s="11"/>
      <c r="K247" s="283"/>
      <c r="L247" s="11"/>
      <c r="M247" s="11"/>
      <c r="N247" s="11"/>
      <c r="O247" s="11"/>
    </row>
    <row r="248">
      <c r="A248" s="11"/>
      <c r="B248" s="11"/>
      <c r="C248" s="271" t="str">
        <f>'14thMAY'!E248</f>
        <v/>
      </c>
      <c r="D248" s="11"/>
      <c r="E248" s="11"/>
      <c r="F248" s="11"/>
      <c r="G248" s="11"/>
      <c r="H248" s="272" t="str">
        <f>'14thMAY'!J248</f>
        <v/>
      </c>
      <c r="I248" s="11"/>
      <c r="J248" s="11"/>
      <c r="K248" s="283"/>
      <c r="L248" s="11"/>
      <c r="M248" s="11"/>
      <c r="N248" s="11"/>
      <c r="O248" s="11"/>
    </row>
    <row r="249">
      <c r="A249" s="11"/>
      <c r="B249" s="11"/>
      <c r="C249" s="271" t="str">
        <f>'14thMAY'!E249</f>
        <v/>
      </c>
      <c r="D249" s="11"/>
      <c r="E249" s="11"/>
      <c r="F249" s="11"/>
      <c r="G249" s="11"/>
      <c r="H249" s="272" t="str">
        <f>'14thMAY'!J249</f>
        <v/>
      </c>
      <c r="I249" s="11"/>
      <c r="J249" s="11"/>
      <c r="K249" s="283"/>
      <c r="L249" s="11"/>
      <c r="M249" s="11"/>
      <c r="N249" s="11"/>
      <c r="O249" s="11"/>
    </row>
    <row r="250">
      <c r="A250" s="11"/>
      <c r="B250" s="11"/>
      <c r="C250" s="271" t="str">
        <f>'14thMAY'!E250</f>
        <v/>
      </c>
      <c r="D250" s="11"/>
      <c r="E250" s="11"/>
      <c r="F250" s="11"/>
      <c r="G250" s="11"/>
      <c r="H250" s="272" t="str">
        <f>'14thMAY'!J250</f>
        <v/>
      </c>
      <c r="I250" s="11"/>
      <c r="J250" s="11"/>
      <c r="K250" s="283"/>
      <c r="L250" s="11"/>
      <c r="M250" s="11"/>
      <c r="N250" s="11"/>
      <c r="O250" s="11"/>
    </row>
    <row r="251">
      <c r="A251" s="11"/>
      <c r="B251" s="11"/>
      <c r="C251" s="271" t="str">
        <f>'14thMAY'!E251</f>
        <v/>
      </c>
      <c r="D251" s="11"/>
      <c r="E251" s="11"/>
      <c r="F251" s="11"/>
      <c r="G251" s="11"/>
      <c r="H251" s="272" t="str">
        <f>'14thMAY'!J251</f>
        <v/>
      </c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271" t="str">
        <f>'14thMAY'!E252</f>
        <v/>
      </c>
      <c r="D252" s="11"/>
      <c r="E252" s="11"/>
      <c r="F252" s="11"/>
      <c r="G252" s="11"/>
      <c r="H252" s="272" t="str">
        <f>'14thMAY'!J252</f>
        <v/>
      </c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271" t="str">
        <f>'14thMAY'!E253</f>
        <v/>
      </c>
      <c r="D253" s="11"/>
      <c r="E253" s="11"/>
      <c r="F253" s="11"/>
      <c r="G253" s="11"/>
      <c r="H253" s="272" t="str">
        <f>'14thMAY'!J253</f>
        <v/>
      </c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272" t="str">
        <f>'14thMAY'!J254</f>
        <v/>
      </c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272" t="str">
        <f>'14thMAY'!J255</f>
        <v/>
      </c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272" t="str">
        <f>'14thMAY'!J256</f>
        <v/>
      </c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11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11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11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11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11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11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11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11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11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11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11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11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11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11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11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11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11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11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11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11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11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11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11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11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11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11"/>
      <c r="B292" s="235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11"/>
      <c r="B293" s="235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11"/>
      <c r="B294" s="235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11"/>
      <c r="B295" s="235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11"/>
      <c r="B296" s="235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11"/>
      <c r="B297" s="235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11"/>
      <c r="B298" s="235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11"/>
      <c r="B299" s="235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11"/>
      <c r="B300" s="235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11"/>
      <c r="B301" s="235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11"/>
      <c r="B302" s="235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11"/>
      <c r="B303" s="235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11"/>
      <c r="B304" s="235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11"/>
      <c r="B305" s="235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11"/>
      <c r="B306" s="235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11"/>
      <c r="B307" s="235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11"/>
      <c r="B308" s="235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11"/>
      <c r="B309" s="235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11"/>
      <c r="B310" s="235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11"/>
      <c r="B311" s="235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11"/>
      <c r="B312" s="235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11"/>
      <c r="B313" s="235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11"/>
      <c r="B314" s="235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11"/>
      <c r="B315" s="235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11"/>
      <c r="B316" s="235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11"/>
      <c r="B317" s="235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11"/>
      <c r="B318" s="235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11"/>
      <c r="B319" s="235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11"/>
      <c r="B320" s="235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11"/>
      <c r="B321" s="235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11"/>
      <c r="B322" s="235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11"/>
      <c r="B323" s="235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11"/>
      <c r="B324" s="235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11"/>
      <c r="B325" s="235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11"/>
      <c r="B326" s="235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11"/>
      <c r="B327" s="235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11"/>
      <c r="B328" s="235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11"/>
      <c r="B329" s="235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11"/>
      <c r="B330" s="235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11"/>
      <c r="B331" s="235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11"/>
      <c r="B332" s="235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11"/>
      <c r="B333" s="235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11"/>
      <c r="B334" s="235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11"/>
      <c r="B335" s="235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11"/>
      <c r="B336" s="235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A337" s="300"/>
    </row>
    <row r="338">
      <c r="A338" s="300"/>
    </row>
    <row r="339">
      <c r="A339" s="300"/>
    </row>
    <row r="340">
      <c r="A340" s="300"/>
    </row>
    <row r="341">
      <c r="A341" s="300"/>
    </row>
    <row r="342">
      <c r="A342" s="300"/>
    </row>
    <row r="343">
      <c r="A343" s="300"/>
    </row>
    <row r="344">
      <c r="A344" s="300"/>
    </row>
    <row r="345">
      <c r="A345" s="300"/>
    </row>
    <row r="346">
      <c r="A346" s="300"/>
    </row>
    <row r="347">
      <c r="A347" s="300"/>
    </row>
    <row r="348">
      <c r="A348" s="300"/>
    </row>
    <row r="349">
      <c r="A349" s="300"/>
    </row>
    <row r="350">
      <c r="A350" s="300"/>
    </row>
    <row r="351">
      <c r="A351" s="300"/>
    </row>
    <row r="352">
      <c r="A352" s="300"/>
    </row>
    <row r="353">
      <c r="A353" s="300"/>
    </row>
    <row r="354">
      <c r="A354" s="300"/>
    </row>
    <row r="355">
      <c r="A355" s="300"/>
    </row>
    <row r="356">
      <c r="A356" s="300"/>
    </row>
    <row r="357">
      <c r="A357" s="300"/>
    </row>
    <row r="358">
      <c r="A358" s="300"/>
    </row>
    <row r="359">
      <c r="A359" s="300"/>
    </row>
    <row r="360">
      <c r="A360" s="300"/>
    </row>
    <row r="361">
      <c r="A361" s="300"/>
    </row>
    <row r="362">
      <c r="A362" s="300"/>
    </row>
    <row r="363">
      <c r="A363" s="300"/>
    </row>
    <row r="364">
      <c r="A364" s="300"/>
    </row>
    <row r="365">
      <c r="A365" s="300"/>
    </row>
    <row r="366">
      <c r="A366" s="300"/>
    </row>
    <row r="367">
      <c r="A367" s="300"/>
    </row>
    <row r="368">
      <c r="A368" s="300"/>
    </row>
    <row r="369">
      <c r="A369" s="300"/>
    </row>
    <row r="370">
      <c r="A370" s="300"/>
    </row>
    <row r="371">
      <c r="A371" s="300"/>
    </row>
    <row r="372">
      <c r="A372" s="300"/>
    </row>
    <row r="373">
      <c r="A373" s="300"/>
    </row>
    <row r="374">
      <c r="A374" s="300"/>
    </row>
    <row r="375">
      <c r="A375" s="300"/>
    </row>
    <row r="376">
      <c r="A376" s="300"/>
    </row>
    <row r="377">
      <c r="A377" s="300"/>
    </row>
    <row r="378">
      <c r="A378" s="300"/>
    </row>
    <row r="379">
      <c r="A379" s="300"/>
    </row>
    <row r="380">
      <c r="A380" s="300"/>
    </row>
    <row r="381">
      <c r="A381" s="300"/>
    </row>
    <row r="382">
      <c r="A382" s="300"/>
    </row>
    <row r="383">
      <c r="A383" s="300"/>
    </row>
    <row r="384">
      <c r="A384" s="300"/>
    </row>
    <row r="385">
      <c r="A385" s="300"/>
    </row>
    <row r="386">
      <c r="A386" s="300"/>
    </row>
    <row r="387">
      <c r="A387" s="300"/>
    </row>
    <row r="388">
      <c r="A388" s="300"/>
    </row>
    <row r="389">
      <c r="A389" s="300"/>
    </row>
    <row r="390">
      <c r="A390" s="300"/>
    </row>
    <row r="391">
      <c r="A391" s="300"/>
    </row>
    <row r="392">
      <c r="A392" s="300"/>
    </row>
    <row r="393">
      <c r="A393" s="300"/>
    </row>
    <row r="394">
      <c r="A394" s="300"/>
    </row>
    <row r="395">
      <c r="A395" s="300"/>
    </row>
    <row r="396">
      <c r="A396" s="300"/>
    </row>
    <row r="397">
      <c r="A397" s="300"/>
    </row>
    <row r="398">
      <c r="A398" s="300"/>
    </row>
    <row r="399">
      <c r="A399" s="300"/>
    </row>
    <row r="400">
      <c r="A400" s="300"/>
    </row>
    <row r="401">
      <c r="A401" s="300"/>
    </row>
    <row r="402">
      <c r="A402" s="300"/>
    </row>
    <row r="403">
      <c r="A403" s="300"/>
    </row>
    <row r="404">
      <c r="A404" s="300"/>
    </row>
    <row r="405">
      <c r="A405" s="300"/>
    </row>
    <row r="406">
      <c r="A406" s="300"/>
    </row>
    <row r="407">
      <c r="A407" s="300"/>
    </row>
    <row r="408">
      <c r="A408" s="300"/>
    </row>
    <row r="409">
      <c r="A409" s="300"/>
    </row>
    <row r="410">
      <c r="A410" s="300"/>
    </row>
    <row r="411">
      <c r="A411" s="300"/>
    </row>
    <row r="412">
      <c r="A412" s="300"/>
    </row>
    <row r="413">
      <c r="A413" s="300"/>
    </row>
    <row r="414">
      <c r="A414" s="300"/>
    </row>
    <row r="415">
      <c r="A415" s="300"/>
    </row>
    <row r="416">
      <c r="A416" s="300"/>
    </row>
    <row r="417">
      <c r="A417" s="300"/>
    </row>
    <row r="418">
      <c r="A418" s="300"/>
    </row>
    <row r="419">
      <c r="A419" s="300"/>
    </row>
    <row r="420">
      <c r="A420" s="300"/>
    </row>
    <row r="421">
      <c r="A421" s="300"/>
    </row>
    <row r="422">
      <c r="A422" s="300"/>
    </row>
    <row r="423">
      <c r="A423" s="300"/>
    </row>
    <row r="424">
      <c r="A424" s="300"/>
    </row>
    <row r="425">
      <c r="A425" s="300"/>
    </row>
    <row r="426">
      <c r="A426" s="300"/>
    </row>
    <row r="427">
      <c r="A427" s="300"/>
    </row>
    <row r="428">
      <c r="A428" s="300"/>
    </row>
    <row r="429">
      <c r="A429" s="300"/>
    </row>
    <row r="430">
      <c r="A430" s="300"/>
    </row>
    <row r="431">
      <c r="A431" s="300"/>
    </row>
    <row r="432">
      <c r="A432" s="300"/>
    </row>
    <row r="433">
      <c r="A433" s="300"/>
    </row>
    <row r="434">
      <c r="A434" s="300"/>
    </row>
    <row r="435">
      <c r="A435" s="300"/>
    </row>
    <row r="436">
      <c r="A436" s="300"/>
    </row>
    <row r="437">
      <c r="A437" s="300"/>
    </row>
    <row r="438">
      <c r="A438" s="300"/>
    </row>
    <row r="439">
      <c r="A439" s="300"/>
    </row>
    <row r="440">
      <c r="A440" s="300"/>
    </row>
    <row r="441">
      <c r="A441" s="300"/>
    </row>
    <row r="442">
      <c r="A442" s="300"/>
    </row>
    <row r="443">
      <c r="A443" s="300"/>
    </row>
    <row r="444">
      <c r="A444" s="300"/>
    </row>
    <row r="445">
      <c r="A445" s="300"/>
    </row>
    <row r="446">
      <c r="A446" s="300"/>
    </row>
    <row r="447">
      <c r="A447" s="300"/>
    </row>
    <row r="448">
      <c r="A448" s="300"/>
    </row>
    <row r="449">
      <c r="A449" s="300"/>
    </row>
    <row r="450">
      <c r="A450" s="300"/>
    </row>
    <row r="451">
      <c r="A451" s="300"/>
    </row>
    <row r="452">
      <c r="A452" s="300"/>
    </row>
    <row r="453">
      <c r="A453" s="300"/>
    </row>
    <row r="454">
      <c r="A454" s="300"/>
    </row>
    <row r="455">
      <c r="A455" s="300"/>
    </row>
    <row r="456">
      <c r="A456" s="300"/>
    </row>
    <row r="457">
      <c r="A457" s="300"/>
    </row>
    <row r="458">
      <c r="A458" s="300"/>
    </row>
    <row r="459">
      <c r="A459" s="300"/>
    </row>
    <row r="460">
      <c r="A460" s="300"/>
    </row>
    <row r="461">
      <c r="A461" s="300"/>
    </row>
    <row r="462">
      <c r="A462" s="300"/>
    </row>
    <row r="463">
      <c r="A463" s="300"/>
    </row>
    <row r="464">
      <c r="A464" s="300"/>
    </row>
    <row r="465">
      <c r="A465" s="300"/>
    </row>
    <row r="466">
      <c r="A466" s="300"/>
    </row>
    <row r="467">
      <c r="A467" s="300"/>
    </row>
    <row r="468">
      <c r="A468" s="300"/>
    </row>
    <row r="469">
      <c r="A469" s="300"/>
    </row>
    <row r="470">
      <c r="A470" s="300"/>
    </row>
    <row r="471">
      <c r="A471" s="300"/>
    </row>
    <row r="472">
      <c r="A472" s="300"/>
    </row>
    <row r="473">
      <c r="A473" s="300"/>
    </row>
    <row r="474">
      <c r="A474" s="300"/>
    </row>
    <row r="475">
      <c r="A475" s="300"/>
    </row>
    <row r="476">
      <c r="A476" s="300"/>
    </row>
    <row r="477">
      <c r="A477" s="300"/>
    </row>
    <row r="478">
      <c r="A478" s="300"/>
    </row>
    <row r="479">
      <c r="A479" s="300"/>
    </row>
    <row r="480">
      <c r="A480" s="300"/>
    </row>
    <row r="481">
      <c r="A481" s="300"/>
    </row>
    <row r="482">
      <c r="A482" s="300"/>
    </row>
    <row r="483">
      <c r="A483" s="300"/>
    </row>
    <row r="484">
      <c r="A484" s="300"/>
    </row>
    <row r="485">
      <c r="A485" s="300"/>
    </row>
    <row r="486">
      <c r="A486" s="300"/>
    </row>
    <row r="487">
      <c r="A487" s="300"/>
    </row>
    <row r="488">
      <c r="A488" s="300"/>
    </row>
    <row r="489">
      <c r="A489" s="300"/>
    </row>
    <row r="490">
      <c r="A490" s="300"/>
    </row>
    <row r="491">
      <c r="A491" s="300"/>
    </row>
    <row r="492">
      <c r="A492" s="300"/>
    </row>
    <row r="493">
      <c r="A493" s="300"/>
    </row>
    <row r="494">
      <c r="A494" s="300"/>
    </row>
    <row r="495">
      <c r="A495" s="300"/>
    </row>
    <row r="496">
      <c r="A496" s="300"/>
    </row>
    <row r="497">
      <c r="A497" s="300"/>
    </row>
    <row r="498">
      <c r="A498" s="300"/>
    </row>
    <row r="499">
      <c r="A499" s="300"/>
    </row>
    <row r="500">
      <c r="A500" s="300"/>
    </row>
    <row r="501">
      <c r="A501" s="300"/>
    </row>
    <row r="502">
      <c r="A502" s="300"/>
    </row>
    <row r="503">
      <c r="A503" s="300"/>
    </row>
    <row r="504">
      <c r="A504" s="300"/>
    </row>
    <row r="505">
      <c r="A505" s="300"/>
    </row>
    <row r="506">
      <c r="A506" s="300"/>
    </row>
    <row r="507">
      <c r="A507" s="300"/>
    </row>
    <row r="508">
      <c r="A508" s="300"/>
    </row>
    <row r="509">
      <c r="A509" s="300"/>
    </row>
    <row r="510">
      <c r="A510" s="300"/>
    </row>
    <row r="511">
      <c r="A511" s="300"/>
    </row>
    <row r="512">
      <c r="A512" s="300"/>
    </row>
    <row r="513">
      <c r="A513" s="300"/>
    </row>
    <row r="514">
      <c r="A514" s="300"/>
    </row>
    <row r="515">
      <c r="A515" s="300"/>
    </row>
    <row r="516">
      <c r="A516" s="300"/>
    </row>
    <row r="517">
      <c r="A517" s="300"/>
    </row>
    <row r="518">
      <c r="A518" s="300"/>
    </row>
    <row r="519">
      <c r="A519" s="300"/>
    </row>
    <row r="520">
      <c r="A520" s="300"/>
    </row>
    <row r="521">
      <c r="A521" s="300"/>
    </row>
    <row r="522">
      <c r="A522" s="300"/>
    </row>
    <row r="523">
      <c r="A523" s="300"/>
    </row>
    <row r="524">
      <c r="A524" s="300"/>
    </row>
    <row r="525">
      <c r="A525" s="300"/>
    </row>
    <row r="526">
      <c r="A526" s="300"/>
    </row>
    <row r="527">
      <c r="A527" s="300"/>
    </row>
    <row r="528">
      <c r="A528" s="300"/>
    </row>
    <row r="529">
      <c r="A529" s="300"/>
    </row>
    <row r="530">
      <c r="A530" s="300"/>
    </row>
    <row r="531">
      <c r="A531" s="300"/>
    </row>
    <row r="532">
      <c r="A532" s="300"/>
    </row>
    <row r="533">
      <c r="A533" s="300"/>
    </row>
    <row r="534">
      <c r="A534" s="300"/>
    </row>
    <row r="535">
      <c r="A535" s="300"/>
    </row>
    <row r="536">
      <c r="A536" s="300"/>
    </row>
    <row r="537">
      <c r="A537" s="300"/>
    </row>
    <row r="538">
      <c r="A538" s="300"/>
    </row>
    <row r="539">
      <c r="A539" s="300"/>
    </row>
    <row r="540">
      <c r="A540" s="300"/>
    </row>
    <row r="541">
      <c r="A541" s="300"/>
    </row>
    <row r="542">
      <c r="A542" s="300"/>
    </row>
    <row r="543">
      <c r="A543" s="300"/>
    </row>
    <row r="544">
      <c r="A544" s="300"/>
    </row>
    <row r="545">
      <c r="A545" s="300"/>
    </row>
    <row r="546">
      <c r="A546" s="300"/>
    </row>
    <row r="547">
      <c r="A547" s="300"/>
    </row>
    <row r="548">
      <c r="A548" s="300"/>
    </row>
    <row r="549">
      <c r="A549" s="300"/>
    </row>
    <row r="550">
      <c r="A550" s="300"/>
    </row>
    <row r="551">
      <c r="A551" s="300"/>
    </row>
    <row r="552">
      <c r="A552" s="300"/>
    </row>
    <row r="553">
      <c r="A553" s="300"/>
    </row>
    <row r="554">
      <c r="A554" s="300"/>
    </row>
    <row r="555">
      <c r="A555" s="300"/>
    </row>
    <row r="556">
      <c r="A556" s="300"/>
    </row>
    <row r="557">
      <c r="A557" s="300"/>
    </row>
    <row r="558">
      <c r="A558" s="300"/>
    </row>
    <row r="559">
      <c r="A559" s="300"/>
    </row>
    <row r="560">
      <c r="A560" s="300"/>
    </row>
    <row r="561">
      <c r="A561" s="300"/>
    </row>
    <row r="562">
      <c r="A562" s="300"/>
    </row>
    <row r="563">
      <c r="A563" s="300"/>
    </row>
    <row r="564">
      <c r="A564" s="300"/>
    </row>
    <row r="565">
      <c r="A565" s="300"/>
    </row>
    <row r="566">
      <c r="A566" s="300"/>
    </row>
    <row r="567">
      <c r="A567" s="300"/>
    </row>
    <row r="568">
      <c r="A568" s="300"/>
    </row>
    <row r="569">
      <c r="A569" s="300"/>
    </row>
    <row r="570">
      <c r="A570" s="300"/>
    </row>
    <row r="571">
      <c r="A571" s="300"/>
    </row>
    <row r="572">
      <c r="A572" s="300"/>
    </row>
    <row r="573">
      <c r="A573" s="300"/>
    </row>
    <row r="574">
      <c r="A574" s="300"/>
    </row>
    <row r="575">
      <c r="A575" s="300"/>
    </row>
    <row r="576">
      <c r="A576" s="300"/>
    </row>
    <row r="577">
      <c r="A577" s="300"/>
    </row>
    <row r="578">
      <c r="A578" s="300"/>
    </row>
    <row r="579">
      <c r="A579" s="300"/>
    </row>
    <row r="580">
      <c r="A580" s="300"/>
    </row>
    <row r="581">
      <c r="A581" s="300"/>
    </row>
    <row r="582">
      <c r="A582" s="300"/>
    </row>
    <row r="583">
      <c r="A583" s="300"/>
    </row>
    <row r="584">
      <c r="A584" s="300"/>
    </row>
    <row r="585">
      <c r="A585" s="300"/>
    </row>
    <row r="586">
      <c r="A586" s="300"/>
    </row>
    <row r="587">
      <c r="A587" s="300"/>
    </row>
    <row r="588">
      <c r="A588" s="300"/>
    </row>
    <row r="589">
      <c r="A589" s="300"/>
    </row>
    <row r="590">
      <c r="A590" s="300"/>
    </row>
    <row r="591">
      <c r="A591" s="300"/>
    </row>
    <row r="592">
      <c r="A592" s="300"/>
    </row>
    <row r="593">
      <c r="A593" s="300"/>
    </row>
    <row r="594">
      <c r="A594" s="300"/>
    </row>
    <row r="595">
      <c r="A595" s="300"/>
    </row>
    <row r="596">
      <c r="A596" s="300"/>
    </row>
    <row r="597">
      <c r="A597" s="300"/>
    </row>
    <row r="598">
      <c r="A598" s="300"/>
    </row>
    <row r="599">
      <c r="A599" s="300"/>
    </row>
    <row r="600">
      <c r="A600" s="300"/>
    </row>
    <row r="601">
      <c r="A601" s="300"/>
    </row>
    <row r="602">
      <c r="A602" s="300"/>
    </row>
    <row r="603">
      <c r="A603" s="300"/>
    </row>
    <row r="604">
      <c r="A604" s="300"/>
    </row>
    <row r="605">
      <c r="A605" s="300"/>
    </row>
    <row r="606">
      <c r="A606" s="300"/>
    </row>
    <row r="607">
      <c r="A607" s="300"/>
    </row>
    <row r="608">
      <c r="A608" s="300"/>
    </row>
    <row r="609">
      <c r="A609" s="300"/>
    </row>
    <row r="610">
      <c r="A610" s="300"/>
    </row>
    <row r="611">
      <c r="A611" s="300"/>
    </row>
    <row r="612">
      <c r="A612" s="300"/>
    </row>
    <row r="613">
      <c r="A613" s="300"/>
    </row>
    <row r="614">
      <c r="A614" s="300"/>
    </row>
    <row r="615">
      <c r="A615" s="300"/>
    </row>
    <row r="616">
      <c r="A616" s="300"/>
    </row>
    <row r="617">
      <c r="A617" s="300"/>
    </row>
    <row r="618">
      <c r="A618" s="300"/>
    </row>
    <row r="619">
      <c r="A619" s="300"/>
    </row>
    <row r="620">
      <c r="A620" s="300"/>
    </row>
    <row r="621">
      <c r="A621" s="300"/>
    </row>
    <row r="622">
      <c r="A622" s="300"/>
    </row>
    <row r="623">
      <c r="A623" s="300"/>
    </row>
    <row r="624">
      <c r="A624" s="300"/>
    </row>
    <row r="625">
      <c r="A625" s="300"/>
    </row>
    <row r="626">
      <c r="A626" s="300"/>
    </row>
    <row r="627">
      <c r="A627" s="300"/>
    </row>
    <row r="628">
      <c r="A628" s="300"/>
    </row>
    <row r="629">
      <c r="A629" s="300"/>
    </row>
    <row r="630">
      <c r="A630" s="300"/>
    </row>
    <row r="631">
      <c r="A631" s="300"/>
    </row>
    <row r="632">
      <c r="A632" s="300"/>
    </row>
    <row r="633">
      <c r="A633" s="300"/>
    </row>
    <row r="634">
      <c r="A634" s="300"/>
    </row>
    <row r="635">
      <c r="A635" s="300"/>
    </row>
    <row r="636">
      <c r="A636" s="300"/>
    </row>
    <row r="637">
      <c r="A637" s="300"/>
    </row>
    <row r="638">
      <c r="A638" s="300"/>
    </row>
    <row r="639">
      <c r="A639" s="300"/>
    </row>
    <row r="640">
      <c r="A640" s="300"/>
    </row>
    <row r="641">
      <c r="A641" s="300"/>
    </row>
    <row r="642">
      <c r="A642" s="300"/>
    </row>
    <row r="643">
      <c r="A643" s="300"/>
    </row>
    <row r="644">
      <c r="A644" s="300"/>
    </row>
    <row r="645">
      <c r="A645" s="300"/>
    </row>
    <row r="646">
      <c r="A646" s="300"/>
    </row>
    <row r="647">
      <c r="A647" s="300"/>
    </row>
    <row r="648">
      <c r="A648" s="300"/>
    </row>
    <row r="649">
      <c r="A649" s="300"/>
    </row>
    <row r="650">
      <c r="A650" s="300"/>
    </row>
    <row r="651">
      <c r="A651" s="300"/>
    </row>
    <row r="652">
      <c r="A652" s="300"/>
    </row>
    <row r="653">
      <c r="A653" s="300"/>
    </row>
    <row r="654">
      <c r="A654" s="300"/>
    </row>
    <row r="655">
      <c r="A655" s="300"/>
    </row>
    <row r="656">
      <c r="A656" s="300"/>
    </row>
    <row r="657">
      <c r="A657" s="300"/>
    </row>
    <row r="658">
      <c r="A658" s="300"/>
    </row>
    <row r="659">
      <c r="A659" s="300"/>
    </row>
    <row r="660">
      <c r="A660" s="300"/>
    </row>
    <row r="661">
      <c r="A661" s="300"/>
    </row>
    <row r="662">
      <c r="A662" s="300"/>
    </row>
    <row r="663">
      <c r="A663" s="300"/>
    </row>
    <row r="664">
      <c r="A664" s="300"/>
    </row>
    <row r="665">
      <c r="A665" s="300"/>
    </row>
    <row r="666">
      <c r="A666" s="300"/>
    </row>
    <row r="667">
      <c r="A667" s="300"/>
    </row>
    <row r="668">
      <c r="A668" s="300"/>
    </row>
    <row r="669">
      <c r="A669" s="300"/>
    </row>
    <row r="670">
      <c r="A670" s="300"/>
    </row>
    <row r="671">
      <c r="A671" s="300"/>
    </row>
    <row r="672">
      <c r="A672" s="300"/>
    </row>
    <row r="673">
      <c r="A673" s="300"/>
    </row>
    <row r="674">
      <c r="A674" s="300"/>
    </row>
    <row r="675">
      <c r="A675" s="300"/>
    </row>
    <row r="676">
      <c r="A676" s="300"/>
    </row>
    <row r="677">
      <c r="A677" s="300"/>
    </row>
    <row r="678">
      <c r="A678" s="300"/>
    </row>
    <row r="679">
      <c r="A679" s="300"/>
    </row>
    <row r="680">
      <c r="A680" s="300"/>
    </row>
    <row r="681">
      <c r="A681" s="300"/>
    </row>
    <row r="682">
      <c r="A682" s="300"/>
    </row>
    <row r="683">
      <c r="A683" s="300"/>
    </row>
    <row r="684">
      <c r="A684" s="300"/>
    </row>
    <row r="685">
      <c r="A685" s="300"/>
    </row>
    <row r="686">
      <c r="A686" s="300"/>
    </row>
    <row r="687">
      <c r="A687" s="300"/>
    </row>
    <row r="688">
      <c r="A688" s="300"/>
    </row>
    <row r="689">
      <c r="A689" s="300"/>
    </row>
    <row r="690">
      <c r="A690" s="300"/>
    </row>
    <row r="691">
      <c r="A691" s="300"/>
    </row>
    <row r="692">
      <c r="A692" s="300"/>
    </row>
    <row r="693">
      <c r="A693" s="300"/>
    </row>
    <row r="694">
      <c r="A694" s="300"/>
    </row>
    <row r="695">
      <c r="A695" s="300"/>
    </row>
    <row r="696">
      <c r="A696" s="300"/>
    </row>
    <row r="697">
      <c r="A697" s="300"/>
    </row>
    <row r="698">
      <c r="A698" s="300"/>
    </row>
    <row r="699">
      <c r="A699" s="300"/>
    </row>
    <row r="700">
      <c r="A700" s="300"/>
    </row>
    <row r="701">
      <c r="A701" s="300"/>
    </row>
    <row r="702">
      <c r="A702" s="300"/>
    </row>
    <row r="703">
      <c r="A703" s="300"/>
    </row>
    <row r="704">
      <c r="A704" s="300"/>
    </row>
    <row r="705">
      <c r="A705" s="300"/>
    </row>
    <row r="706">
      <c r="A706" s="300"/>
    </row>
    <row r="707">
      <c r="A707" s="300"/>
    </row>
    <row r="708">
      <c r="A708" s="300"/>
    </row>
    <row r="709">
      <c r="A709" s="300"/>
    </row>
    <row r="710">
      <c r="A710" s="300"/>
    </row>
    <row r="711">
      <c r="A711" s="300"/>
    </row>
    <row r="712">
      <c r="A712" s="300"/>
    </row>
    <row r="713">
      <c r="A713" s="300"/>
    </row>
    <row r="714">
      <c r="A714" s="300"/>
    </row>
    <row r="715">
      <c r="A715" s="300"/>
    </row>
    <row r="716">
      <c r="A716" s="300"/>
    </row>
    <row r="717">
      <c r="A717" s="300"/>
    </row>
    <row r="718">
      <c r="A718" s="300"/>
    </row>
    <row r="719">
      <c r="A719" s="300"/>
    </row>
    <row r="720">
      <c r="A720" s="300"/>
    </row>
    <row r="721">
      <c r="A721" s="300"/>
    </row>
    <row r="722">
      <c r="A722" s="300"/>
    </row>
    <row r="723">
      <c r="A723" s="300"/>
    </row>
    <row r="724">
      <c r="A724" s="300"/>
    </row>
    <row r="725">
      <c r="A725" s="300"/>
    </row>
    <row r="726">
      <c r="A726" s="300"/>
    </row>
    <row r="727">
      <c r="A727" s="300"/>
    </row>
    <row r="728">
      <c r="A728" s="300"/>
    </row>
    <row r="729">
      <c r="A729" s="300"/>
    </row>
    <row r="730">
      <c r="A730" s="300"/>
    </row>
    <row r="731">
      <c r="A731" s="300"/>
    </row>
    <row r="732">
      <c r="A732" s="300"/>
    </row>
    <row r="733">
      <c r="A733" s="300"/>
    </row>
    <row r="734">
      <c r="A734" s="300"/>
    </row>
    <row r="735">
      <c r="A735" s="300"/>
    </row>
    <row r="736">
      <c r="A736" s="300"/>
    </row>
    <row r="737">
      <c r="A737" s="300"/>
    </row>
    <row r="738">
      <c r="A738" s="300"/>
    </row>
    <row r="739">
      <c r="A739" s="300"/>
    </row>
    <row r="740">
      <c r="A740" s="300"/>
    </row>
    <row r="741">
      <c r="A741" s="300"/>
    </row>
    <row r="742">
      <c r="A742" s="300"/>
    </row>
    <row r="743">
      <c r="A743" s="300"/>
    </row>
    <row r="744">
      <c r="A744" s="300"/>
    </row>
    <row r="745">
      <c r="A745" s="300"/>
    </row>
    <row r="746">
      <c r="A746" s="300"/>
    </row>
    <row r="747">
      <c r="A747" s="300"/>
    </row>
    <row r="748">
      <c r="A748" s="300"/>
    </row>
    <row r="749">
      <c r="A749" s="300"/>
    </row>
    <row r="750">
      <c r="A750" s="300"/>
    </row>
    <row r="751">
      <c r="A751" s="300"/>
    </row>
    <row r="752">
      <c r="A752" s="300"/>
    </row>
    <row r="753">
      <c r="A753" s="300"/>
    </row>
    <row r="754">
      <c r="A754" s="300"/>
    </row>
    <row r="755">
      <c r="A755" s="300"/>
    </row>
    <row r="756">
      <c r="A756" s="300"/>
    </row>
    <row r="757">
      <c r="A757" s="300"/>
    </row>
    <row r="758">
      <c r="A758" s="300"/>
    </row>
    <row r="759">
      <c r="A759" s="300"/>
    </row>
    <row r="760">
      <c r="A760" s="300"/>
    </row>
    <row r="761">
      <c r="A761" s="300"/>
    </row>
    <row r="762">
      <c r="A762" s="300"/>
    </row>
    <row r="763">
      <c r="A763" s="300"/>
    </row>
    <row r="764">
      <c r="A764" s="300"/>
    </row>
    <row r="765">
      <c r="A765" s="300"/>
    </row>
    <row r="766">
      <c r="A766" s="300"/>
    </row>
    <row r="767">
      <c r="A767" s="300"/>
    </row>
    <row r="768">
      <c r="A768" s="300"/>
    </row>
    <row r="769">
      <c r="A769" s="300"/>
    </row>
    <row r="770">
      <c r="A770" s="300"/>
    </row>
    <row r="771">
      <c r="A771" s="300"/>
    </row>
    <row r="772">
      <c r="A772" s="300"/>
    </row>
    <row r="773">
      <c r="A773" s="300"/>
    </row>
    <row r="774">
      <c r="A774" s="300"/>
    </row>
    <row r="775">
      <c r="A775" s="300"/>
    </row>
    <row r="776">
      <c r="A776" s="300"/>
    </row>
    <row r="777">
      <c r="A777" s="300"/>
    </row>
    <row r="778">
      <c r="A778" s="300"/>
    </row>
    <row r="779">
      <c r="A779" s="300"/>
    </row>
    <row r="780">
      <c r="A780" s="300"/>
    </row>
    <row r="781">
      <c r="A781" s="300"/>
    </row>
    <row r="782">
      <c r="A782" s="300"/>
    </row>
    <row r="783">
      <c r="A783" s="300"/>
    </row>
    <row r="784">
      <c r="A784" s="300"/>
    </row>
    <row r="785">
      <c r="A785" s="300"/>
    </row>
    <row r="786">
      <c r="A786" s="300"/>
    </row>
    <row r="787">
      <c r="A787" s="300"/>
    </row>
    <row r="788">
      <c r="A788" s="300"/>
    </row>
    <row r="789">
      <c r="A789" s="300"/>
    </row>
    <row r="790">
      <c r="A790" s="300"/>
    </row>
    <row r="791">
      <c r="A791" s="300"/>
    </row>
    <row r="792">
      <c r="A792" s="300"/>
    </row>
    <row r="793">
      <c r="A793" s="300"/>
    </row>
    <row r="794">
      <c r="A794" s="300"/>
    </row>
    <row r="795">
      <c r="A795" s="300"/>
    </row>
    <row r="796">
      <c r="A796" s="300"/>
    </row>
    <row r="797">
      <c r="A797" s="300"/>
    </row>
    <row r="798">
      <c r="A798" s="300"/>
    </row>
    <row r="799">
      <c r="A799" s="300"/>
    </row>
    <row r="800">
      <c r="A800" s="300"/>
    </row>
    <row r="801">
      <c r="A801" s="300"/>
    </row>
    <row r="802">
      <c r="A802" s="300"/>
    </row>
    <row r="803">
      <c r="A803" s="300"/>
    </row>
    <row r="804">
      <c r="A804" s="300"/>
    </row>
    <row r="805">
      <c r="A805" s="300"/>
    </row>
    <row r="806">
      <c r="A806" s="300"/>
    </row>
    <row r="807">
      <c r="A807" s="300"/>
    </row>
    <row r="808">
      <c r="A808" s="300"/>
    </row>
    <row r="809">
      <c r="A809" s="300"/>
    </row>
    <row r="810">
      <c r="A810" s="300"/>
    </row>
    <row r="811">
      <c r="A811" s="300"/>
    </row>
    <row r="812">
      <c r="A812" s="300"/>
    </row>
    <row r="813">
      <c r="A813" s="300"/>
    </row>
    <row r="814">
      <c r="A814" s="300"/>
    </row>
    <row r="815">
      <c r="A815" s="300"/>
    </row>
    <row r="816">
      <c r="A816" s="300"/>
    </row>
    <row r="817">
      <c r="A817" s="300"/>
    </row>
    <row r="818">
      <c r="A818" s="300"/>
    </row>
    <row r="819">
      <c r="A819" s="300"/>
    </row>
    <row r="820">
      <c r="A820" s="300"/>
    </row>
    <row r="821">
      <c r="A821" s="300"/>
    </row>
    <row r="822">
      <c r="A822" s="300"/>
    </row>
    <row r="823">
      <c r="A823" s="300"/>
    </row>
    <row r="824">
      <c r="A824" s="300"/>
    </row>
    <row r="825">
      <c r="A825" s="300"/>
    </row>
    <row r="826">
      <c r="A826" s="300"/>
    </row>
    <row r="827">
      <c r="A827" s="300"/>
    </row>
    <row r="828">
      <c r="A828" s="300"/>
    </row>
    <row r="829">
      <c r="A829" s="300"/>
    </row>
    <row r="830">
      <c r="A830" s="300"/>
    </row>
    <row r="831">
      <c r="A831" s="300"/>
    </row>
    <row r="832">
      <c r="A832" s="300"/>
    </row>
    <row r="833">
      <c r="A833" s="300"/>
    </row>
    <row r="834">
      <c r="A834" s="300"/>
    </row>
    <row r="835">
      <c r="A835" s="300"/>
    </row>
    <row r="836">
      <c r="A836" s="300"/>
    </row>
    <row r="837">
      <c r="A837" s="300"/>
    </row>
    <row r="838">
      <c r="A838" s="300"/>
    </row>
    <row r="839">
      <c r="A839" s="300"/>
    </row>
    <row r="840">
      <c r="A840" s="300"/>
    </row>
    <row r="841">
      <c r="A841" s="300"/>
    </row>
    <row r="842">
      <c r="A842" s="300"/>
    </row>
    <row r="843">
      <c r="A843" s="300"/>
    </row>
    <row r="844">
      <c r="A844" s="300"/>
    </row>
    <row r="845">
      <c r="A845" s="300"/>
    </row>
    <row r="846">
      <c r="A846" s="300"/>
    </row>
    <row r="847">
      <c r="A847" s="300"/>
    </row>
    <row r="848">
      <c r="A848" s="300"/>
    </row>
    <row r="849">
      <c r="A849" s="300"/>
    </row>
    <row r="850">
      <c r="A850" s="300"/>
    </row>
    <row r="851">
      <c r="A851" s="300"/>
    </row>
    <row r="852">
      <c r="A852" s="300"/>
    </row>
    <row r="853">
      <c r="A853" s="300"/>
    </row>
    <row r="854">
      <c r="A854" s="300"/>
    </row>
    <row r="855">
      <c r="A855" s="300"/>
    </row>
    <row r="856">
      <c r="A856" s="300"/>
    </row>
    <row r="857">
      <c r="A857" s="300"/>
    </row>
    <row r="858">
      <c r="A858" s="300"/>
    </row>
    <row r="859">
      <c r="A859" s="300"/>
    </row>
    <row r="860">
      <c r="A860" s="300"/>
    </row>
    <row r="861">
      <c r="A861" s="300"/>
    </row>
    <row r="862">
      <c r="A862" s="300"/>
    </row>
    <row r="863">
      <c r="A863" s="300"/>
    </row>
    <row r="864">
      <c r="A864" s="300"/>
    </row>
    <row r="865">
      <c r="A865" s="300"/>
    </row>
    <row r="866">
      <c r="A866" s="300"/>
    </row>
    <row r="867">
      <c r="A867" s="300"/>
    </row>
    <row r="868">
      <c r="A868" s="300"/>
    </row>
    <row r="869">
      <c r="A869" s="300"/>
    </row>
    <row r="870">
      <c r="A870" s="300"/>
    </row>
    <row r="871">
      <c r="A871" s="300"/>
    </row>
    <row r="872">
      <c r="A872" s="300"/>
    </row>
    <row r="873">
      <c r="A873" s="300"/>
    </row>
    <row r="874">
      <c r="A874" s="300"/>
    </row>
    <row r="875">
      <c r="A875" s="300"/>
    </row>
    <row r="876">
      <c r="A876" s="300"/>
    </row>
    <row r="877">
      <c r="A877" s="300"/>
    </row>
    <row r="878">
      <c r="A878" s="300"/>
    </row>
    <row r="879">
      <c r="A879" s="300"/>
    </row>
    <row r="880">
      <c r="A880" s="300"/>
    </row>
    <row r="881">
      <c r="A881" s="300"/>
    </row>
    <row r="882">
      <c r="A882" s="300"/>
    </row>
    <row r="883">
      <c r="A883" s="300"/>
    </row>
    <row r="884">
      <c r="A884" s="300"/>
    </row>
    <row r="885">
      <c r="A885" s="300"/>
    </row>
    <row r="886">
      <c r="A886" s="300"/>
    </row>
    <row r="887">
      <c r="A887" s="300"/>
    </row>
    <row r="888">
      <c r="A888" s="300"/>
    </row>
    <row r="889">
      <c r="A889" s="300"/>
    </row>
    <row r="890">
      <c r="A890" s="300"/>
    </row>
    <row r="891">
      <c r="A891" s="300"/>
    </row>
    <row r="892">
      <c r="A892" s="300"/>
    </row>
    <row r="893">
      <c r="A893" s="300"/>
    </row>
    <row r="894">
      <c r="A894" s="300"/>
    </row>
    <row r="895">
      <c r="A895" s="300"/>
    </row>
    <row r="896">
      <c r="A896" s="300"/>
    </row>
    <row r="897">
      <c r="A897" s="300"/>
    </row>
    <row r="898">
      <c r="A898" s="300"/>
    </row>
    <row r="899">
      <c r="A899" s="300"/>
    </row>
    <row r="900">
      <c r="A900" s="300"/>
    </row>
    <row r="901">
      <c r="A901" s="300"/>
    </row>
    <row r="902">
      <c r="A902" s="300"/>
    </row>
    <row r="903">
      <c r="A903" s="300"/>
    </row>
    <row r="904">
      <c r="A904" s="300"/>
    </row>
    <row r="905">
      <c r="A905" s="300"/>
    </row>
    <row r="906">
      <c r="A906" s="300"/>
    </row>
    <row r="907">
      <c r="A907" s="300"/>
    </row>
    <row r="908">
      <c r="A908" s="300"/>
    </row>
    <row r="909">
      <c r="A909" s="300"/>
    </row>
    <row r="910">
      <c r="A910" s="300"/>
    </row>
    <row r="911">
      <c r="A911" s="300"/>
    </row>
    <row r="912">
      <c r="A912" s="300"/>
    </row>
    <row r="913">
      <c r="A913" s="300"/>
    </row>
    <row r="914">
      <c r="A914" s="300"/>
    </row>
    <row r="915">
      <c r="A915" s="300"/>
    </row>
    <row r="916">
      <c r="A916" s="300"/>
    </row>
    <row r="917">
      <c r="A917" s="300"/>
    </row>
    <row r="918">
      <c r="A918" s="300"/>
    </row>
    <row r="919">
      <c r="A919" s="300"/>
    </row>
    <row r="920">
      <c r="A920" s="300"/>
    </row>
    <row r="921">
      <c r="A921" s="300"/>
    </row>
    <row r="922">
      <c r="A922" s="300"/>
    </row>
    <row r="923">
      <c r="A923" s="300"/>
    </row>
    <row r="924">
      <c r="A924" s="300"/>
    </row>
    <row r="925">
      <c r="A925" s="300"/>
    </row>
    <row r="926">
      <c r="A926" s="300"/>
    </row>
    <row r="927">
      <c r="A927" s="300"/>
    </row>
    <row r="928">
      <c r="A928" s="300"/>
    </row>
    <row r="929">
      <c r="A929" s="300"/>
    </row>
    <row r="930">
      <c r="A930" s="300"/>
    </row>
    <row r="931">
      <c r="A931" s="300"/>
    </row>
    <row r="932">
      <c r="A932" s="300"/>
    </row>
    <row r="933">
      <c r="A933" s="300"/>
    </row>
    <row r="934">
      <c r="A934" s="300"/>
    </row>
    <row r="935">
      <c r="A935" s="300"/>
    </row>
    <row r="936">
      <c r="A936" s="300"/>
    </row>
    <row r="937">
      <c r="A937" s="300"/>
    </row>
    <row r="938">
      <c r="A938" s="300"/>
    </row>
    <row r="939">
      <c r="A939" s="300"/>
    </row>
    <row r="940">
      <c r="A940" s="300"/>
    </row>
    <row r="941">
      <c r="A941" s="300"/>
    </row>
    <row r="942">
      <c r="A942" s="300"/>
    </row>
    <row r="943">
      <c r="A943" s="300"/>
    </row>
    <row r="944">
      <c r="A944" s="300"/>
    </row>
    <row r="945">
      <c r="A945" s="300"/>
    </row>
    <row r="946">
      <c r="A946" s="300"/>
    </row>
    <row r="947">
      <c r="A947" s="300"/>
    </row>
    <row r="948">
      <c r="A948" s="300"/>
    </row>
    <row r="949">
      <c r="A949" s="300"/>
    </row>
    <row r="950">
      <c r="A950" s="300"/>
    </row>
    <row r="951">
      <c r="A951" s="300"/>
    </row>
    <row r="952">
      <c r="A952" s="300"/>
    </row>
    <row r="953">
      <c r="A953" s="300"/>
    </row>
    <row r="954">
      <c r="A954" s="300"/>
    </row>
    <row r="955">
      <c r="A955" s="300"/>
    </row>
    <row r="956">
      <c r="A956" s="300"/>
    </row>
    <row r="957">
      <c r="A957" s="300"/>
    </row>
    <row r="958">
      <c r="A958" s="300"/>
    </row>
    <row r="959">
      <c r="A959" s="300"/>
    </row>
    <row r="960">
      <c r="A960" s="300"/>
    </row>
    <row r="961">
      <c r="A961" s="300"/>
    </row>
    <row r="962">
      <c r="A962" s="300"/>
    </row>
    <row r="963">
      <c r="A963" s="300"/>
    </row>
    <row r="964">
      <c r="A964" s="300"/>
    </row>
    <row r="965">
      <c r="A965" s="300"/>
    </row>
    <row r="966">
      <c r="A966" s="300"/>
    </row>
    <row r="967">
      <c r="A967" s="300"/>
    </row>
    <row r="968">
      <c r="A968" s="300"/>
    </row>
    <row r="969">
      <c r="A969" s="300"/>
    </row>
    <row r="970">
      <c r="A970" s="300"/>
    </row>
    <row r="971">
      <c r="A971" s="300"/>
    </row>
    <row r="972">
      <c r="A972" s="300"/>
    </row>
    <row r="973">
      <c r="A973" s="300"/>
    </row>
    <row r="974">
      <c r="A974" s="300"/>
    </row>
    <row r="975">
      <c r="A975" s="300"/>
    </row>
    <row r="976">
      <c r="A976" s="300"/>
    </row>
    <row r="977">
      <c r="A977" s="300"/>
    </row>
    <row r="978">
      <c r="A978" s="300"/>
    </row>
    <row r="979">
      <c r="A979" s="300"/>
    </row>
    <row r="980">
      <c r="A980" s="300"/>
    </row>
    <row r="981">
      <c r="A981" s="300"/>
    </row>
    <row r="982">
      <c r="A982" s="300"/>
    </row>
    <row r="983">
      <c r="A983" s="300"/>
    </row>
    <row r="984">
      <c r="A984" s="300"/>
    </row>
    <row r="985">
      <c r="A985" s="300"/>
    </row>
    <row r="986">
      <c r="A986" s="300"/>
    </row>
    <row r="987">
      <c r="A987" s="300"/>
    </row>
    <row r="988">
      <c r="A988" s="300"/>
    </row>
    <row r="989">
      <c r="A989" s="300"/>
    </row>
    <row r="990">
      <c r="A990" s="300"/>
    </row>
    <row r="991">
      <c r="A991" s="300"/>
    </row>
    <row r="992">
      <c r="A992" s="300"/>
    </row>
    <row r="993">
      <c r="A993" s="300"/>
    </row>
    <row r="994">
      <c r="A994" s="300"/>
    </row>
    <row r="995">
      <c r="A995" s="300"/>
    </row>
    <row r="996">
      <c r="A996" s="300"/>
    </row>
    <row r="997">
      <c r="A997" s="300"/>
    </row>
    <row r="998">
      <c r="A998" s="300"/>
    </row>
    <row r="999">
      <c r="A999" s="300"/>
    </row>
    <row r="1000">
      <c r="A1000" s="300"/>
    </row>
    <row r="1001">
      <c r="A1001" s="300"/>
    </row>
    <row r="1002">
      <c r="A1002" s="300"/>
    </row>
    <row r="1003">
      <c r="A1003" s="300"/>
    </row>
  </sheetData>
  <mergeCells count="4">
    <mergeCell ref="A1:O1"/>
    <mergeCell ref="B2:E2"/>
    <mergeCell ref="F2:K2"/>
    <mergeCell ref="L2:O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25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253"/>
      <c r="B2" s="25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260" t="s">
        <v>754</v>
      </c>
      <c r="B3" s="232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266" t="s">
        <v>570</v>
      </c>
      <c r="B4" s="235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260" t="s">
        <v>397</v>
      </c>
      <c r="B5" s="235" t="s">
        <v>402</v>
      </c>
      <c r="C5" s="271">
        <f>'13TH-11THMAY'!E5</f>
        <v>16</v>
      </c>
      <c r="D5" s="272">
        <v>10.0</v>
      </c>
      <c r="E5" s="273">
        <v>23.0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9</v>
      </c>
      <c r="N5" s="268"/>
      <c r="O5" s="269"/>
    </row>
    <row r="6">
      <c r="A6" s="260" t="s">
        <v>401</v>
      </c>
      <c r="B6" s="235" t="s">
        <v>402</v>
      </c>
      <c r="C6" s="271" t="str">
        <f>'13TH-11THMAY'!E6</f>
        <v/>
      </c>
      <c r="D6" s="272"/>
      <c r="E6" s="273"/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0</v>
      </c>
      <c r="N6" s="268"/>
      <c r="O6" s="269"/>
    </row>
    <row r="7">
      <c r="A7" s="260" t="s">
        <v>404</v>
      </c>
      <c r="B7" s="235" t="s">
        <v>402</v>
      </c>
      <c r="C7" s="271" t="str">
        <f>'13TH-11THMAY'!E7</f>
        <v/>
      </c>
      <c r="D7" s="272">
        <v>13.0</v>
      </c>
      <c r="E7" s="273">
        <v>2.0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55</v>
      </c>
      <c r="N7" s="268"/>
      <c r="O7" s="269"/>
    </row>
    <row r="8">
      <c r="A8" s="260" t="s">
        <v>406</v>
      </c>
      <c r="B8" s="235" t="s">
        <v>402</v>
      </c>
      <c r="C8" s="271">
        <f>'13TH-11THMAY'!E8</f>
        <v>8</v>
      </c>
      <c r="D8" s="272"/>
      <c r="E8" s="273"/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8</v>
      </c>
      <c r="N8" s="268"/>
      <c r="O8" s="269"/>
    </row>
    <row r="9">
      <c r="A9" s="260" t="s">
        <v>409</v>
      </c>
      <c r="B9" s="235" t="s">
        <v>402</v>
      </c>
      <c r="C9" s="271" t="str">
        <f>'13TH-11THMAY'!E9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260" t="s">
        <v>411</v>
      </c>
      <c r="B10" s="235" t="s">
        <v>402</v>
      </c>
      <c r="C10" s="271">
        <f>'13TH-11THMAY'!E10</f>
        <v>7</v>
      </c>
      <c r="D10" s="268"/>
      <c r="E10" s="273"/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56</v>
      </c>
      <c r="N10" s="268"/>
      <c r="O10" s="269"/>
    </row>
    <row r="11">
      <c r="A11" s="260" t="s">
        <v>413</v>
      </c>
      <c r="B11" s="235" t="s">
        <v>402</v>
      </c>
      <c r="C11" s="271">
        <f>'13TH-11THMAY'!E11</f>
        <v>8</v>
      </c>
      <c r="D11" s="272">
        <v>10.0</v>
      </c>
      <c r="E11" s="273">
        <v>7.0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11</v>
      </c>
      <c r="N11" s="268"/>
      <c r="O11" s="269"/>
    </row>
    <row r="12">
      <c r="A12" s="260" t="s">
        <v>414</v>
      </c>
      <c r="B12" s="235" t="s">
        <v>402</v>
      </c>
      <c r="C12" s="271" t="str">
        <f>'13TH-11THMAY'!E12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260" t="s">
        <v>416</v>
      </c>
      <c r="B13" s="235" t="s">
        <v>402</v>
      </c>
      <c r="C13" s="271">
        <f>'13TH-11THMAY'!E13</f>
        <v>5.5</v>
      </c>
      <c r="D13" s="272">
        <v>6.0</v>
      </c>
      <c r="E13" s="273">
        <v>6.0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49.5</v>
      </c>
      <c r="N13" s="268"/>
      <c r="O13" s="269"/>
    </row>
    <row r="14">
      <c r="A14" s="260" t="s">
        <v>418</v>
      </c>
      <c r="B14" s="235" t="s">
        <v>402</v>
      </c>
      <c r="C14" s="271">
        <f>'13TH-11THMAY'!E14</f>
        <v>6.5</v>
      </c>
      <c r="D14" s="272">
        <v>7.0</v>
      </c>
      <c r="E14" s="273"/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13.5</v>
      </c>
      <c r="N14" s="268"/>
      <c r="O14" s="269"/>
    </row>
    <row r="15">
      <c r="A15" s="260" t="s">
        <v>420</v>
      </c>
      <c r="B15" s="235" t="s">
        <v>402</v>
      </c>
      <c r="C15" s="271">
        <f>'13TH-11THMAY'!E15</f>
        <v>5</v>
      </c>
      <c r="D15" s="268"/>
      <c r="E15" s="273"/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20</v>
      </c>
      <c r="N15" s="268"/>
      <c r="O15" s="269"/>
    </row>
    <row r="16">
      <c r="A16" s="260" t="s">
        <v>422</v>
      </c>
      <c r="B16" s="235" t="s">
        <v>402</v>
      </c>
      <c r="C16" s="271">
        <f>'13TH-11THMAY'!E16</f>
        <v>2</v>
      </c>
      <c r="D16" s="272">
        <v>8.0</v>
      </c>
      <c r="E16" s="273">
        <v>5.0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20</v>
      </c>
      <c r="N16" s="268"/>
      <c r="O16" s="269"/>
    </row>
    <row r="17">
      <c r="A17" s="260" t="s">
        <v>423</v>
      </c>
      <c r="B17" s="235" t="s">
        <v>402</v>
      </c>
      <c r="C17" s="271">
        <f>'13TH-11THMAY'!E17</f>
        <v>8</v>
      </c>
      <c r="D17" s="272">
        <v>5.0</v>
      </c>
      <c r="E17" s="273">
        <v>9.0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8</v>
      </c>
      <c r="N17" s="268"/>
      <c r="O17" s="269"/>
    </row>
    <row r="18">
      <c r="A18" s="260" t="s">
        <v>425</v>
      </c>
      <c r="B18" s="235" t="s">
        <v>402</v>
      </c>
      <c r="C18" s="271">
        <f>'13TH-11THMAY'!E18</f>
        <v>3</v>
      </c>
      <c r="D18" s="272">
        <v>3.0</v>
      </c>
      <c r="E18" s="273">
        <v>4.0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4</v>
      </c>
      <c r="N18" s="268"/>
      <c r="O18" s="269"/>
    </row>
    <row r="19">
      <c r="A19" s="260" t="s">
        <v>426</v>
      </c>
      <c r="B19" s="235" t="s">
        <v>402</v>
      </c>
      <c r="C19" s="271">
        <f>'13TH-11THMAY'!E19</f>
        <v>3</v>
      </c>
      <c r="D19" s="272">
        <v>7.0</v>
      </c>
      <c r="E19" s="273">
        <v>9.0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1</v>
      </c>
      <c r="N19" s="268"/>
      <c r="O19" s="269"/>
    </row>
    <row r="20">
      <c r="A20" s="260" t="s">
        <v>428</v>
      </c>
      <c r="B20" s="235" t="s">
        <v>402</v>
      </c>
      <c r="C20" s="271">
        <f>'13TH-11THMAY'!E20</f>
        <v>3</v>
      </c>
      <c r="D20" s="268"/>
      <c r="E20" s="273">
        <v>2.0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1</v>
      </c>
      <c r="N20" s="268"/>
      <c r="O20" s="269"/>
    </row>
    <row r="21">
      <c r="A21" s="260" t="s">
        <v>429</v>
      </c>
      <c r="B21" s="235" t="s">
        <v>402</v>
      </c>
      <c r="C21" s="271">
        <f>'13TH-11THMAY'!E21</f>
        <v>5</v>
      </c>
      <c r="D21" s="272"/>
      <c r="E21" s="273">
        <v>5.0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0</v>
      </c>
      <c r="N21" s="268"/>
      <c r="O21" s="269"/>
    </row>
    <row r="22">
      <c r="A22" s="260" t="s">
        <v>431</v>
      </c>
      <c r="B22" s="235" t="s">
        <v>402</v>
      </c>
      <c r="C22" s="271" t="str">
        <f>'13TH-11THMAY'!E22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60" t="s">
        <v>432</v>
      </c>
      <c r="B23" s="235" t="s">
        <v>402</v>
      </c>
      <c r="C23" s="271">
        <f>'13TH-11THMAY'!E23</f>
        <v>4</v>
      </c>
      <c r="D23" s="272">
        <v>5.0</v>
      </c>
      <c r="E23" s="273">
        <v>8.0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2</v>
      </c>
      <c r="N23" s="268"/>
      <c r="O23" s="269"/>
    </row>
    <row r="24">
      <c r="A24" s="260" t="s">
        <v>433</v>
      </c>
      <c r="B24" s="235" t="s">
        <v>402</v>
      </c>
      <c r="C24" s="271">
        <f>'13TH-11THMAY'!E24</f>
        <v>3</v>
      </c>
      <c r="D24" s="272">
        <v>10.0</v>
      </c>
      <c r="E24" s="273">
        <v>5.0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8</v>
      </c>
      <c r="N24" s="268"/>
      <c r="O24" s="269"/>
    </row>
    <row r="25">
      <c r="A25" s="260" t="s">
        <v>435</v>
      </c>
      <c r="B25" s="235" t="s">
        <v>402</v>
      </c>
      <c r="C25" s="271">
        <f>'13TH-11THMAY'!E25</f>
        <v>8</v>
      </c>
      <c r="D25" s="272">
        <v>4.0</v>
      </c>
      <c r="E25" s="273">
        <v>8.0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4</v>
      </c>
      <c r="N25" s="268"/>
      <c r="O25" s="269"/>
    </row>
    <row r="26">
      <c r="A26" s="260" t="s">
        <v>438</v>
      </c>
      <c r="B26" s="235" t="s">
        <v>402</v>
      </c>
      <c r="C26" s="271">
        <f>'13TH-11THMAY'!E26</f>
        <v>4</v>
      </c>
      <c r="D26" s="268"/>
      <c r="E26" s="273">
        <v>3.0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1</v>
      </c>
      <c r="N26" s="268"/>
      <c r="O26" s="269"/>
    </row>
    <row r="27">
      <c r="A27" s="260" t="s">
        <v>439</v>
      </c>
      <c r="B27" s="235" t="s">
        <v>402</v>
      </c>
      <c r="C27" s="271" t="str">
        <f>'13TH-11THMAY'!E27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260" t="s">
        <v>440</v>
      </c>
      <c r="B28" s="235" t="s">
        <v>402</v>
      </c>
      <c r="C28" s="271">
        <f>'13TH-11THMAY'!E28</f>
        <v>6</v>
      </c>
      <c r="D28" s="268"/>
      <c r="E28" s="273">
        <v>5.0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1</v>
      </c>
      <c r="N28" s="268"/>
      <c r="O28" s="269"/>
    </row>
    <row r="29">
      <c r="A29" s="260" t="s">
        <v>441</v>
      </c>
      <c r="B29" s="235" t="s">
        <v>402</v>
      </c>
      <c r="C29" s="271">
        <f>'13TH-11THMAY'!E29</f>
        <v>10</v>
      </c>
      <c r="D29" s="268"/>
      <c r="E29" s="273">
        <v>8.5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3</v>
      </c>
      <c r="N29" s="268"/>
      <c r="O29" s="269"/>
    </row>
    <row r="30">
      <c r="A30" s="260" t="s">
        <v>442</v>
      </c>
      <c r="B30" s="235" t="s">
        <v>402</v>
      </c>
      <c r="C30" s="271">
        <f>'13TH-11THMAY'!E30</f>
        <v>4</v>
      </c>
      <c r="D30" s="272">
        <v>14.0</v>
      </c>
      <c r="E30" s="273">
        <v>14.0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4</v>
      </c>
      <c r="N30" s="268"/>
      <c r="O30" s="269"/>
    </row>
    <row r="31">
      <c r="A31" s="260" t="s">
        <v>444</v>
      </c>
      <c r="B31" s="235" t="s">
        <v>402</v>
      </c>
      <c r="C31" s="271" t="str">
        <f>'13TH-11THMAY'!E31</f>
        <v/>
      </c>
      <c r="D31" s="272">
        <v>6.0</v>
      </c>
      <c r="E31" s="273">
        <v>6.0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0</v>
      </c>
      <c r="N31" s="268"/>
      <c r="O31" s="269"/>
    </row>
    <row r="32">
      <c r="A32" s="260" t="s">
        <v>445</v>
      </c>
      <c r="B32" s="235" t="s">
        <v>402</v>
      </c>
      <c r="C32" s="271">
        <f>'13TH-11THMAY'!E32</f>
        <v>4</v>
      </c>
      <c r="D32" s="268"/>
      <c r="E32" s="273">
        <v>3.0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4</v>
      </c>
      <c r="N32" s="268"/>
      <c r="O32" s="269"/>
    </row>
    <row r="33">
      <c r="A33" s="260" t="s">
        <v>446</v>
      </c>
      <c r="B33" s="235" t="s">
        <v>402</v>
      </c>
      <c r="C33" s="271" t="str">
        <f>'13TH-11THMAY'!E33</f>
        <v/>
      </c>
      <c r="D33" s="268"/>
      <c r="E33" s="273"/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260" t="s">
        <v>447</v>
      </c>
      <c r="B34" s="235" t="s">
        <v>402</v>
      </c>
      <c r="C34" s="271">
        <f>'13TH-11THMAY'!E34</f>
        <v>7</v>
      </c>
      <c r="D34" s="272"/>
      <c r="E34" s="273"/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7</v>
      </c>
      <c r="N34" s="268"/>
      <c r="O34" s="269"/>
    </row>
    <row r="35">
      <c r="A35" s="260" t="s">
        <v>449</v>
      </c>
      <c r="B35" s="235" t="s">
        <v>402</v>
      </c>
      <c r="C35" s="271">
        <f>'13TH-11THMAY'!E35</f>
        <v>4</v>
      </c>
      <c r="D35" s="272"/>
      <c r="E35" s="273">
        <v>1.0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3</v>
      </c>
      <c r="N35" s="268"/>
      <c r="O35" s="269"/>
    </row>
    <row r="36">
      <c r="A36" s="260" t="s">
        <v>451</v>
      </c>
      <c r="B36" s="235" t="s">
        <v>402</v>
      </c>
      <c r="C36" s="271">
        <f>'13TH-11THMAY'!E36</f>
        <v>5</v>
      </c>
      <c r="D36" s="272">
        <v>5.0</v>
      </c>
      <c r="E36" s="273">
        <v>7.0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6</v>
      </c>
      <c r="N36" s="268"/>
      <c r="O36" s="269"/>
    </row>
    <row r="37">
      <c r="A37" s="275" t="s">
        <v>452</v>
      </c>
      <c r="B37" s="235" t="s">
        <v>402</v>
      </c>
      <c r="C37" s="271">
        <f>'13TH-11THMAY'!E37</f>
        <v>1</v>
      </c>
      <c r="D37" s="272">
        <v>6.0</v>
      </c>
      <c r="E37" s="273">
        <v>6.0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4</v>
      </c>
      <c r="N37" s="268"/>
      <c r="O37" s="269"/>
    </row>
    <row r="38">
      <c r="A38" s="275" t="s">
        <v>454</v>
      </c>
      <c r="B38" s="235" t="s">
        <v>402</v>
      </c>
      <c r="C38" s="271">
        <f>'13TH-11THMAY'!E38</f>
        <v>3</v>
      </c>
      <c r="D38" s="268"/>
      <c r="E38" s="273">
        <v>3.0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76" t="s">
        <v>455</v>
      </c>
      <c r="B39" s="235" t="s">
        <v>402</v>
      </c>
      <c r="C39" s="271">
        <f>'13TH-11THMAY'!E39</f>
        <v>8</v>
      </c>
      <c r="D39" s="268"/>
      <c r="E39" s="273">
        <v>7.0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4</v>
      </c>
      <c r="N39" s="268"/>
      <c r="O39" s="269"/>
    </row>
    <row r="40">
      <c r="A40" s="276" t="s">
        <v>456</v>
      </c>
      <c r="B40" s="235" t="s">
        <v>402</v>
      </c>
      <c r="C40" s="271">
        <f>'13TH-11THMAY'!E40</f>
        <v>6</v>
      </c>
      <c r="D40" s="272"/>
      <c r="E40" s="273"/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6</v>
      </c>
      <c r="N40" s="268"/>
      <c r="O40" s="269"/>
    </row>
    <row r="41">
      <c r="A41" s="276" t="s">
        <v>457</v>
      </c>
      <c r="B41" s="235" t="s">
        <v>402</v>
      </c>
      <c r="C41" s="271">
        <f>'13TH-11THMAY'!E41</f>
        <v>6</v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6</v>
      </c>
      <c r="N41" s="268"/>
      <c r="O41" s="269"/>
    </row>
    <row r="42">
      <c r="A42" s="277" t="s">
        <v>762</v>
      </c>
      <c r="B42" s="235"/>
      <c r="C42" s="271" t="str">
        <f>'13TH-11THMAY'!E42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'13TH-11THMAY'!E43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'13TH-11THMAY'!E44</f>
        <v/>
      </c>
      <c r="D44" s="227"/>
      <c r="E44" s="280"/>
      <c r="F44" s="235" t="s">
        <v>14</v>
      </c>
      <c r="G44" s="235"/>
      <c r="H44" s="272">
        <f>'13TH-11THMAY'!J44</f>
        <v>1.5</v>
      </c>
      <c r="I44" s="281">
        <v>1.0</v>
      </c>
      <c r="J44" s="282">
        <v>0.5</v>
      </c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1</v>
      </c>
      <c r="N44" s="191"/>
      <c r="O44" s="247"/>
    </row>
    <row r="45">
      <c r="A45" s="12" t="s">
        <v>16</v>
      </c>
      <c r="B45" s="13" t="s">
        <v>17</v>
      </c>
      <c r="C45" s="271" t="str">
        <f>'13TH-11THMAY'!E45</f>
        <v/>
      </c>
      <c r="D45" s="227">
        <v>7.0</v>
      </c>
      <c r="E45" s="280"/>
      <c r="F45" s="235" t="s">
        <v>17</v>
      </c>
      <c r="G45" s="235"/>
      <c r="H45" s="272">
        <f>'13TH-11THMAY'!J45</f>
        <v>19</v>
      </c>
      <c r="I45" s="281">
        <v>1.0</v>
      </c>
      <c r="J45" s="282">
        <v>12.0</v>
      </c>
      <c r="K45" s="283"/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14</v>
      </c>
      <c r="N45" s="191"/>
      <c r="O45" s="247"/>
    </row>
    <row r="46">
      <c r="A46" s="15" t="s">
        <v>19</v>
      </c>
      <c r="B46" s="13" t="s">
        <v>17</v>
      </c>
      <c r="C46" s="271" t="str">
        <f>'13TH-11THMAY'!E46</f>
        <v/>
      </c>
      <c r="D46" s="227">
        <v>4.0</v>
      </c>
      <c r="E46" s="280"/>
      <c r="F46" s="235" t="s">
        <v>17</v>
      </c>
      <c r="G46" s="235"/>
      <c r="H46" s="272">
        <f>'13TH-11THMAY'!J46</f>
        <v>5</v>
      </c>
      <c r="I46" s="281">
        <v>1.0</v>
      </c>
      <c r="J46" s="282">
        <v>4.0</v>
      </c>
      <c r="K46" s="283"/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5</v>
      </c>
      <c r="N46" s="191"/>
      <c r="O46" s="247"/>
    </row>
    <row r="47">
      <c r="A47" s="12" t="s">
        <v>20</v>
      </c>
      <c r="B47" s="13" t="s">
        <v>17</v>
      </c>
      <c r="C47" s="271" t="str">
        <f>'13TH-11THMAY'!E47</f>
        <v/>
      </c>
      <c r="D47" s="227">
        <v>10.0</v>
      </c>
      <c r="E47" s="280"/>
      <c r="F47" s="235" t="s">
        <v>17</v>
      </c>
      <c r="G47" s="235"/>
      <c r="H47" s="272" t="str">
        <f>'13TH-11THMAY'!J47</f>
        <v/>
      </c>
      <c r="I47" s="281">
        <v>1.0</v>
      </c>
      <c r="J47" s="282">
        <v>2.0</v>
      </c>
      <c r="K47" s="283"/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8</v>
      </c>
      <c r="N47" s="191"/>
      <c r="O47" s="247"/>
    </row>
    <row r="48">
      <c r="A48" s="12" t="s">
        <v>21</v>
      </c>
      <c r="B48" s="13" t="s">
        <v>17</v>
      </c>
      <c r="C48" s="271" t="str">
        <f>'13TH-11THMAY'!E48</f>
        <v/>
      </c>
      <c r="D48" s="227">
        <v>5.0</v>
      </c>
      <c r="E48" s="280"/>
      <c r="F48" s="235" t="s">
        <v>17</v>
      </c>
      <c r="G48" s="235"/>
      <c r="H48" s="272">
        <f>'13TH-11THMAY'!J48</f>
        <v>4</v>
      </c>
      <c r="I48" s="281">
        <v>1.0</v>
      </c>
      <c r="J48" s="282">
        <v>8.0</v>
      </c>
      <c r="K48" s="283"/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1</v>
      </c>
      <c r="N48" s="191"/>
      <c r="O48" s="247"/>
    </row>
    <row r="49">
      <c r="A49" s="12" t="s">
        <v>22</v>
      </c>
      <c r="B49" s="13" t="s">
        <v>17</v>
      </c>
      <c r="C49" s="271" t="str">
        <f>'13TH-11THMAY'!E49</f>
        <v/>
      </c>
      <c r="D49" s="191"/>
      <c r="E49" s="247"/>
      <c r="F49" s="235" t="s">
        <v>17</v>
      </c>
      <c r="G49" s="235"/>
      <c r="H49" s="272" t="str">
        <f>'13TH-11THMAY'!J49</f>
        <v/>
      </c>
      <c r="I49" s="281">
        <v>1.0</v>
      </c>
      <c r="J49" s="284"/>
      <c r="K49" s="283"/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'13TH-11THMAY'!E50</f>
        <v/>
      </c>
      <c r="D50" s="227">
        <v>1.0</v>
      </c>
      <c r="E50" s="280">
        <v>1.0</v>
      </c>
      <c r="F50" s="235" t="s">
        <v>25</v>
      </c>
      <c r="G50" s="235"/>
      <c r="H50" s="272">
        <f>'13TH-11THMAY'!J50</f>
        <v>0.626</v>
      </c>
      <c r="I50" s="281">
        <v>1.0</v>
      </c>
      <c r="J50" s="282">
        <v>0.445</v>
      </c>
      <c r="K50" s="283"/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0.181</v>
      </c>
      <c r="N50" s="191"/>
      <c r="O50" s="247"/>
    </row>
    <row r="51">
      <c r="A51" s="12" t="s">
        <v>27</v>
      </c>
      <c r="B51" s="12" t="s">
        <v>24</v>
      </c>
      <c r="C51" s="271" t="str">
        <f>'13TH-11THMAY'!E51</f>
        <v/>
      </c>
      <c r="D51" s="191"/>
      <c r="E51" s="247"/>
      <c r="F51" s="235" t="s">
        <v>24</v>
      </c>
      <c r="G51" s="235"/>
      <c r="H51" s="272" t="str">
        <f>'13TH-11THMAY'!J51</f>
        <v/>
      </c>
      <c r="I51" s="281">
        <v>1.0</v>
      </c>
      <c r="J51" s="284"/>
      <c r="K51" s="283"/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'13TH-11THMAY'!E52</f>
        <v/>
      </c>
      <c r="D52" s="191"/>
      <c r="E52" s="280"/>
      <c r="F52" s="235" t="s">
        <v>14</v>
      </c>
      <c r="G52" s="285"/>
      <c r="H52" s="272" t="str">
        <f>'13TH-11THMAY'!J52</f>
        <v/>
      </c>
      <c r="I52" s="281">
        <v>1.0</v>
      </c>
      <c r="J52" s="284"/>
      <c r="K52" s="283"/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286" t="s">
        <v>30</v>
      </c>
      <c r="B53" s="12" t="s">
        <v>24</v>
      </c>
      <c r="C53" s="271" t="str">
        <f>'13TH-11THMAY'!E53</f>
        <v/>
      </c>
      <c r="D53" s="227"/>
      <c r="E53" s="280"/>
      <c r="F53" s="235" t="s">
        <v>35</v>
      </c>
      <c r="G53" s="235"/>
      <c r="H53" s="272">
        <f>'13TH-11THMAY'!J53</f>
        <v>0.662</v>
      </c>
      <c r="I53" s="281">
        <v>1.0</v>
      </c>
      <c r="J53" s="282">
        <v>0.618</v>
      </c>
      <c r="K53" s="283"/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0.044</v>
      </c>
      <c r="N53" s="191"/>
      <c r="O53" s="247"/>
    </row>
    <row r="54">
      <c r="A54" s="12" t="s">
        <v>33</v>
      </c>
      <c r="B54" s="12" t="s">
        <v>34</v>
      </c>
      <c r="C54" s="271" t="str">
        <f>'13TH-11THMAY'!E54</f>
        <v/>
      </c>
      <c r="D54" s="227">
        <v>1.0</v>
      </c>
      <c r="E54" s="247"/>
      <c r="F54" s="235" t="s">
        <v>35</v>
      </c>
      <c r="G54" s="235"/>
      <c r="H54" s="272" t="str">
        <f>'13TH-11THMAY'!J54</f>
        <v/>
      </c>
      <c r="I54" s="281">
        <v>1.0</v>
      </c>
      <c r="J54" s="284"/>
      <c r="K54" s="283"/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0.4</v>
      </c>
      <c r="N54" s="191"/>
      <c r="O54" s="247"/>
    </row>
    <row r="55">
      <c r="A55" s="12" t="s">
        <v>37</v>
      </c>
      <c r="B55" s="12" t="s">
        <v>17</v>
      </c>
      <c r="C55" s="271" t="str">
        <f>'13TH-11THMAY'!E55</f>
        <v/>
      </c>
      <c r="D55" s="191"/>
      <c r="E55" s="247"/>
      <c r="F55" s="235" t="s">
        <v>752</v>
      </c>
      <c r="G55" s="235"/>
      <c r="H55" s="272" t="str">
        <f>'13TH-11THMAY'!J55</f>
        <v/>
      </c>
      <c r="I55" s="281">
        <v>1.0</v>
      </c>
      <c r="J55" s="284"/>
      <c r="K55" s="283"/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>
        <f>'13TH-11THMAY'!E56</f>
        <v>1</v>
      </c>
      <c r="D56" s="191"/>
      <c r="E56" s="247"/>
      <c r="F56" s="235" t="s">
        <v>17</v>
      </c>
      <c r="G56" s="235"/>
      <c r="H56" s="272">
        <f>'13TH-11THMAY'!J56</f>
        <v>13</v>
      </c>
      <c r="I56" s="281">
        <v>1.0</v>
      </c>
      <c r="J56" s="282">
        <v>68.0</v>
      </c>
      <c r="K56" s="283"/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45</v>
      </c>
      <c r="N56" s="191"/>
      <c r="O56" s="247"/>
    </row>
    <row r="57">
      <c r="A57" s="12" t="s">
        <v>42</v>
      </c>
      <c r="B57" s="12" t="s">
        <v>24</v>
      </c>
      <c r="C57" s="271" t="str">
        <f>'13TH-11THMAY'!E57</f>
        <v/>
      </c>
      <c r="D57" s="191"/>
      <c r="E57" s="280"/>
      <c r="F57" s="235" t="s">
        <v>35</v>
      </c>
      <c r="G57" s="235"/>
      <c r="H57" s="272">
        <f>'13TH-11THMAY'!J57</f>
        <v>0.212</v>
      </c>
      <c r="I57" s="281">
        <v>1.0</v>
      </c>
      <c r="J57" s="282">
        <v>0.131</v>
      </c>
      <c r="K57" s="283"/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0.081</v>
      </c>
      <c r="N57" s="191"/>
      <c r="O57" s="247"/>
    </row>
    <row r="58">
      <c r="A58" s="12" t="s">
        <v>44</v>
      </c>
      <c r="B58" s="12" t="s">
        <v>24</v>
      </c>
      <c r="C58" s="271" t="str">
        <f>'13TH-11THMAY'!E58</f>
        <v/>
      </c>
      <c r="D58" s="191"/>
      <c r="E58" s="247"/>
      <c r="F58" s="235" t="s">
        <v>25</v>
      </c>
      <c r="G58" s="235"/>
      <c r="H58" s="272">
        <f>'13TH-11THMAY'!J58</f>
        <v>0.472</v>
      </c>
      <c r="I58" s="281">
        <v>1.0</v>
      </c>
      <c r="J58" s="282">
        <v>0.472</v>
      </c>
      <c r="K58" s="283"/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</v>
      </c>
      <c r="N58" s="191"/>
      <c r="O58" s="247"/>
    </row>
    <row r="59">
      <c r="A59" s="12" t="s">
        <v>45</v>
      </c>
      <c r="B59" s="12" t="s">
        <v>24</v>
      </c>
      <c r="C59" s="271" t="str">
        <f>'13TH-11THMAY'!E59</f>
        <v/>
      </c>
      <c r="D59" s="191"/>
      <c r="E59" s="247"/>
      <c r="F59" s="235" t="s">
        <v>25</v>
      </c>
      <c r="G59" s="235"/>
      <c r="H59" s="272">
        <f>'13TH-11THMAY'!J59</f>
        <v>0.873</v>
      </c>
      <c r="I59" s="281">
        <v>1.0</v>
      </c>
      <c r="J59" s="282">
        <v>0.873</v>
      </c>
      <c r="K59" s="283"/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</v>
      </c>
      <c r="N59" s="191"/>
      <c r="O59" s="247"/>
    </row>
    <row r="60">
      <c r="A60" s="17" t="s">
        <v>46</v>
      </c>
      <c r="B60" s="12" t="s">
        <v>47</v>
      </c>
      <c r="C60" s="271" t="str">
        <f>'13TH-11THMAY'!E60</f>
        <v/>
      </c>
      <c r="D60" s="191"/>
      <c r="E60" s="247"/>
      <c r="F60" s="235" t="s">
        <v>51</v>
      </c>
      <c r="G60" s="235"/>
      <c r="H60" s="272" t="str">
        <f>'13TH-11THMAY'!J60</f>
        <v/>
      </c>
      <c r="I60" s="281">
        <v>1.0</v>
      </c>
      <c r="J60" s="284"/>
      <c r="K60" s="283"/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'13TH-11THMAY'!E61</f>
        <v/>
      </c>
      <c r="D61" s="191"/>
      <c r="E61" s="247"/>
      <c r="F61" s="235" t="s">
        <v>51</v>
      </c>
      <c r="G61" s="235"/>
      <c r="H61" s="272" t="str">
        <f>'13TH-11THMAY'!J61</f>
        <v/>
      </c>
      <c r="I61" s="281">
        <v>1.0</v>
      </c>
      <c r="J61" s="284"/>
      <c r="K61" s="283"/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'13TH-11THMAY'!E62</f>
        <v/>
      </c>
      <c r="D62" s="191"/>
      <c r="E62" s="247"/>
      <c r="F62" s="235" t="s">
        <v>51</v>
      </c>
      <c r="G62" s="235"/>
      <c r="H62" s="272">
        <f>'13TH-11THMAY'!J62</f>
        <v>0.32</v>
      </c>
      <c r="I62" s="281">
        <v>1.0</v>
      </c>
      <c r="J62" s="282">
        <v>0.312</v>
      </c>
      <c r="K62" s="283"/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0.008</v>
      </c>
      <c r="N62" s="191"/>
      <c r="O62" s="247"/>
    </row>
    <row r="63">
      <c r="A63" s="12" t="s">
        <v>53</v>
      </c>
      <c r="B63" s="12" t="s">
        <v>35</v>
      </c>
      <c r="C63" s="271" t="str">
        <f>'13TH-11THMAY'!E63</f>
        <v/>
      </c>
      <c r="D63" s="191"/>
      <c r="E63" s="247"/>
      <c r="F63" s="235" t="s">
        <v>35</v>
      </c>
      <c r="G63" s="235"/>
      <c r="H63" s="272">
        <f>'13TH-11THMAY'!J63</f>
        <v>0.817</v>
      </c>
      <c r="I63" s="281">
        <v>1.0</v>
      </c>
      <c r="J63" s="282">
        <v>0.81</v>
      </c>
      <c r="K63" s="283"/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0.007</v>
      </c>
      <c r="N63" s="191"/>
      <c r="O63" s="247"/>
    </row>
    <row r="64">
      <c r="A64" s="11" t="s">
        <v>55</v>
      </c>
      <c r="B64" s="11" t="s">
        <v>56</v>
      </c>
      <c r="C64" s="271" t="str">
        <f>'13TH-11THMAY'!E64</f>
        <v/>
      </c>
      <c r="D64" s="191"/>
      <c r="E64" s="247"/>
      <c r="F64" s="235" t="s">
        <v>14</v>
      </c>
      <c r="G64" s="235"/>
      <c r="H64" s="272">
        <f>'13TH-11THMAY'!J64</f>
        <v>4.783</v>
      </c>
      <c r="I64" s="281">
        <v>1.0</v>
      </c>
      <c r="J64" s="282">
        <v>3.83</v>
      </c>
      <c r="K64" s="283"/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0.953</v>
      </c>
      <c r="N64" s="191"/>
      <c r="O64" s="247"/>
    </row>
    <row r="65">
      <c r="A65" s="10" t="s">
        <v>57</v>
      </c>
      <c r="B65" s="11"/>
      <c r="C65" s="271" t="str">
        <f>'13TH-11THMAY'!E65</f>
        <v/>
      </c>
      <c r="D65" s="191"/>
      <c r="E65" s="247"/>
      <c r="F65" s="235"/>
      <c r="G65" s="235"/>
      <c r="H65" s="272" t="str">
        <f>'13TH-11THMAY'!J65</f>
        <v/>
      </c>
      <c r="I65" s="281">
        <v>1.0</v>
      </c>
      <c r="J65" s="284"/>
      <c r="K65" s="283"/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'13TH-11THMAY'!E66</f>
        <v>2</v>
      </c>
      <c r="D66" s="227">
        <v>4.0</v>
      </c>
      <c r="E66" s="280"/>
      <c r="F66" s="235" t="s">
        <v>35</v>
      </c>
      <c r="G66" s="235"/>
      <c r="H66" s="272">
        <f>'13TH-11THMAY'!J66</f>
        <v>0.416</v>
      </c>
      <c r="I66" s="281">
        <v>1.0</v>
      </c>
      <c r="J66" s="282">
        <v>1.662</v>
      </c>
      <c r="K66" s="283"/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10.754</v>
      </c>
      <c r="N66" s="191"/>
      <c r="O66" s="247"/>
    </row>
    <row r="67">
      <c r="A67" s="12" t="s">
        <v>61</v>
      </c>
      <c r="B67" s="12" t="s">
        <v>59</v>
      </c>
      <c r="C67" s="271" t="str">
        <f>'13TH-11THMAY'!E67</f>
        <v/>
      </c>
      <c r="D67" s="191"/>
      <c r="E67" s="247"/>
      <c r="F67" s="235" t="s">
        <v>35</v>
      </c>
      <c r="G67" s="235"/>
      <c r="H67" s="272">
        <f>'13TH-11THMAY'!J67</f>
        <v>0.21</v>
      </c>
      <c r="I67" s="281">
        <v>1.0</v>
      </c>
      <c r="J67" s="282">
        <v>0.2</v>
      </c>
      <c r="K67" s="283"/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0.01</v>
      </c>
      <c r="N67" s="191"/>
      <c r="O67" s="247"/>
    </row>
    <row r="68">
      <c r="A68" s="12" t="s">
        <v>62</v>
      </c>
      <c r="B68" s="12" t="s">
        <v>35</v>
      </c>
      <c r="C68" s="271" t="str">
        <f>'13TH-11THMAY'!E68</f>
        <v/>
      </c>
      <c r="D68" s="227"/>
      <c r="E68" s="280"/>
      <c r="F68" s="235" t="s">
        <v>35</v>
      </c>
      <c r="G68" s="235"/>
      <c r="H68" s="272">
        <f>'13TH-11THMAY'!J68</f>
        <v>5</v>
      </c>
      <c r="I68" s="281">
        <v>1.0</v>
      </c>
      <c r="J68" s="284"/>
      <c r="K68" s="283"/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4.9</v>
      </c>
      <c r="N68" s="191"/>
      <c r="O68" s="247"/>
    </row>
    <row r="69">
      <c r="A69" s="12" t="s">
        <v>64</v>
      </c>
      <c r="B69" s="12" t="s">
        <v>59</v>
      </c>
      <c r="C69" s="271" t="str">
        <f>'13TH-11THMAY'!E69</f>
        <v/>
      </c>
      <c r="D69" s="227">
        <v>1.0</v>
      </c>
      <c r="E69" s="280">
        <v>1.0</v>
      </c>
      <c r="F69" s="235" t="s">
        <v>35</v>
      </c>
      <c r="G69" s="235"/>
      <c r="H69" s="272" t="str">
        <f>'13TH-11THMAY'!J69</f>
        <v/>
      </c>
      <c r="I69" s="281">
        <v>1.0</v>
      </c>
      <c r="J69" s="282"/>
      <c r="K69" s="283"/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</v>
      </c>
      <c r="N69" s="191"/>
      <c r="O69" s="247"/>
    </row>
    <row r="70">
      <c r="A70" s="10" t="s">
        <v>65</v>
      </c>
      <c r="B70" s="11"/>
      <c r="C70" s="271" t="str">
        <f>'13TH-11THMAY'!E70</f>
        <v/>
      </c>
      <c r="D70" s="191"/>
      <c r="E70" s="247"/>
      <c r="F70" s="235"/>
      <c r="G70" s="235"/>
      <c r="H70" s="272" t="str">
        <f>'13TH-11THMAY'!J70</f>
        <v/>
      </c>
      <c r="I70" s="281">
        <v>1.0</v>
      </c>
      <c r="J70" s="284"/>
      <c r="K70" s="283"/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'13TH-11THMAY'!E71</f>
        <v/>
      </c>
      <c r="D71" s="227">
        <v>1.0</v>
      </c>
      <c r="E71" s="247"/>
      <c r="F71" s="235" t="s">
        <v>25</v>
      </c>
      <c r="G71" s="285">
        <v>5.0</v>
      </c>
      <c r="H71" s="272">
        <f>'13TH-11THMAY'!J71</f>
        <v>1</v>
      </c>
      <c r="I71" s="281">
        <v>1.0</v>
      </c>
      <c r="J71" s="282">
        <v>1.5</v>
      </c>
      <c r="K71" s="283"/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22.9</v>
      </c>
      <c r="N71" s="191"/>
      <c r="O71" s="247"/>
    </row>
    <row r="72">
      <c r="A72" s="12" t="s">
        <v>68</v>
      </c>
      <c r="B72" s="12" t="s">
        <v>35</v>
      </c>
      <c r="C72" s="271" t="str">
        <f>'13TH-11THMAY'!E72</f>
        <v/>
      </c>
      <c r="D72" s="227">
        <v>1.0</v>
      </c>
      <c r="E72" s="247"/>
      <c r="F72" s="235" t="s">
        <v>35</v>
      </c>
      <c r="G72" s="235"/>
      <c r="H72" s="272">
        <f>'13TH-11THMAY'!J72</f>
        <v>0.192</v>
      </c>
      <c r="I72" s="281">
        <v>1.0</v>
      </c>
      <c r="J72" s="282">
        <v>0.612</v>
      </c>
      <c r="K72" s="283"/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0.58</v>
      </c>
      <c r="N72" s="191"/>
      <c r="O72" s="247"/>
    </row>
    <row r="73">
      <c r="A73" s="12" t="s">
        <v>70</v>
      </c>
      <c r="B73" s="12" t="s">
        <v>35</v>
      </c>
      <c r="C73" s="271" t="str">
        <f>'13TH-11THMAY'!E73</f>
        <v/>
      </c>
      <c r="D73" s="191"/>
      <c r="E73" s="247"/>
      <c r="F73" s="235" t="s">
        <v>35</v>
      </c>
      <c r="G73" s="235"/>
      <c r="H73" s="272" t="str">
        <f>'13TH-11THMAY'!J73</f>
        <v/>
      </c>
      <c r="I73" s="281">
        <v>1.0</v>
      </c>
      <c r="J73" s="284"/>
      <c r="K73" s="283"/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'13TH-11THMAY'!E74</f>
        <v/>
      </c>
      <c r="D74" s="227">
        <v>1.0</v>
      </c>
      <c r="E74" s="247"/>
      <c r="F74" s="235" t="s">
        <v>25</v>
      </c>
      <c r="G74" s="235"/>
      <c r="H74" s="272" t="str">
        <f>'13TH-11THMAY'!J74</f>
        <v/>
      </c>
      <c r="I74" s="281">
        <v>1.0</v>
      </c>
      <c r="J74" s="282">
        <v>0.781</v>
      </c>
      <c r="K74" s="283"/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0.219</v>
      </c>
      <c r="N74" s="191"/>
      <c r="O74" s="247"/>
    </row>
    <row r="75">
      <c r="A75" s="12" t="s">
        <v>74</v>
      </c>
      <c r="B75" s="12" t="s">
        <v>17</v>
      </c>
      <c r="C75" s="271" t="str">
        <f>'13TH-11THMAY'!E75</f>
        <v/>
      </c>
      <c r="D75" s="191"/>
      <c r="E75" s="247"/>
      <c r="F75" s="235" t="s">
        <v>25</v>
      </c>
      <c r="G75" s="235"/>
      <c r="H75" s="272">
        <f>'13TH-11THMAY'!J75</f>
        <v>1.57</v>
      </c>
      <c r="I75" s="281">
        <v>1.0</v>
      </c>
      <c r="J75" s="282">
        <v>1.546</v>
      </c>
      <c r="K75" s="283"/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0.024</v>
      </c>
      <c r="N75" s="191"/>
      <c r="O75" s="247"/>
    </row>
    <row r="76">
      <c r="A76" s="12" t="s">
        <v>76</v>
      </c>
      <c r="B76" s="12" t="s">
        <v>72</v>
      </c>
      <c r="C76" s="271" t="str">
        <f>'13TH-11THMAY'!E76</f>
        <v/>
      </c>
      <c r="D76" s="191"/>
      <c r="E76" s="247"/>
      <c r="F76" s="235" t="s">
        <v>35</v>
      </c>
      <c r="G76" s="235"/>
      <c r="H76" s="272">
        <f>'13TH-11THMAY'!J76</f>
        <v>1</v>
      </c>
      <c r="I76" s="281">
        <v>1.0</v>
      </c>
      <c r="J76" s="282">
        <v>1.0</v>
      </c>
      <c r="K76" s="283"/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'13TH-11THMAY'!E77</f>
        <v/>
      </c>
      <c r="D77" s="191"/>
      <c r="E77" s="247"/>
      <c r="F77" s="235" t="s">
        <v>25</v>
      </c>
      <c r="G77" s="235"/>
      <c r="H77" s="272">
        <f>'13TH-11THMAY'!J77</f>
        <v>1.8</v>
      </c>
      <c r="I77" s="281">
        <v>1.0</v>
      </c>
      <c r="J77" s="282">
        <v>1.685</v>
      </c>
      <c r="K77" s="283"/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0.115</v>
      </c>
      <c r="N77" s="191"/>
      <c r="O77" s="247"/>
    </row>
    <row r="78">
      <c r="A78" s="12" t="s">
        <v>80</v>
      </c>
      <c r="B78" s="12" t="s">
        <v>56</v>
      </c>
      <c r="C78" s="271" t="str">
        <f>'13TH-11THMAY'!E78</f>
        <v/>
      </c>
      <c r="D78" s="191"/>
      <c r="E78" s="247"/>
      <c r="F78" s="235" t="s">
        <v>35</v>
      </c>
      <c r="G78" s="235"/>
      <c r="H78" s="272" t="str">
        <f>'13TH-11THMAY'!J78</f>
        <v/>
      </c>
      <c r="I78" s="281">
        <v>1.0</v>
      </c>
      <c r="J78" s="284"/>
      <c r="K78" s="283"/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'13TH-11THMAY'!E79</f>
        <v/>
      </c>
      <c r="D79" s="227"/>
      <c r="E79" s="247"/>
      <c r="F79" s="235" t="s">
        <v>35</v>
      </c>
      <c r="G79" s="285">
        <v>1.0</v>
      </c>
      <c r="H79" s="272">
        <f>'13TH-11THMAY'!J79</f>
        <v>0.304</v>
      </c>
      <c r="I79" s="281">
        <v>1.0</v>
      </c>
      <c r="J79" s="282">
        <v>0.684</v>
      </c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0.62</v>
      </c>
      <c r="N79" s="191"/>
      <c r="O79" s="247"/>
    </row>
    <row r="80">
      <c r="A80" s="10" t="s">
        <v>85</v>
      </c>
      <c r="B80" s="11"/>
      <c r="C80" s="271" t="str">
        <f>'13TH-11THMAY'!E80</f>
        <v/>
      </c>
      <c r="D80" s="191"/>
      <c r="E80" s="247"/>
      <c r="F80" s="235"/>
      <c r="G80" s="235"/>
      <c r="H80" s="272" t="str">
        <f>'13TH-11THMAY'!J80</f>
        <v/>
      </c>
      <c r="I80" s="281">
        <v>1.0</v>
      </c>
      <c r="J80" s="284"/>
      <c r="K80" s="283"/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'13TH-11THMAY'!E81</f>
        <v/>
      </c>
      <c r="D81" s="227">
        <v>1.0</v>
      </c>
      <c r="E81" s="247"/>
      <c r="F81" s="235" t="s">
        <v>25</v>
      </c>
      <c r="G81" s="235"/>
      <c r="H81" s="272" t="str">
        <f>'13TH-11THMAY'!J81</f>
        <v/>
      </c>
      <c r="I81" s="281">
        <v>1.0</v>
      </c>
      <c r="J81" s="282"/>
      <c r="K81" s="283"/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0.5</v>
      </c>
      <c r="N81" s="191"/>
      <c r="O81" s="247"/>
    </row>
    <row r="82">
      <c r="A82" s="12" t="s">
        <v>87</v>
      </c>
      <c r="B82" s="12" t="s">
        <v>83</v>
      </c>
      <c r="C82" s="271">
        <f>'13TH-11THMAY'!E82</f>
        <v>1</v>
      </c>
      <c r="D82" s="227"/>
      <c r="E82" s="280"/>
      <c r="F82" s="235" t="s">
        <v>25</v>
      </c>
      <c r="G82" s="235"/>
      <c r="H82" s="272">
        <f>'13TH-11THMAY'!J82</f>
        <v>0.395</v>
      </c>
      <c r="I82" s="281">
        <v>1.0</v>
      </c>
      <c r="J82" s="282">
        <v>0.698</v>
      </c>
      <c r="K82" s="283"/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0.197</v>
      </c>
      <c r="N82" s="191"/>
      <c r="O82" s="247"/>
    </row>
    <row r="83">
      <c r="A83" s="12" t="s">
        <v>88</v>
      </c>
      <c r="B83" s="12" t="s">
        <v>83</v>
      </c>
      <c r="C83" s="271" t="str">
        <f>'13TH-11THMAY'!E83</f>
        <v/>
      </c>
      <c r="D83" s="191"/>
      <c r="E83" s="247"/>
      <c r="F83" s="235" t="s">
        <v>25</v>
      </c>
      <c r="G83" s="235"/>
      <c r="H83" s="272">
        <f>'13TH-11THMAY'!J83</f>
        <v>1.032</v>
      </c>
      <c r="I83" s="281">
        <v>1.0</v>
      </c>
      <c r="J83" s="282">
        <v>0.872</v>
      </c>
      <c r="K83" s="283"/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0.16</v>
      </c>
      <c r="N83" s="191"/>
      <c r="O83" s="247"/>
    </row>
    <row r="84">
      <c r="A84" s="12" t="s">
        <v>89</v>
      </c>
      <c r="B84" s="12" t="s">
        <v>83</v>
      </c>
      <c r="C84" s="271" t="str">
        <f>'13TH-11THMAY'!E84</f>
        <v/>
      </c>
      <c r="D84" s="227">
        <v>1.0</v>
      </c>
      <c r="E84" s="280"/>
      <c r="F84" s="235" t="s">
        <v>25</v>
      </c>
      <c r="G84" s="235"/>
      <c r="H84" s="272">
        <f>'13TH-11THMAY'!J84</f>
        <v>0.565</v>
      </c>
      <c r="I84" s="281">
        <v>1.0</v>
      </c>
      <c r="J84" s="282">
        <v>0.543</v>
      </c>
      <c r="K84" s="283"/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0.532</v>
      </c>
      <c r="N84" s="191"/>
      <c r="O84" s="247"/>
    </row>
    <row r="85">
      <c r="A85" s="12" t="s">
        <v>90</v>
      </c>
      <c r="B85" s="12" t="s">
        <v>24</v>
      </c>
      <c r="C85" s="271" t="str">
        <f>'13TH-11THMAY'!E85</f>
        <v/>
      </c>
      <c r="D85" s="191"/>
      <c r="E85" s="280"/>
      <c r="F85" s="235" t="s">
        <v>25</v>
      </c>
      <c r="G85" s="235"/>
      <c r="H85" s="272">
        <f>'13TH-11THMAY'!J85</f>
        <v>0.143</v>
      </c>
      <c r="I85" s="281">
        <v>1.0</v>
      </c>
      <c r="J85" s="282">
        <v>0.111</v>
      </c>
      <c r="K85" s="283"/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0.032</v>
      </c>
      <c r="N85" s="191"/>
      <c r="O85" s="247"/>
    </row>
    <row r="86">
      <c r="A86" s="12" t="s">
        <v>91</v>
      </c>
      <c r="B86" s="12" t="s">
        <v>56</v>
      </c>
      <c r="C86" s="271" t="str">
        <f>'13TH-11THMAY'!E86</f>
        <v/>
      </c>
      <c r="D86" s="227"/>
      <c r="E86" s="280"/>
      <c r="F86" s="235" t="s">
        <v>25</v>
      </c>
      <c r="G86" s="285">
        <v>1.311</v>
      </c>
      <c r="H86" s="272" t="str">
        <f>'13TH-11THMAY'!J86</f>
        <v/>
      </c>
      <c r="I86" s="281">
        <v>1.0</v>
      </c>
      <c r="J86" s="282">
        <v>1.311</v>
      </c>
      <c r="K86" s="283"/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0</v>
      </c>
      <c r="N86" s="191"/>
      <c r="O86" s="247"/>
    </row>
    <row r="87">
      <c r="A87" s="12" t="s">
        <v>92</v>
      </c>
      <c r="B87" s="12" t="s">
        <v>83</v>
      </c>
      <c r="C87" s="271" t="str">
        <f>'13TH-11THMAY'!E87</f>
        <v/>
      </c>
      <c r="D87" s="191"/>
      <c r="E87" s="247"/>
      <c r="F87" s="235" t="s">
        <v>25</v>
      </c>
      <c r="G87" s="285">
        <v>1.0</v>
      </c>
      <c r="H87" s="272">
        <f>'13TH-11THMAY'!J87</f>
        <v>0.314</v>
      </c>
      <c r="I87" s="281">
        <v>1.0</v>
      </c>
      <c r="J87" s="282">
        <v>0.605</v>
      </c>
      <c r="K87" s="283"/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0.709</v>
      </c>
      <c r="N87" s="191"/>
      <c r="O87" s="247"/>
    </row>
    <row r="88">
      <c r="A88" s="12" t="s">
        <v>93</v>
      </c>
      <c r="B88" s="12" t="s">
        <v>83</v>
      </c>
      <c r="C88" s="271" t="str">
        <f>'13TH-11THMAY'!E88</f>
        <v/>
      </c>
      <c r="D88" s="191"/>
      <c r="E88" s="247"/>
      <c r="F88" s="235" t="s">
        <v>25</v>
      </c>
      <c r="G88" s="235"/>
      <c r="H88" s="272">
        <f>'13TH-11THMAY'!J88</f>
        <v>0.74</v>
      </c>
      <c r="I88" s="281">
        <v>1.0</v>
      </c>
      <c r="J88" s="282">
        <v>0.74</v>
      </c>
      <c r="K88" s="283"/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</v>
      </c>
      <c r="N88" s="191"/>
      <c r="O88" s="247"/>
    </row>
    <row r="89">
      <c r="A89" s="12" t="s">
        <v>95</v>
      </c>
      <c r="B89" s="12" t="s">
        <v>83</v>
      </c>
      <c r="C89" s="271" t="str">
        <f>'13TH-11THMAY'!E89</f>
        <v/>
      </c>
      <c r="D89" s="191"/>
      <c r="E89" s="247"/>
      <c r="F89" s="235" t="s">
        <v>25</v>
      </c>
      <c r="G89" s="235"/>
      <c r="H89" s="272">
        <f>'13TH-11THMAY'!J89</f>
        <v>0.591</v>
      </c>
      <c r="I89" s="281">
        <v>1.0</v>
      </c>
      <c r="J89" s="282">
        <v>0.563</v>
      </c>
      <c r="K89" s="283"/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0.028</v>
      </c>
      <c r="N89" s="191"/>
      <c r="O89" s="247"/>
    </row>
    <row r="90">
      <c r="A90" s="10" t="s">
        <v>96</v>
      </c>
      <c r="B90" s="11"/>
      <c r="C90" s="271" t="str">
        <f>'13TH-11THMAY'!E90</f>
        <v/>
      </c>
      <c r="D90" s="191"/>
      <c r="E90" s="247"/>
      <c r="F90" s="235"/>
      <c r="G90" s="235"/>
      <c r="H90" s="272" t="str">
        <f>'13TH-11THMAY'!J90</f>
        <v/>
      </c>
      <c r="I90" s="281">
        <v>1.0</v>
      </c>
      <c r="J90" s="284"/>
      <c r="K90" s="283"/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'13TH-11THMAY'!E91</f>
        <v/>
      </c>
      <c r="D91" s="191"/>
      <c r="E91" s="247"/>
      <c r="F91" s="235" t="s">
        <v>35</v>
      </c>
      <c r="G91" s="235"/>
      <c r="H91" s="272" t="str">
        <f>'13TH-11THMAY'!J91</f>
        <v/>
      </c>
      <c r="I91" s="281">
        <v>1.0</v>
      </c>
      <c r="J91" s="284"/>
      <c r="K91" s="283"/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'13TH-11THMAY'!E92</f>
        <v/>
      </c>
      <c r="D92" s="191"/>
      <c r="E92" s="247"/>
      <c r="F92" s="235" t="s">
        <v>35</v>
      </c>
      <c r="G92" s="235"/>
      <c r="H92" s="272">
        <f>'13TH-11THMAY'!J92</f>
        <v>0.517</v>
      </c>
      <c r="I92" s="281">
        <v>1.0</v>
      </c>
      <c r="J92" s="282">
        <v>0.51</v>
      </c>
      <c r="K92" s="283"/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0.007</v>
      </c>
      <c r="N92" s="191"/>
      <c r="O92" s="247"/>
    </row>
    <row r="93">
      <c r="A93" s="12" t="s">
        <v>100</v>
      </c>
      <c r="B93" s="12" t="s">
        <v>40</v>
      </c>
      <c r="C93" s="271">
        <f>'13TH-11THMAY'!E93</f>
        <v>1</v>
      </c>
      <c r="D93" s="191"/>
      <c r="E93" s="280">
        <v>1.0</v>
      </c>
      <c r="F93" s="235" t="s">
        <v>35</v>
      </c>
      <c r="G93" s="235"/>
      <c r="H93" s="272" t="str">
        <f>'13TH-11THMAY'!J93</f>
        <v/>
      </c>
      <c r="I93" s="281">
        <v>1.0</v>
      </c>
      <c r="J93" s="282"/>
      <c r="K93" s="283"/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</v>
      </c>
      <c r="N93" s="191"/>
      <c r="O93" s="247"/>
    </row>
    <row r="94">
      <c r="A94" s="12" t="s">
        <v>101</v>
      </c>
      <c r="B94" s="12" t="s">
        <v>40</v>
      </c>
      <c r="C94" s="271" t="str">
        <f>'13TH-11THMAY'!E94</f>
        <v/>
      </c>
      <c r="D94" s="191"/>
      <c r="E94" s="247"/>
      <c r="F94" s="235" t="s">
        <v>35</v>
      </c>
      <c r="G94" s="235"/>
      <c r="H94" s="272" t="str">
        <f>'13TH-11THMAY'!J94</f>
        <v/>
      </c>
      <c r="I94" s="281">
        <v>1.0</v>
      </c>
      <c r="J94" s="284"/>
      <c r="K94" s="283"/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'13TH-11THMAY'!E95</f>
        <v/>
      </c>
      <c r="D95" s="191"/>
      <c r="E95" s="247"/>
      <c r="F95" s="235" t="s">
        <v>35</v>
      </c>
      <c r="G95" s="235"/>
      <c r="H95" s="272" t="str">
        <f>'13TH-11THMAY'!J95</f>
        <v/>
      </c>
      <c r="I95" s="281">
        <v>1.0</v>
      </c>
      <c r="J95" s="282"/>
      <c r="K95" s="283"/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</v>
      </c>
      <c r="N95" s="191"/>
      <c r="O95" s="247"/>
    </row>
    <row r="96">
      <c r="A96" s="12" t="s">
        <v>103</v>
      </c>
      <c r="B96" s="12" t="s">
        <v>40</v>
      </c>
      <c r="C96" s="271" t="str">
        <f>'13TH-11THMAY'!E96</f>
        <v/>
      </c>
      <c r="D96" s="191"/>
      <c r="E96" s="247"/>
      <c r="F96" s="235" t="s">
        <v>35</v>
      </c>
      <c r="G96" s="235"/>
      <c r="H96" s="272">
        <f>'13TH-11THMAY'!J96</f>
        <v>0.846</v>
      </c>
      <c r="I96" s="281">
        <v>1.0</v>
      </c>
      <c r="J96" s="282">
        <v>0.846</v>
      </c>
      <c r="K96" s="283"/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71" t="str">
        <f>'13TH-11THMAY'!E97</f>
        <v/>
      </c>
      <c r="D97" s="191"/>
      <c r="E97" s="247"/>
      <c r="F97" s="235" t="s">
        <v>35</v>
      </c>
      <c r="G97" s="235"/>
      <c r="H97" s="272" t="str">
        <f>'13TH-11THMAY'!J97</f>
        <v/>
      </c>
      <c r="I97" s="281">
        <v>1.0</v>
      </c>
      <c r="J97" s="284"/>
      <c r="K97" s="283"/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'13TH-11THMAY'!E98</f>
        <v/>
      </c>
      <c r="D98" s="191"/>
      <c r="E98" s="247"/>
      <c r="F98" s="235" t="s">
        <v>35</v>
      </c>
      <c r="G98" s="235"/>
      <c r="H98" s="272" t="str">
        <f>'13TH-11THMAY'!J98</f>
        <v/>
      </c>
      <c r="I98" s="281">
        <v>1.0</v>
      </c>
      <c r="J98" s="282"/>
      <c r="K98" s="283"/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</v>
      </c>
      <c r="N98" s="191"/>
      <c r="O98" s="247"/>
    </row>
    <row r="99">
      <c r="A99" s="12" t="s">
        <v>108</v>
      </c>
      <c r="B99" s="12" t="s">
        <v>40</v>
      </c>
      <c r="C99" s="271" t="str">
        <f>'13TH-11THMAY'!E99</f>
        <v/>
      </c>
      <c r="D99" s="191"/>
      <c r="E99" s="247"/>
      <c r="F99" s="235" t="s">
        <v>35</v>
      </c>
      <c r="G99" s="235"/>
      <c r="H99" s="272">
        <f>'13TH-11THMAY'!J99</f>
        <v>0.349</v>
      </c>
      <c r="I99" s="281">
        <v>1.0</v>
      </c>
      <c r="J99" s="282">
        <v>0.345</v>
      </c>
      <c r="K99" s="283"/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0.004</v>
      </c>
      <c r="N99" s="191"/>
      <c r="O99" s="247"/>
    </row>
    <row r="100">
      <c r="A100" s="12" t="s">
        <v>109</v>
      </c>
      <c r="B100" s="12" t="s">
        <v>40</v>
      </c>
      <c r="C100" s="271" t="str">
        <f>'13TH-11THMAY'!E100</f>
        <v/>
      </c>
      <c r="D100" s="191"/>
      <c r="E100" s="247"/>
      <c r="F100" s="235" t="s">
        <v>35</v>
      </c>
      <c r="G100" s="235"/>
      <c r="H100" s="272">
        <f>'13TH-11THMAY'!J100</f>
        <v>0.303</v>
      </c>
      <c r="I100" s="281">
        <v>1.0</v>
      </c>
      <c r="J100" s="282">
        <v>0.297</v>
      </c>
      <c r="K100" s="283"/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0.006</v>
      </c>
      <c r="N100" s="191"/>
      <c r="O100" s="247"/>
    </row>
    <row r="101">
      <c r="A101" s="12" t="s">
        <v>110</v>
      </c>
      <c r="B101" s="12" t="s">
        <v>40</v>
      </c>
      <c r="C101" s="271" t="str">
        <f>'13TH-11THMAY'!E101</f>
        <v/>
      </c>
      <c r="D101" s="191"/>
      <c r="E101" s="247"/>
      <c r="F101" s="235" t="s">
        <v>35</v>
      </c>
      <c r="G101" s="285">
        <v>0.493</v>
      </c>
      <c r="H101" s="272">
        <f>'13TH-11THMAY'!J101</f>
        <v>0.493</v>
      </c>
      <c r="I101" s="281">
        <v>1.0</v>
      </c>
      <c r="J101" s="282">
        <v>0.524</v>
      </c>
      <c r="K101" s="283"/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0.462</v>
      </c>
      <c r="N101" s="191"/>
      <c r="O101" s="247"/>
    </row>
    <row r="102">
      <c r="A102" s="12" t="s">
        <v>111</v>
      </c>
      <c r="B102" s="12" t="s">
        <v>40</v>
      </c>
      <c r="C102" s="271" t="str">
        <f>'13TH-11THMAY'!E102</f>
        <v/>
      </c>
      <c r="D102" s="191"/>
      <c r="E102" s="247"/>
      <c r="F102" s="235" t="s">
        <v>35</v>
      </c>
      <c r="G102" s="235"/>
      <c r="H102" s="272" t="str">
        <f>'13TH-11THMAY'!J102</f>
        <v/>
      </c>
      <c r="I102" s="281">
        <v>1.0</v>
      </c>
      <c r="J102" s="284"/>
      <c r="K102" s="283"/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 t="str">
        <f>'13TH-11THMAY'!E103</f>
        <v/>
      </c>
      <c r="D103" s="191"/>
      <c r="E103" s="247"/>
      <c r="F103" s="235" t="s">
        <v>35</v>
      </c>
      <c r="G103" s="235"/>
      <c r="H103" s="272">
        <f>'13TH-11THMAY'!J103</f>
        <v>0.393</v>
      </c>
      <c r="I103" s="281">
        <v>1.0</v>
      </c>
      <c r="J103" s="282">
        <v>0.299</v>
      </c>
      <c r="K103" s="283"/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0.094</v>
      </c>
      <c r="N103" s="191"/>
      <c r="O103" s="247"/>
    </row>
    <row r="104">
      <c r="A104" s="12" t="s">
        <v>114</v>
      </c>
      <c r="B104" s="12" t="s">
        <v>40</v>
      </c>
      <c r="C104" s="271" t="str">
        <f>'13TH-11THMAY'!E104</f>
        <v/>
      </c>
      <c r="D104" s="191"/>
      <c r="E104" s="247"/>
      <c r="F104" s="235" t="s">
        <v>35</v>
      </c>
      <c r="G104" s="285"/>
      <c r="H104" s="272">
        <f>'13TH-11THMAY'!J104</f>
        <v>0.39</v>
      </c>
      <c r="I104" s="281">
        <v>1.0</v>
      </c>
      <c r="J104" s="282">
        <v>0.386</v>
      </c>
      <c r="K104" s="283"/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0.004</v>
      </c>
      <c r="N104" s="191"/>
      <c r="O104" s="247"/>
    </row>
    <row r="105">
      <c r="A105" s="12" t="s">
        <v>116</v>
      </c>
      <c r="B105" s="12" t="s">
        <v>40</v>
      </c>
      <c r="C105" s="271" t="str">
        <f>'13TH-11THMAY'!E105</f>
        <v/>
      </c>
      <c r="D105" s="191"/>
      <c r="E105" s="247"/>
      <c r="F105" s="235" t="s">
        <v>35</v>
      </c>
      <c r="G105" s="235"/>
      <c r="H105" s="272" t="str">
        <f>'13TH-11THMAY'!J105</f>
        <v/>
      </c>
      <c r="I105" s="281">
        <v>1.0</v>
      </c>
      <c r="J105" s="284"/>
      <c r="K105" s="283"/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'13TH-11THMAY'!E106</f>
        <v/>
      </c>
      <c r="D106" s="191"/>
      <c r="E106" s="247"/>
      <c r="F106" s="235" t="s">
        <v>35</v>
      </c>
      <c r="G106" s="285"/>
      <c r="H106" s="272">
        <f>'13TH-11THMAY'!J106</f>
        <v>0.056</v>
      </c>
      <c r="I106" s="281">
        <v>1.0</v>
      </c>
      <c r="J106" s="282">
        <v>0.04</v>
      </c>
      <c r="K106" s="283"/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0.016</v>
      </c>
      <c r="N106" s="191"/>
      <c r="O106" s="247"/>
    </row>
    <row r="107">
      <c r="A107" s="12" t="s">
        <v>118</v>
      </c>
      <c r="B107" s="12" t="s">
        <v>40</v>
      </c>
      <c r="C107" s="271" t="str">
        <f>'13TH-11THMAY'!E107</f>
        <v/>
      </c>
      <c r="D107" s="191"/>
      <c r="E107" s="247"/>
      <c r="F107" s="235" t="s">
        <v>35</v>
      </c>
      <c r="G107" s="235"/>
      <c r="H107" s="272">
        <f>'13TH-11THMAY'!J107</f>
        <v>0.992</v>
      </c>
      <c r="I107" s="281">
        <v>1.0</v>
      </c>
      <c r="J107" s="284">
        <f>0.49+0.5</f>
        <v>0.99</v>
      </c>
      <c r="K107" s="283"/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0.002</v>
      </c>
      <c r="N107" s="191"/>
      <c r="O107" s="247"/>
    </row>
    <row r="108">
      <c r="A108" s="12" t="s">
        <v>119</v>
      </c>
      <c r="B108" s="12" t="s">
        <v>40</v>
      </c>
      <c r="C108" s="271" t="str">
        <f>'13TH-11THMAY'!E108</f>
        <v/>
      </c>
      <c r="D108" s="191"/>
      <c r="E108" s="247"/>
      <c r="F108" s="235" t="s">
        <v>35</v>
      </c>
      <c r="G108" s="235"/>
      <c r="H108" s="272">
        <f>'13TH-11THMAY'!J108</f>
        <v>0.658</v>
      </c>
      <c r="I108" s="281">
        <v>1.0</v>
      </c>
      <c r="J108" s="282">
        <v>0.651</v>
      </c>
      <c r="K108" s="283"/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0.007</v>
      </c>
      <c r="N108" s="191"/>
      <c r="O108" s="247"/>
    </row>
    <row r="109">
      <c r="A109" s="12" t="s">
        <v>120</v>
      </c>
      <c r="B109" s="12" t="s">
        <v>40</v>
      </c>
      <c r="C109" s="271" t="str">
        <f>'13TH-11THMAY'!E109</f>
        <v/>
      </c>
      <c r="D109" s="191"/>
      <c r="E109" s="247"/>
      <c r="F109" s="235" t="s">
        <v>35</v>
      </c>
      <c r="G109" s="235"/>
      <c r="H109" s="272" t="str">
        <f>'13TH-11THMAY'!J109</f>
        <v/>
      </c>
      <c r="I109" s="281">
        <v>1.0</v>
      </c>
      <c r="J109" s="282"/>
      <c r="K109" s="283"/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</v>
      </c>
      <c r="N109" s="191"/>
      <c r="O109" s="247"/>
    </row>
    <row r="110">
      <c r="A110" s="12" t="s">
        <v>121</v>
      </c>
      <c r="B110" s="12" t="s">
        <v>40</v>
      </c>
      <c r="C110" s="271" t="str">
        <f>'13TH-11THMAY'!E110</f>
        <v/>
      </c>
      <c r="D110" s="191"/>
      <c r="E110" s="247"/>
      <c r="F110" s="235" t="s">
        <v>35</v>
      </c>
      <c r="G110" s="235"/>
      <c r="H110" s="272">
        <f>'13TH-11THMAY'!J110</f>
        <v>0.315</v>
      </c>
      <c r="I110" s="281">
        <v>1.0</v>
      </c>
      <c r="J110" s="282">
        <v>0.308</v>
      </c>
      <c r="K110" s="283"/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0.007</v>
      </c>
      <c r="N110" s="191"/>
      <c r="O110" s="247"/>
    </row>
    <row r="111">
      <c r="A111" s="12" t="s">
        <v>122</v>
      </c>
      <c r="B111" s="12" t="s">
        <v>40</v>
      </c>
      <c r="C111" s="271" t="str">
        <f>'13TH-11THMAY'!E111</f>
        <v/>
      </c>
      <c r="D111" s="191"/>
      <c r="E111" s="247"/>
      <c r="F111" s="235" t="s">
        <v>35</v>
      </c>
      <c r="G111" s="235"/>
      <c r="H111" s="272" t="str">
        <f>'13TH-11THMAY'!J111</f>
        <v/>
      </c>
      <c r="I111" s="281">
        <v>1.0</v>
      </c>
      <c r="J111" s="284"/>
      <c r="K111" s="283"/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'13TH-11THMAY'!E112</f>
        <v/>
      </c>
      <c r="D112" s="191"/>
      <c r="E112" s="247"/>
      <c r="F112" s="235" t="s">
        <v>35</v>
      </c>
      <c r="G112" s="235"/>
      <c r="H112" s="272">
        <f>'13TH-11THMAY'!J112</f>
        <v>0.614</v>
      </c>
      <c r="I112" s="281">
        <v>1.0</v>
      </c>
      <c r="J112" s="282">
        <f>0.6</f>
        <v>0.6</v>
      </c>
      <c r="K112" s="283"/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0.014</v>
      </c>
      <c r="N112" s="191"/>
      <c r="O112" s="247"/>
    </row>
    <row r="113">
      <c r="A113" s="12" t="s">
        <v>124</v>
      </c>
      <c r="B113" s="12" t="s">
        <v>40</v>
      </c>
      <c r="C113" s="271" t="str">
        <f>'13TH-11THMAY'!E113</f>
        <v/>
      </c>
      <c r="D113" s="191"/>
      <c r="E113" s="247"/>
      <c r="F113" s="235" t="s">
        <v>35</v>
      </c>
      <c r="G113" s="235"/>
      <c r="H113" s="272">
        <f>'13TH-11THMAY'!J113</f>
        <v>0.04</v>
      </c>
      <c r="I113" s="281">
        <v>1.0</v>
      </c>
      <c r="J113" s="282">
        <v>0.04</v>
      </c>
      <c r="K113" s="283"/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</v>
      </c>
      <c r="N113" s="191"/>
      <c r="O113" s="247"/>
    </row>
    <row r="114">
      <c r="A114" s="12" t="s">
        <v>125</v>
      </c>
      <c r="B114" s="12" t="s">
        <v>40</v>
      </c>
      <c r="C114" s="271" t="str">
        <f>'13TH-11THMAY'!E114</f>
        <v/>
      </c>
      <c r="D114" s="191"/>
      <c r="E114" s="247"/>
      <c r="F114" s="235" t="s">
        <v>35</v>
      </c>
      <c r="G114" s="235"/>
      <c r="H114" s="272" t="str">
        <f>'13TH-11THMAY'!J114</f>
        <v/>
      </c>
      <c r="I114" s="281">
        <v>1.0</v>
      </c>
      <c r="J114" s="284"/>
      <c r="K114" s="283"/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'13TH-11THMAY'!E115</f>
        <v/>
      </c>
      <c r="D115" s="191"/>
      <c r="E115" s="247"/>
      <c r="F115" s="235" t="s">
        <v>35</v>
      </c>
      <c r="G115" s="235"/>
      <c r="H115" s="272">
        <f>'13TH-11THMAY'!J115</f>
        <v>0.614</v>
      </c>
      <c r="I115" s="281">
        <v>1.0</v>
      </c>
      <c r="J115" s="282">
        <v>0.61</v>
      </c>
      <c r="K115" s="283"/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0.004</v>
      </c>
      <c r="N115" s="191"/>
      <c r="O115" s="247"/>
    </row>
    <row r="116">
      <c r="A116" s="12" t="s">
        <v>127</v>
      </c>
      <c r="B116" s="12" t="s">
        <v>40</v>
      </c>
      <c r="C116" s="271" t="str">
        <f>'13TH-11THMAY'!E116</f>
        <v/>
      </c>
      <c r="D116" s="191"/>
      <c r="E116" s="247"/>
      <c r="F116" s="235" t="s">
        <v>35</v>
      </c>
      <c r="G116" s="235"/>
      <c r="H116" s="272">
        <f>'13TH-11THMAY'!J116</f>
        <v>0.03</v>
      </c>
      <c r="I116" s="281">
        <v>1.0</v>
      </c>
      <c r="J116" s="282">
        <v>0.03</v>
      </c>
      <c r="K116" s="283"/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</v>
      </c>
      <c r="N116" s="191"/>
      <c r="O116" s="247"/>
    </row>
    <row r="117">
      <c r="A117" s="12" t="s">
        <v>128</v>
      </c>
      <c r="B117" s="12" t="s">
        <v>40</v>
      </c>
      <c r="C117" s="271">
        <f>'13TH-11THMAY'!E117</f>
        <v>1</v>
      </c>
      <c r="D117" s="191"/>
      <c r="E117" s="280">
        <v>1.0</v>
      </c>
      <c r="F117" s="235" t="s">
        <v>35</v>
      </c>
      <c r="G117" s="235"/>
      <c r="H117" s="272" t="str">
        <f>'13TH-11THMAY'!J117</f>
        <v/>
      </c>
      <c r="I117" s="281">
        <v>1.0</v>
      </c>
      <c r="J117" s="282"/>
      <c r="K117" s="283"/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</v>
      </c>
      <c r="N117" s="191"/>
      <c r="O117" s="247"/>
    </row>
    <row r="118">
      <c r="A118" s="12" t="s">
        <v>129</v>
      </c>
      <c r="B118" s="12" t="s">
        <v>40</v>
      </c>
      <c r="C118" s="271" t="str">
        <f>'13TH-11THMAY'!E118</f>
        <v/>
      </c>
      <c r="D118" s="191"/>
      <c r="E118" s="247"/>
      <c r="F118" s="235" t="s">
        <v>35</v>
      </c>
      <c r="G118" s="235"/>
      <c r="H118" s="272">
        <f>'13TH-11THMAY'!J118</f>
        <v>0.835</v>
      </c>
      <c r="I118" s="281">
        <v>1.0</v>
      </c>
      <c r="J118" s="282">
        <v>0.83</v>
      </c>
      <c r="K118" s="283"/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0.005</v>
      </c>
      <c r="N118" s="191"/>
      <c r="O118" s="247"/>
    </row>
    <row r="119">
      <c r="A119" s="12" t="s">
        <v>130</v>
      </c>
      <c r="B119" s="12" t="s">
        <v>40</v>
      </c>
      <c r="C119" s="271" t="str">
        <f>'13TH-11THMAY'!E119</f>
        <v/>
      </c>
      <c r="D119" s="191"/>
      <c r="E119" s="247"/>
      <c r="F119" s="235" t="s">
        <v>35</v>
      </c>
      <c r="G119" s="235"/>
      <c r="H119" s="272">
        <f>'13TH-11THMAY'!J119</f>
        <v>0.108</v>
      </c>
      <c r="I119" s="281">
        <v>1.0</v>
      </c>
      <c r="J119" s="282">
        <v>0.1</v>
      </c>
      <c r="K119" s="283"/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0.008</v>
      </c>
      <c r="N119" s="191"/>
      <c r="O119" s="247"/>
    </row>
    <row r="120">
      <c r="A120" s="12" t="s">
        <v>131</v>
      </c>
      <c r="B120" s="12" t="s">
        <v>40</v>
      </c>
      <c r="C120" s="271" t="str">
        <f>'13TH-11THMAY'!E120</f>
        <v/>
      </c>
      <c r="D120" s="191"/>
      <c r="E120" s="247"/>
      <c r="F120" s="235" t="s">
        <v>35</v>
      </c>
      <c r="G120" s="235"/>
      <c r="H120" s="272" t="str">
        <f>'13TH-11THMAY'!J120</f>
        <v/>
      </c>
      <c r="I120" s="281">
        <v>1.0</v>
      </c>
      <c r="J120" s="282"/>
      <c r="K120" s="283"/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247"/>
    </row>
    <row r="121">
      <c r="A121" s="12" t="s">
        <v>132</v>
      </c>
      <c r="B121" s="12" t="s">
        <v>40</v>
      </c>
      <c r="C121" s="271" t="str">
        <f>'13TH-11THMAY'!E121</f>
        <v/>
      </c>
      <c r="D121" s="191"/>
      <c r="E121" s="247"/>
      <c r="F121" s="235" t="s">
        <v>35</v>
      </c>
      <c r="G121" s="235"/>
      <c r="H121" s="272">
        <f>'13TH-11THMAY'!J121</f>
        <v>0.908</v>
      </c>
      <c r="I121" s="281">
        <v>1.0</v>
      </c>
      <c r="J121" s="282">
        <f>0.39+0.5</f>
        <v>0.89</v>
      </c>
      <c r="K121" s="283"/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0.018</v>
      </c>
      <c r="N121" s="191"/>
      <c r="O121" s="247"/>
    </row>
    <row r="122">
      <c r="A122" s="12" t="s">
        <v>133</v>
      </c>
      <c r="B122" s="12" t="s">
        <v>40</v>
      </c>
      <c r="C122" s="271" t="str">
        <f>'13TH-11THMAY'!E122</f>
        <v/>
      </c>
      <c r="D122" s="191"/>
      <c r="E122" s="247"/>
      <c r="F122" s="235" t="s">
        <v>35</v>
      </c>
      <c r="G122" s="235"/>
      <c r="H122" s="272">
        <f>'13TH-11THMAY'!J122</f>
        <v>0.086</v>
      </c>
      <c r="I122" s="281">
        <v>1.0</v>
      </c>
      <c r="J122" s="282">
        <v>0.08</v>
      </c>
      <c r="K122" s="283"/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0.006</v>
      </c>
      <c r="N122" s="191"/>
      <c r="O122" s="247"/>
    </row>
    <row r="123">
      <c r="A123" s="12" t="s">
        <v>134</v>
      </c>
      <c r="B123" s="12" t="s">
        <v>40</v>
      </c>
      <c r="C123" s="271" t="str">
        <f>'13TH-11THMAY'!E123</f>
        <v/>
      </c>
      <c r="D123" s="191"/>
      <c r="E123" s="247"/>
      <c r="F123" s="235" t="s">
        <v>35</v>
      </c>
      <c r="G123" s="235"/>
      <c r="H123" s="272" t="str">
        <f>'13TH-11THMAY'!J123</f>
        <v/>
      </c>
      <c r="I123" s="281">
        <v>1.0</v>
      </c>
      <c r="J123" s="284"/>
      <c r="K123" s="283"/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'13TH-11THMAY'!E124</f>
        <v/>
      </c>
      <c r="D124" s="191"/>
      <c r="E124" s="247"/>
      <c r="F124" s="235" t="s">
        <v>35</v>
      </c>
      <c r="G124" s="235"/>
      <c r="H124" s="272" t="str">
        <f>'13TH-11THMAY'!J124</f>
        <v/>
      </c>
      <c r="I124" s="281">
        <v>1.0</v>
      </c>
      <c r="J124" s="284"/>
      <c r="K124" s="283"/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'13TH-11THMAY'!E125</f>
        <v/>
      </c>
      <c r="D125" s="191"/>
      <c r="E125" s="247"/>
      <c r="F125" s="285" t="s">
        <v>35</v>
      </c>
      <c r="G125" s="235"/>
      <c r="H125" s="272" t="str">
        <f>'13TH-11THMAY'!J125</f>
        <v/>
      </c>
      <c r="I125" s="281">
        <v>1.0</v>
      </c>
      <c r="J125" s="284"/>
      <c r="K125" s="283"/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247"/>
    </row>
    <row r="126">
      <c r="A126" s="21" t="s">
        <v>143</v>
      </c>
      <c r="B126" s="15" t="s">
        <v>40</v>
      </c>
      <c r="C126" s="271" t="str">
        <f>'13TH-11THMAY'!E126</f>
        <v/>
      </c>
      <c r="D126" s="191"/>
      <c r="E126" s="247"/>
      <c r="F126" s="285" t="s">
        <v>35</v>
      </c>
      <c r="G126" s="235"/>
      <c r="H126" s="272">
        <f>'13TH-11THMAY'!J126</f>
        <v>0.232</v>
      </c>
      <c r="I126" s="281">
        <v>1.0</v>
      </c>
      <c r="J126" s="282">
        <v>0.23</v>
      </c>
      <c r="K126" s="283"/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0.002</v>
      </c>
      <c r="N126" s="191"/>
      <c r="O126" s="247"/>
    </row>
    <row r="127">
      <c r="A127" s="10" t="s">
        <v>146</v>
      </c>
      <c r="B127" s="11"/>
      <c r="C127" s="271" t="str">
        <f>'13TH-11THMAY'!E127</f>
        <v/>
      </c>
      <c r="D127" s="191"/>
      <c r="E127" s="247"/>
      <c r="F127" s="235"/>
      <c r="G127" s="235"/>
      <c r="H127" s="272" t="str">
        <f>'13TH-11THMAY'!J127</f>
        <v/>
      </c>
      <c r="I127" s="281">
        <v>1.0</v>
      </c>
      <c r="J127" s="284"/>
      <c r="K127" s="283"/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'13TH-11THMAY'!E128</f>
        <v/>
      </c>
      <c r="D128" s="191"/>
      <c r="E128" s="247"/>
      <c r="F128" s="235" t="s">
        <v>35</v>
      </c>
      <c r="G128" s="235"/>
      <c r="H128" s="272" t="str">
        <f>'13TH-11THMAY'!J128</f>
        <v/>
      </c>
      <c r="I128" s="281">
        <v>1.0</v>
      </c>
      <c r="J128" s="284"/>
      <c r="K128" s="283"/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'13TH-11THMAY'!E129</f>
        <v/>
      </c>
      <c r="D129" s="191"/>
      <c r="E129" s="247"/>
      <c r="F129" s="235" t="s">
        <v>35</v>
      </c>
      <c r="G129" s="235"/>
      <c r="H129" s="272">
        <f>'13TH-11THMAY'!J129</f>
        <v>1.361</v>
      </c>
      <c r="I129" s="281">
        <v>1.0</v>
      </c>
      <c r="J129" s="282"/>
      <c r="K129" s="283"/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1.361</v>
      </c>
      <c r="N129" s="191"/>
      <c r="O129" s="247"/>
    </row>
    <row r="130">
      <c r="A130" s="12" t="s">
        <v>149</v>
      </c>
      <c r="B130" s="12" t="s">
        <v>40</v>
      </c>
      <c r="C130" s="271" t="str">
        <f>'13TH-11THMAY'!E130</f>
        <v/>
      </c>
      <c r="D130" s="191"/>
      <c r="E130" s="247"/>
      <c r="F130" s="235" t="s">
        <v>35</v>
      </c>
      <c r="G130" s="235"/>
      <c r="H130" s="272">
        <f>'13TH-11THMAY'!J130</f>
        <v>0.322</v>
      </c>
      <c r="I130" s="281">
        <v>1.0</v>
      </c>
      <c r="J130" s="282">
        <v>0.199</v>
      </c>
      <c r="K130" s="283"/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0.123</v>
      </c>
      <c r="N130" s="191"/>
      <c r="O130" s="247"/>
    </row>
    <row r="131">
      <c r="A131" s="12" t="s">
        <v>150</v>
      </c>
      <c r="B131" s="12" t="s">
        <v>24</v>
      </c>
      <c r="C131" s="271" t="str">
        <f>'13TH-11THMAY'!E131</f>
        <v/>
      </c>
      <c r="D131" s="191"/>
      <c r="E131" s="247"/>
      <c r="F131" s="235" t="s">
        <v>25</v>
      </c>
      <c r="G131" s="235"/>
      <c r="H131" s="272" t="str">
        <f>'13TH-11THMAY'!J131</f>
        <v/>
      </c>
      <c r="I131" s="281">
        <v>1.0</v>
      </c>
      <c r="J131" s="284"/>
      <c r="K131" s="283"/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'13TH-11THMAY'!E132</f>
        <v/>
      </c>
      <c r="D132" s="191"/>
      <c r="E132" s="247"/>
      <c r="F132" s="235"/>
      <c r="G132" s="235"/>
      <c r="H132" s="272" t="str">
        <f>'13TH-11THMAY'!J132</f>
        <v/>
      </c>
      <c r="I132" s="281">
        <v>1.0</v>
      </c>
      <c r="J132" s="284"/>
      <c r="K132" s="283"/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'13TH-11THMAY'!E133</f>
        <v/>
      </c>
      <c r="D133" s="227">
        <v>2.0</v>
      </c>
      <c r="E133" s="247"/>
      <c r="F133" s="235" t="s">
        <v>35</v>
      </c>
      <c r="G133" s="235"/>
      <c r="H133" s="272">
        <f>'13TH-11THMAY'!J133</f>
        <v>0.5</v>
      </c>
      <c r="I133" s="281">
        <v>1.0</v>
      </c>
      <c r="J133" s="284"/>
      <c r="K133" s="283"/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0.864</v>
      </c>
      <c r="N133" s="191"/>
      <c r="O133" s="247"/>
    </row>
    <row r="134">
      <c r="A134" s="12" t="s">
        <v>154</v>
      </c>
      <c r="B134" s="12" t="s">
        <v>155</v>
      </c>
      <c r="C134" s="271" t="str">
        <f>'13TH-11THMAY'!E134</f>
        <v/>
      </c>
      <c r="D134" s="191"/>
      <c r="E134" s="247"/>
      <c r="F134" s="235" t="s">
        <v>35</v>
      </c>
      <c r="G134" s="235"/>
      <c r="H134" s="272" t="str">
        <f>'13TH-11THMAY'!J134</f>
        <v/>
      </c>
      <c r="I134" s="281">
        <v>1.0</v>
      </c>
      <c r="J134" s="284"/>
      <c r="K134" s="283"/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>
        <f>'13TH-11THMAY'!E135</f>
        <v>1</v>
      </c>
      <c r="D135" s="227"/>
      <c r="E135" s="280">
        <v>1.0</v>
      </c>
      <c r="F135" s="235" t="s">
        <v>35</v>
      </c>
      <c r="G135" s="235"/>
      <c r="H135" s="272" t="str">
        <f>'13TH-11THMAY'!J135</f>
        <v/>
      </c>
      <c r="I135" s="281">
        <v>1.0</v>
      </c>
      <c r="J135" s="282"/>
      <c r="K135" s="283"/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</v>
      </c>
      <c r="N135" s="191"/>
      <c r="O135" s="247"/>
    </row>
    <row r="136">
      <c r="A136" s="12" t="s">
        <v>158</v>
      </c>
      <c r="B136" s="12" t="s">
        <v>34</v>
      </c>
      <c r="C136" s="271" t="str">
        <f>'13TH-11THMAY'!E136</f>
        <v/>
      </c>
      <c r="D136" s="227">
        <v>1.0</v>
      </c>
      <c r="E136" s="280">
        <v>1.0</v>
      </c>
      <c r="F136" s="235" t="s">
        <v>35</v>
      </c>
      <c r="G136" s="235"/>
      <c r="H136" s="272" t="str">
        <f>'13TH-11THMAY'!J136</f>
        <v/>
      </c>
      <c r="I136" s="281">
        <v>1.0</v>
      </c>
      <c r="J136" s="284"/>
      <c r="K136" s="283"/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</v>
      </c>
      <c r="N136" s="191"/>
      <c r="O136" s="247"/>
    </row>
    <row r="137">
      <c r="A137" s="12" t="s">
        <v>159</v>
      </c>
      <c r="B137" s="12" t="s">
        <v>34</v>
      </c>
      <c r="C137" s="271" t="str">
        <f>'13TH-11THMAY'!E137</f>
        <v/>
      </c>
      <c r="D137" s="191"/>
      <c r="E137" s="247"/>
      <c r="F137" s="235" t="s">
        <v>35</v>
      </c>
      <c r="G137" s="235"/>
      <c r="H137" s="272" t="str">
        <f>'13TH-11THMAY'!J137</f>
        <v/>
      </c>
      <c r="I137" s="281">
        <v>1.0</v>
      </c>
      <c r="J137" s="284"/>
      <c r="K137" s="283"/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'13TH-11THMAY'!E138</f>
        <v/>
      </c>
      <c r="D138" s="191"/>
      <c r="E138" s="247"/>
      <c r="F138" s="235" t="s">
        <v>35</v>
      </c>
      <c r="G138" s="235"/>
      <c r="H138" s="272">
        <f>'13TH-11THMAY'!J138</f>
        <v>0.503</v>
      </c>
      <c r="I138" s="281">
        <v>1.0</v>
      </c>
      <c r="J138" s="282">
        <v>0.498</v>
      </c>
      <c r="K138" s="283"/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0.005</v>
      </c>
      <c r="N138" s="191"/>
      <c r="O138" s="247"/>
    </row>
    <row r="139">
      <c r="A139" s="12" t="s">
        <v>161</v>
      </c>
      <c r="B139" s="12" t="s">
        <v>34</v>
      </c>
      <c r="C139" s="271" t="str">
        <f>'13TH-11THMAY'!E139</f>
        <v/>
      </c>
      <c r="D139" s="191"/>
      <c r="E139" s="247"/>
      <c r="F139" s="235" t="s">
        <v>35</v>
      </c>
      <c r="G139" s="235"/>
      <c r="H139" s="272">
        <f>'13TH-11THMAY'!J139</f>
        <v>0.508</v>
      </c>
      <c r="I139" s="281">
        <v>1.0</v>
      </c>
      <c r="J139" s="282">
        <v>0.507</v>
      </c>
      <c r="K139" s="283"/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0.001</v>
      </c>
      <c r="N139" s="191"/>
      <c r="O139" s="247"/>
    </row>
    <row r="140">
      <c r="A140" s="12" t="s">
        <v>162</v>
      </c>
      <c r="B140" s="12" t="s">
        <v>34</v>
      </c>
      <c r="C140" s="271">
        <f>'13TH-11THMAY'!E140</f>
        <v>1</v>
      </c>
      <c r="D140" s="191"/>
      <c r="E140" s="280">
        <v>1.0</v>
      </c>
      <c r="F140" s="235" t="s">
        <v>35</v>
      </c>
      <c r="G140" s="235"/>
      <c r="H140" s="272" t="str">
        <f>'13TH-11THMAY'!J140</f>
        <v/>
      </c>
      <c r="I140" s="281">
        <v>1.0</v>
      </c>
      <c r="J140" s="282"/>
      <c r="K140" s="283"/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 t="str">
        <f>'13TH-11THMAY'!E141</f>
        <v/>
      </c>
      <c r="D141" s="191"/>
      <c r="E141" s="247"/>
      <c r="F141" s="235" t="s">
        <v>35</v>
      </c>
      <c r="G141" s="235"/>
      <c r="H141" s="272">
        <f>'13TH-11THMAY'!J141</f>
        <v>0.965</v>
      </c>
      <c r="I141" s="281">
        <v>1.0</v>
      </c>
      <c r="J141" s="282">
        <v>0.878</v>
      </c>
      <c r="K141" s="283"/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0.087</v>
      </c>
      <c r="N141" s="191"/>
      <c r="O141" s="247"/>
    </row>
    <row r="142">
      <c r="A142" s="12" t="s">
        <v>164</v>
      </c>
      <c r="B142" s="12" t="s">
        <v>155</v>
      </c>
      <c r="C142" s="271" t="str">
        <f>'13TH-11THMAY'!E142</f>
        <v/>
      </c>
      <c r="D142" s="191"/>
      <c r="E142" s="247"/>
      <c r="F142" s="235" t="s">
        <v>35</v>
      </c>
      <c r="G142" s="235"/>
      <c r="H142" s="272">
        <f>'13TH-11THMAY'!J142</f>
        <v>1</v>
      </c>
      <c r="I142" s="281">
        <v>1.0</v>
      </c>
      <c r="J142" s="282">
        <v>1.0</v>
      </c>
      <c r="K142" s="283"/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</v>
      </c>
      <c r="N142" s="191"/>
      <c r="O142" s="247"/>
    </row>
    <row r="143">
      <c r="A143" s="12" t="s">
        <v>165</v>
      </c>
      <c r="B143" s="12" t="s">
        <v>155</v>
      </c>
      <c r="C143" s="271" t="str">
        <f>'13TH-11THMAY'!E143</f>
        <v/>
      </c>
      <c r="D143" s="191"/>
      <c r="E143" s="247"/>
      <c r="F143" s="235" t="s">
        <v>35</v>
      </c>
      <c r="G143" s="235"/>
      <c r="H143" s="272" t="str">
        <f>'13TH-11THMAY'!J143</f>
        <v/>
      </c>
      <c r="I143" s="281">
        <v>1.0</v>
      </c>
      <c r="J143" s="284"/>
      <c r="K143" s="283"/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'13TH-11THMAY'!E144</f>
        <v/>
      </c>
      <c r="D144" s="191"/>
      <c r="E144" s="247"/>
      <c r="F144" s="235" t="s">
        <v>35</v>
      </c>
      <c r="G144" s="235"/>
      <c r="H144" s="272">
        <f>'13TH-11THMAY'!J144</f>
        <v>1.512</v>
      </c>
      <c r="I144" s="281">
        <v>1.0</v>
      </c>
      <c r="J144" s="282">
        <v>0.807</v>
      </c>
      <c r="K144" s="283"/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0.705</v>
      </c>
      <c r="N144" s="191"/>
      <c r="O144" s="247"/>
    </row>
    <row r="145">
      <c r="A145" s="12" t="s">
        <v>167</v>
      </c>
      <c r="B145" s="12" t="s">
        <v>106</v>
      </c>
      <c r="C145" s="271">
        <f>'13TH-11THMAY'!E145</f>
        <v>1</v>
      </c>
      <c r="D145" s="191"/>
      <c r="E145" s="280">
        <v>1.0</v>
      </c>
      <c r="F145" s="235" t="s">
        <v>35</v>
      </c>
      <c r="G145" s="235"/>
      <c r="H145" s="272">
        <f>'13TH-11THMAY'!J145</f>
        <v>0.423</v>
      </c>
      <c r="I145" s="281">
        <v>1.0</v>
      </c>
      <c r="J145" s="282">
        <v>0.029</v>
      </c>
      <c r="K145" s="283"/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0.394</v>
      </c>
      <c r="N145" s="191"/>
      <c r="O145" s="247"/>
    </row>
    <row r="146">
      <c r="A146" s="12" t="s">
        <v>168</v>
      </c>
      <c r="B146" s="12" t="s">
        <v>17</v>
      </c>
      <c r="C146" s="271" t="str">
        <f>'13TH-11THMAY'!E146</f>
        <v/>
      </c>
      <c r="D146" s="227"/>
      <c r="E146" s="247"/>
      <c r="F146" s="235" t="s">
        <v>35</v>
      </c>
      <c r="G146" s="235"/>
      <c r="H146" s="272">
        <f>'13TH-11THMAY'!J146</f>
        <v>0.619</v>
      </c>
      <c r="I146" s="281">
        <v>1.0</v>
      </c>
      <c r="J146" s="282">
        <v>0.563</v>
      </c>
      <c r="K146" s="283"/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0.056</v>
      </c>
      <c r="N146" s="191"/>
      <c r="O146" s="247"/>
    </row>
    <row r="147">
      <c r="A147" s="12" t="s">
        <v>169</v>
      </c>
      <c r="B147" s="12" t="s">
        <v>106</v>
      </c>
      <c r="C147" s="271" t="str">
        <f>'13TH-11THMAY'!E147</f>
        <v/>
      </c>
      <c r="D147" s="191"/>
      <c r="E147" s="247"/>
      <c r="F147" s="235" t="s">
        <v>35</v>
      </c>
      <c r="G147" s="235"/>
      <c r="H147" s="272" t="str">
        <f>'13TH-11THMAY'!J147</f>
        <v/>
      </c>
      <c r="I147" s="281">
        <v>1.0</v>
      </c>
      <c r="J147" s="284"/>
      <c r="K147" s="283"/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'13TH-11THMAY'!E148</f>
        <v/>
      </c>
      <c r="D148" s="191"/>
      <c r="E148" s="247"/>
      <c r="F148" s="235" t="s">
        <v>35</v>
      </c>
      <c r="G148" s="235"/>
      <c r="H148" s="272" t="str">
        <f>'13TH-11THMAY'!J148</f>
        <v/>
      </c>
      <c r="I148" s="281">
        <v>1.0</v>
      </c>
      <c r="J148" s="284"/>
      <c r="K148" s="283"/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 t="str">
        <f>'13TH-11THMAY'!E149</f>
        <v/>
      </c>
      <c r="D149" s="191"/>
      <c r="E149" s="247"/>
      <c r="F149" s="235" t="s">
        <v>14</v>
      </c>
      <c r="G149" s="235"/>
      <c r="H149" s="272">
        <f>'13TH-11THMAY'!J149</f>
        <v>0.24</v>
      </c>
      <c r="I149" s="281">
        <v>1.0</v>
      </c>
      <c r="J149" s="282">
        <v>0.24</v>
      </c>
      <c r="K149" s="283"/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</v>
      </c>
      <c r="N149" s="191"/>
      <c r="O149" s="247"/>
    </row>
    <row r="150">
      <c r="A150" s="11" t="s">
        <v>173</v>
      </c>
      <c r="B150" s="11" t="s">
        <v>106</v>
      </c>
      <c r="C150" s="271" t="str">
        <f>'13TH-11THMAY'!E150</f>
        <v/>
      </c>
      <c r="D150" s="287"/>
      <c r="E150" s="288"/>
      <c r="F150" s="235" t="s">
        <v>14</v>
      </c>
      <c r="G150" s="289"/>
      <c r="H150" s="272" t="str">
        <f>'13TH-11THMAY'!J150</f>
        <v/>
      </c>
      <c r="I150" s="281">
        <v>1.0</v>
      </c>
      <c r="J150" s="291"/>
      <c r="K150" s="283"/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</v>
      </c>
      <c r="N150" s="216"/>
      <c r="O150" s="292"/>
    </row>
    <row r="151">
      <c r="A151" s="22" t="s">
        <v>174</v>
      </c>
      <c r="B151" s="23" t="s">
        <v>106</v>
      </c>
      <c r="C151" s="271" t="str">
        <f>'13TH-11THMAY'!E151</f>
        <v/>
      </c>
      <c r="D151" s="216"/>
      <c r="E151" s="288"/>
      <c r="F151" s="235" t="s">
        <v>14</v>
      </c>
      <c r="G151" s="289"/>
      <c r="H151" s="272">
        <f>'13TH-11THMAY'!J151</f>
        <v>0.347</v>
      </c>
      <c r="I151" s="281">
        <v>1.0</v>
      </c>
      <c r="J151" s="301">
        <v>0.345</v>
      </c>
      <c r="K151" s="283"/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0.002</v>
      </c>
      <c r="N151" s="216"/>
      <c r="O151" s="292"/>
    </row>
    <row r="152">
      <c r="A152" s="10" t="s">
        <v>175</v>
      </c>
      <c r="B152" s="11"/>
      <c r="C152" s="271" t="str">
        <f>'13TH-11THMAY'!E152</f>
        <v/>
      </c>
      <c r="D152" s="191"/>
      <c r="E152" s="247"/>
      <c r="F152" s="235"/>
      <c r="G152" s="235"/>
      <c r="H152" s="272" t="str">
        <f>'13TH-11THMAY'!J152</f>
        <v/>
      </c>
      <c r="I152" s="281">
        <v>1.0</v>
      </c>
      <c r="J152" s="284"/>
      <c r="K152" s="283"/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>
        <f>'13TH-11THMAY'!E153</f>
        <v>1</v>
      </c>
      <c r="D153" s="227">
        <v>3.5</v>
      </c>
      <c r="E153" s="247"/>
      <c r="F153" s="235" t="s">
        <v>25</v>
      </c>
      <c r="G153" s="235"/>
      <c r="H153" s="272" t="str">
        <f>'13TH-11THMAY'!J153</f>
        <v/>
      </c>
      <c r="I153" s="281">
        <v>1.0</v>
      </c>
      <c r="J153" s="284"/>
      <c r="K153" s="283"/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4.5</v>
      </c>
      <c r="N153" s="191"/>
      <c r="O153" s="247"/>
    </row>
    <row r="154">
      <c r="A154" s="12" t="s">
        <v>178</v>
      </c>
      <c r="B154" s="12" t="s">
        <v>35</v>
      </c>
      <c r="C154" s="271">
        <f>'13TH-11THMAY'!E154</f>
        <v>6</v>
      </c>
      <c r="D154" s="227">
        <v>8.0</v>
      </c>
      <c r="E154" s="280">
        <v>6.0</v>
      </c>
      <c r="F154" s="235" t="s">
        <v>35</v>
      </c>
      <c r="G154" s="235"/>
      <c r="H154" s="272" t="str">
        <f>'13TH-11THMAY'!J154</f>
        <v/>
      </c>
      <c r="I154" s="281">
        <v>1.0</v>
      </c>
      <c r="J154" s="284"/>
      <c r="K154" s="283"/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4</v>
      </c>
      <c r="N154" s="191"/>
      <c r="O154" s="247"/>
    </row>
    <row r="155">
      <c r="A155" s="12" t="s">
        <v>180</v>
      </c>
      <c r="B155" s="12" t="s">
        <v>35</v>
      </c>
      <c r="C155" s="271" t="str">
        <f>'13TH-11THMAY'!E155</f>
        <v/>
      </c>
      <c r="D155" s="191"/>
      <c r="E155" s="247"/>
      <c r="F155" s="235" t="s">
        <v>35</v>
      </c>
      <c r="G155" s="235"/>
      <c r="H155" s="272">
        <f>'13TH-11THMAY'!J155</f>
        <v>0.335</v>
      </c>
      <c r="I155" s="281">
        <v>1.0</v>
      </c>
      <c r="J155" s="282">
        <v>0.121</v>
      </c>
      <c r="K155" s="283"/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0.214</v>
      </c>
      <c r="N155" s="191"/>
      <c r="O155" s="247"/>
    </row>
    <row r="156">
      <c r="A156" s="12" t="s">
        <v>181</v>
      </c>
      <c r="B156" s="12" t="s">
        <v>35</v>
      </c>
      <c r="C156" s="271" t="str">
        <f>'13TH-11THMAY'!E156</f>
        <v/>
      </c>
      <c r="D156" s="227">
        <v>1.0</v>
      </c>
      <c r="E156" s="280"/>
      <c r="F156" s="235" t="s">
        <v>35</v>
      </c>
      <c r="G156" s="235"/>
      <c r="H156" s="272" t="str">
        <f>'13TH-11THMAY'!J156</f>
        <v/>
      </c>
      <c r="I156" s="281">
        <v>1.0</v>
      </c>
      <c r="J156" s="282">
        <v>1.02</v>
      </c>
      <c r="K156" s="283"/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0.168</v>
      </c>
      <c r="N156" s="191"/>
      <c r="O156" s="247"/>
    </row>
    <row r="157">
      <c r="A157" s="12" t="s">
        <v>182</v>
      </c>
      <c r="B157" s="12" t="s">
        <v>35</v>
      </c>
      <c r="C157" s="271" t="str">
        <f>'13TH-11THMAY'!E157</f>
        <v/>
      </c>
      <c r="D157" s="191"/>
      <c r="E157" s="247"/>
      <c r="F157" s="235" t="s">
        <v>35</v>
      </c>
      <c r="G157" s="285"/>
      <c r="H157" s="272" t="str">
        <f>'13TH-11THMAY'!J157</f>
        <v/>
      </c>
      <c r="I157" s="281">
        <v>1.0</v>
      </c>
      <c r="J157" s="282"/>
      <c r="K157" s="283"/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71" t="str">
        <f>'13TH-11THMAY'!E158</f>
        <v/>
      </c>
      <c r="D158" s="191"/>
      <c r="E158" s="247"/>
      <c r="F158" s="235" t="s">
        <v>14</v>
      </c>
      <c r="G158" s="235"/>
      <c r="H158" s="272" t="str">
        <f>'13TH-11THMAY'!J158</f>
        <v/>
      </c>
      <c r="I158" s="281">
        <v>1.0</v>
      </c>
      <c r="J158" s="284"/>
      <c r="K158" s="283"/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'13TH-11THMAY'!E159</f>
        <v/>
      </c>
      <c r="D159" s="191"/>
      <c r="E159" s="247"/>
      <c r="F159" s="235"/>
      <c r="G159" s="235"/>
      <c r="H159" s="272" t="str">
        <f>'13TH-11THMAY'!J159</f>
        <v/>
      </c>
      <c r="I159" s="281">
        <v>1.0</v>
      </c>
      <c r="J159" s="284"/>
      <c r="K159" s="283"/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'13TH-11THMAY'!E160</f>
        <v/>
      </c>
      <c r="D160" s="227">
        <v>3.0</v>
      </c>
      <c r="E160" s="247"/>
      <c r="F160" s="235" t="s">
        <v>17</v>
      </c>
      <c r="G160" s="235"/>
      <c r="H160" s="272" t="str">
        <f>'13TH-11THMAY'!J160</f>
        <v/>
      </c>
      <c r="I160" s="281">
        <v>1.0</v>
      </c>
      <c r="J160" s="282">
        <v>3.0</v>
      </c>
      <c r="K160" s="283"/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0</v>
      </c>
      <c r="N160" s="191"/>
      <c r="O160" s="247"/>
    </row>
    <row r="161">
      <c r="A161" s="12" t="s">
        <v>187</v>
      </c>
      <c r="B161" s="12" t="s">
        <v>17</v>
      </c>
      <c r="C161" s="271" t="str">
        <f>'13TH-11THMAY'!E161</f>
        <v/>
      </c>
      <c r="D161" s="227"/>
      <c r="E161" s="247"/>
      <c r="F161" s="235" t="s">
        <v>17</v>
      </c>
      <c r="G161" s="235"/>
      <c r="H161" s="272">
        <f>'13TH-11THMAY'!J161</f>
        <v>0.25</v>
      </c>
      <c r="I161" s="281">
        <v>1.0</v>
      </c>
      <c r="J161" s="282"/>
      <c r="K161" s="283"/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0.25</v>
      </c>
      <c r="N161" s="191"/>
      <c r="O161" s="247"/>
    </row>
    <row r="162">
      <c r="A162" s="12" t="s">
        <v>188</v>
      </c>
      <c r="B162" s="12" t="s">
        <v>35</v>
      </c>
      <c r="C162" s="271" t="str">
        <f>'13TH-11THMAY'!E162</f>
        <v/>
      </c>
      <c r="D162" s="227">
        <v>3.5</v>
      </c>
      <c r="E162" s="247"/>
      <c r="F162" s="235" t="s">
        <v>35</v>
      </c>
      <c r="G162" s="235"/>
      <c r="H162" s="272">
        <f>'13TH-11THMAY'!J162</f>
        <v>0.5</v>
      </c>
      <c r="I162" s="281">
        <v>1.0</v>
      </c>
      <c r="J162" s="282">
        <v>0.735</v>
      </c>
      <c r="K162" s="283"/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3.265</v>
      </c>
      <c r="N162" s="191"/>
      <c r="O162" s="247"/>
    </row>
    <row r="163">
      <c r="A163" s="12" t="s">
        <v>189</v>
      </c>
      <c r="B163" s="12" t="s">
        <v>17</v>
      </c>
      <c r="C163" s="271" t="str">
        <f>'13TH-11THMAY'!E163</f>
        <v/>
      </c>
      <c r="D163" s="227"/>
      <c r="E163" s="280"/>
      <c r="F163" s="235" t="s">
        <v>17</v>
      </c>
      <c r="G163" s="235"/>
      <c r="H163" s="272">
        <f>'13TH-11THMAY'!J163</f>
        <v>1</v>
      </c>
      <c r="I163" s="281">
        <v>1.0</v>
      </c>
      <c r="J163" s="282"/>
      <c r="K163" s="283"/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1</v>
      </c>
      <c r="N163" s="191"/>
      <c r="O163" s="247"/>
    </row>
    <row r="164">
      <c r="A164" s="12" t="s">
        <v>190</v>
      </c>
      <c r="B164" s="12" t="s">
        <v>17</v>
      </c>
      <c r="C164" s="271" t="str">
        <f>'13TH-11THMAY'!E164</f>
        <v/>
      </c>
      <c r="D164" s="191"/>
      <c r="E164" s="247"/>
      <c r="F164" s="235" t="s">
        <v>17</v>
      </c>
      <c r="G164" s="235"/>
      <c r="H164" s="272" t="str">
        <f>'13TH-11THMAY'!J164</f>
        <v/>
      </c>
      <c r="I164" s="281">
        <v>1.0</v>
      </c>
      <c r="J164" s="284"/>
      <c r="K164" s="283"/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'13TH-11THMAY'!E165</f>
        <v/>
      </c>
      <c r="D165" s="227">
        <v>1.5</v>
      </c>
      <c r="E165" s="247"/>
      <c r="F165" s="235" t="s">
        <v>35</v>
      </c>
      <c r="G165" s="235"/>
      <c r="H165" s="272" t="str">
        <f>'13TH-11THMAY'!J165</f>
        <v/>
      </c>
      <c r="I165" s="281">
        <v>1.0</v>
      </c>
      <c r="J165" s="282">
        <v>0.352</v>
      </c>
      <c r="K165" s="283"/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1.148</v>
      </c>
      <c r="N165" s="191"/>
      <c r="O165" s="247"/>
    </row>
    <row r="166">
      <c r="A166" s="12" t="s">
        <v>192</v>
      </c>
      <c r="B166" s="12" t="s">
        <v>35</v>
      </c>
      <c r="C166" s="271" t="str">
        <f>'13TH-11THMAY'!E166</f>
        <v/>
      </c>
      <c r="D166" s="227">
        <v>0.85</v>
      </c>
      <c r="E166" s="247"/>
      <c r="F166" s="235" t="s">
        <v>35</v>
      </c>
      <c r="G166" s="285"/>
      <c r="H166" s="272">
        <f>'13TH-11THMAY'!J166</f>
        <v>1</v>
      </c>
      <c r="I166" s="281">
        <v>1.0</v>
      </c>
      <c r="J166" s="282">
        <v>0.9</v>
      </c>
      <c r="K166" s="283"/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0.95</v>
      </c>
      <c r="N166" s="191"/>
      <c r="O166" s="247"/>
    </row>
    <row r="167">
      <c r="A167" s="12" t="s">
        <v>193</v>
      </c>
      <c r="B167" s="12" t="s">
        <v>35</v>
      </c>
      <c r="C167" s="271" t="str">
        <f>'13TH-11THMAY'!E167</f>
        <v/>
      </c>
      <c r="D167" s="227">
        <v>8.0</v>
      </c>
      <c r="E167" s="247"/>
      <c r="F167" s="235" t="s">
        <v>35</v>
      </c>
      <c r="G167" s="235"/>
      <c r="H167" s="272">
        <f>'13TH-11THMAY'!J167</f>
        <v>0.469</v>
      </c>
      <c r="I167" s="281">
        <v>1.0</v>
      </c>
      <c r="J167" s="282"/>
      <c r="K167" s="283"/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8.469</v>
      </c>
      <c r="N167" s="191"/>
      <c r="O167" s="247"/>
    </row>
    <row r="168">
      <c r="A168" s="12" t="s">
        <v>194</v>
      </c>
      <c r="B168" s="12" t="s">
        <v>17</v>
      </c>
      <c r="C168" s="271" t="str">
        <f>'13TH-11THMAY'!E168</f>
        <v/>
      </c>
      <c r="D168" s="227"/>
      <c r="E168" s="247"/>
      <c r="F168" s="235" t="s">
        <v>17</v>
      </c>
      <c r="G168" s="235"/>
      <c r="H168" s="272">
        <f>'13TH-11THMAY'!J168</f>
        <v>1</v>
      </c>
      <c r="I168" s="281">
        <v>1.0</v>
      </c>
      <c r="J168" s="284"/>
      <c r="K168" s="283"/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1</v>
      </c>
      <c r="N168" s="191"/>
      <c r="O168" s="247"/>
    </row>
    <row r="169">
      <c r="A169" s="12" t="s">
        <v>195</v>
      </c>
      <c r="B169" s="12" t="s">
        <v>35</v>
      </c>
      <c r="C169" s="271" t="str">
        <f>'13TH-11THMAY'!E169</f>
        <v/>
      </c>
      <c r="D169" s="191"/>
      <c r="E169" s="247"/>
      <c r="F169" s="235" t="s">
        <v>35</v>
      </c>
      <c r="G169" s="235"/>
      <c r="H169" s="272">
        <f>'13TH-11THMAY'!J169</f>
        <v>0.87</v>
      </c>
      <c r="I169" s="281">
        <v>1.0</v>
      </c>
      <c r="J169" s="282">
        <v>0.867</v>
      </c>
      <c r="K169" s="283"/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0.003</v>
      </c>
      <c r="N169" s="191"/>
      <c r="O169" s="247"/>
    </row>
    <row r="170">
      <c r="A170" s="12" t="s">
        <v>196</v>
      </c>
      <c r="B170" s="12" t="s">
        <v>35</v>
      </c>
      <c r="C170" s="271" t="str">
        <f>'13TH-11THMAY'!E170</f>
        <v/>
      </c>
      <c r="D170" s="191"/>
      <c r="E170" s="247"/>
      <c r="F170" s="235" t="s">
        <v>35</v>
      </c>
      <c r="G170" s="285">
        <v>0.411</v>
      </c>
      <c r="H170" s="272" t="str">
        <f>'13TH-11THMAY'!J170</f>
        <v/>
      </c>
      <c r="I170" s="281">
        <v>1.0</v>
      </c>
      <c r="J170" s="282">
        <v>0.411</v>
      </c>
      <c r="K170" s="283"/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</v>
      </c>
      <c r="N170" s="191"/>
      <c r="O170" s="247"/>
    </row>
    <row r="171">
      <c r="A171" s="12" t="s">
        <v>197</v>
      </c>
      <c r="B171" s="12" t="s">
        <v>35</v>
      </c>
      <c r="C171" s="271" t="str">
        <f>'13TH-11THMAY'!E171</f>
        <v/>
      </c>
      <c r="D171" s="227">
        <v>2.0</v>
      </c>
      <c r="E171" s="247"/>
      <c r="F171" s="235" t="s">
        <v>35</v>
      </c>
      <c r="G171" s="285"/>
      <c r="H171" s="272" t="str">
        <f>'13TH-11THMAY'!J171</f>
        <v/>
      </c>
      <c r="I171" s="281">
        <v>1.0</v>
      </c>
      <c r="J171" s="282">
        <v>1.306</v>
      </c>
      <c r="K171" s="283"/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0.694</v>
      </c>
      <c r="N171" s="191"/>
      <c r="O171" s="247"/>
    </row>
    <row r="172">
      <c r="A172" s="12" t="s">
        <v>198</v>
      </c>
      <c r="B172" s="12" t="s">
        <v>35</v>
      </c>
      <c r="C172" s="271" t="str">
        <f>'13TH-11THMAY'!E172</f>
        <v/>
      </c>
      <c r="D172" s="227">
        <v>1.75</v>
      </c>
      <c r="E172" s="247"/>
      <c r="F172" s="235" t="s">
        <v>35</v>
      </c>
      <c r="G172" s="235"/>
      <c r="H172" s="272">
        <f>'13TH-11THMAY'!J172</f>
        <v>0.5</v>
      </c>
      <c r="I172" s="281">
        <v>1.0</v>
      </c>
      <c r="J172" s="282">
        <v>0.619</v>
      </c>
      <c r="K172" s="283"/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1.631</v>
      </c>
      <c r="N172" s="191"/>
      <c r="O172" s="247"/>
    </row>
    <row r="173">
      <c r="A173" s="12" t="s">
        <v>199</v>
      </c>
      <c r="B173" s="12" t="s">
        <v>35</v>
      </c>
      <c r="C173" s="271" t="str">
        <f>'13TH-11THMAY'!E173</f>
        <v/>
      </c>
      <c r="D173" s="227">
        <v>0.75</v>
      </c>
      <c r="E173" s="247"/>
      <c r="F173" s="235" t="s">
        <v>35</v>
      </c>
      <c r="G173" s="235"/>
      <c r="H173" s="272">
        <f>'13TH-11THMAY'!J173</f>
        <v>0.141</v>
      </c>
      <c r="I173" s="281">
        <v>1.0</v>
      </c>
      <c r="J173" s="284"/>
      <c r="K173" s="283"/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0.891</v>
      </c>
      <c r="N173" s="191"/>
      <c r="O173" s="247"/>
    </row>
    <row r="174">
      <c r="A174" s="12" t="s">
        <v>200</v>
      </c>
      <c r="B174" s="12" t="s">
        <v>35</v>
      </c>
      <c r="C174" s="271" t="str">
        <f>'13TH-11THMAY'!E174</f>
        <v/>
      </c>
      <c r="D174" s="227">
        <v>1.8</v>
      </c>
      <c r="E174" s="247"/>
      <c r="F174" s="235" t="s">
        <v>35</v>
      </c>
      <c r="G174" s="235"/>
      <c r="H174" s="272">
        <f>'13TH-11THMAY'!J174</f>
        <v>0.15</v>
      </c>
      <c r="I174" s="281">
        <v>1.0</v>
      </c>
      <c r="J174" s="282">
        <v>0.915</v>
      </c>
      <c r="K174" s="283"/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1.035</v>
      </c>
      <c r="N174" s="191"/>
      <c r="O174" s="247"/>
    </row>
    <row r="175">
      <c r="A175" s="12" t="s">
        <v>201</v>
      </c>
      <c r="B175" s="12" t="s">
        <v>202</v>
      </c>
      <c r="C175" s="271" t="str">
        <f>'13TH-11THMAY'!E175</f>
        <v/>
      </c>
      <c r="D175" s="191"/>
      <c r="E175" s="247"/>
      <c r="F175" s="235" t="s">
        <v>202</v>
      </c>
      <c r="G175" s="235"/>
      <c r="H175" s="272" t="str">
        <f>'13TH-11THMAY'!J175</f>
        <v/>
      </c>
      <c r="I175" s="281">
        <v>1.0</v>
      </c>
      <c r="J175" s="284"/>
      <c r="K175" s="283"/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'13TH-11THMAY'!E176</f>
        <v/>
      </c>
      <c r="D176" s="191"/>
      <c r="E176" s="247"/>
      <c r="F176" s="235" t="s">
        <v>202</v>
      </c>
      <c r="G176" s="235"/>
      <c r="H176" s="272" t="str">
        <f>'13TH-11THMAY'!J176</f>
        <v/>
      </c>
      <c r="I176" s="281">
        <v>1.0</v>
      </c>
      <c r="J176" s="282"/>
      <c r="K176" s="283"/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0</v>
      </c>
      <c r="N176" s="191"/>
      <c r="O176" s="247"/>
    </row>
    <row r="177">
      <c r="A177" s="12" t="s">
        <v>205</v>
      </c>
      <c r="B177" s="12" t="s">
        <v>202</v>
      </c>
      <c r="C177" s="271" t="str">
        <f>'13TH-11THMAY'!E177</f>
        <v/>
      </c>
      <c r="D177" s="191"/>
      <c r="E177" s="247"/>
      <c r="F177" s="235" t="s">
        <v>202</v>
      </c>
      <c r="G177" s="235"/>
      <c r="H177" s="272" t="str">
        <f>'13TH-11THMAY'!J177</f>
        <v/>
      </c>
      <c r="I177" s="281">
        <v>1.0</v>
      </c>
      <c r="J177" s="284"/>
      <c r="K177" s="283"/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0</v>
      </c>
      <c r="N177" s="191"/>
      <c r="O177" s="247"/>
    </row>
    <row r="178">
      <c r="A178" s="12" t="s">
        <v>206</v>
      </c>
      <c r="B178" s="12" t="s">
        <v>207</v>
      </c>
      <c r="C178" s="271" t="str">
        <f>'13TH-11THMAY'!E178</f>
        <v/>
      </c>
      <c r="D178" s="227"/>
      <c r="E178" s="247"/>
      <c r="F178" s="235" t="s">
        <v>17</v>
      </c>
      <c r="G178" s="235"/>
      <c r="H178" s="272">
        <f>'13TH-11THMAY'!J178</f>
        <v>19</v>
      </c>
      <c r="I178" s="281">
        <v>1.0</v>
      </c>
      <c r="J178" s="282"/>
      <c r="K178" s="283"/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19</v>
      </c>
      <c r="N178" s="191"/>
      <c r="O178" s="247"/>
    </row>
    <row r="179">
      <c r="A179" s="12" t="s">
        <v>209</v>
      </c>
      <c r="B179" s="12" t="s">
        <v>17</v>
      </c>
      <c r="C179" s="271" t="str">
        <f>'13TH-11THMAY'!E179</f>
        <v/>
      </c>
      <c r="D179" s="191"/>
      <c r="E179" s="247"/>
      <c r="F179" s="235" t="s">
        <v>17</v>
      </c>
      <c r="G179" s="235"/>
      <c r="H179" s="272" t="str">
        <f>'13TH-11THMAY'!J179</f>
        <v/>
      </c>
      <c r="I179" s="281">
        <v>1.0</v>
      </c>
      <c r="J179" s="284"/>
      <c r="K179" s="283"/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'13TH-11THMAY'!E180</f>
        <v/>
      </c>
      <c r="D180" s="191"/>
      <c r="E180" s="247"/>
      <c r="F180" s="235" t="s">
        <v>202</v>
      </c>
      <c r="G180" s="285"/>
      <c r="H180" s="272" t="str">
        <f>'13TH-11THMAY'!J180</f>
        <v/>
      </c>
      <c r="I180" s="281">
        <v>1.0</v>
      </c>
      <c r="J180" s="282"/>
      <c r="K180" s="283"/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0</v>
      </c>
      <c r="N180" s="191"/>
      <c r="O180" s="247"/>
    </row>
    <row r="181">
      <c r="A181" s="12" t="s">
        <v>211</v>
      </c>
      <c r="B181" s="12" t="s">
        <v>202</v>
      </c>
      <c r="C181" s="271" t="str">
        <f>'13TH-11THMAY'!E181</f>
        <v/>
      </c>
      <c r="D181" s="227"/>
      <c r="E181" s="247"/>
      <c r="F181" s="235" t="s">
        <v>202</v>
      </c>
      <c r="G181" s="235"/>
      <c r="H181" s="272">
        <v>1.0</v>
      </c>
      <c r="I181" s="281">
        <v>1.0</v>
      </c>
      <c r="J181" s="282">
        <v>1.0</v>
      </c>
      <c r="K181" s="283"/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71" t="str">
        <f>'13TH-11THMAY'!E182</f>
        <v/>
      </c>
      <c r="D182" s="191"/>
      <c r="E182" s="247"/>
      <c r="F182" s="235" t="s">
        <v>202</v>
      </c>
      <c r="G182" s="235"/>
      <c r="H182" s="272">
        <f>'13TH-11THMAY'!J182</f>
        <v>1</v>
      </c>
      <c r="I182" s="281">
        <v>1.0</v>
      </c>
      <c r="J182" s="282">
        <v>1.0</v>
      </c>
      <c r="K182" s="283"/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</v>
      </c>
      <c r="N182" s="191"/>
      <c r="O182" s="247"/>
    </row>
    <row r="183">
      <c r="A183" s="12" t="s">
        <v>213</v>
      </c>
      <c r="B183" s="12" t="s">
        <v>35</v>
      </c>
      <c r="C183" s="271" t="str">
        <f>'13TH-11THMAY'!E183</f>
        <v/>
      </c>
      <c r="D183" s="191"/>
      <c r="E183" s="247"/>
      <c r="F183" s="235" t="s">
        <v>35</v>
      </c>
      <c r="G183" s="235"/>
      <c r="H183" s="272" t="str">
        <f>'13TH-11THMAY'!J183</f>
        <v/>
      </c>
      <c r="I183" s="281">
        <v>1.0</v>
      </c>
      <c r="J183" s="284"/>
      <c r="K183" s="283"/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>
        <f>'13TH-11THMAY'!E184</f>
        <v>1</v>
      </c>
      <c r="D184" s="191"/>
      <c r="E184" s="280">
        <v>1.0</v>
      </c>
      <c r="F184" s="235" t="s">
        <v>35</v>
      </c>
      <c r="G184" s="235"/>
      <c r="H184" s="272">
        <f>'13TH-11THMAY'!J184</f>
        <v>0.157</v>
      </c>
      <c r="I184" s="281">
        <v>1.0</v>
      </c>
      <c r="J184" s="282"/>
      <c r="K184" s="283"/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0.077</v>
      </c>
      <c r="N184" s="191"/>
      <c r="O184" s="247"/>
    </row>
    <row r="185">
      <c r="A185" s="12" t="s">
        <v>215</v>
      </c>
      <c r="B185" s="12" t="s">
        <v>35</v>
      </c>
      <c r="C185" s="271" t="str">
        <f>'13TH-11THMAY'!E185</f>
        <v/>
      </c>
      <c r="D185" s="191"/>
      <c r="E185" s="247"/>
      <c r="F185" s="235" t="s">
        <v>35</v>
      </c>
      <c r="G185" s="235"/>
      <c r="H185" s="272" t="str">
        <f>'13TH-11THMAY'!J185</f>
        <v/>
      </c>
      <c r="I185" s="281">
        <v>1.0</v>
      </c>
      <c r="J185" s="284"/>
      <c r="K185" s="283"/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</v>
      </c>
      <c r="N185" s="191"/>
      <c r="O185" s="247"/>
    </row>
    <row r="186">
      <c r="A186" s="12" t="s">
        <v>216</v>
      </c>
      <c r="B186" s="12" t="s">
        <v>17</v>
      </c>
      <c r="C186" s="271" t="str">
        <f>'13TH-11THMAY'!E186</f>
        <v/>
      </c>
      <c r="D186" s="227">
        <v>1.0</v>
      </c>
      <c r="E186" s="280">
        <v>1.0</v>
      </c>
      <c r="F186" s="235" t="s">
        <v>17</v>
      </c>
      <c r="G186" s="235"/>
      <c r="H186" s="272" t="str">
        <f>'13TH-11THMAY'!J186</f>
        <v/>
      </c>
      <c r="I186" s="281">
        <v>1.0</v>
      </c>
      <c r="J186" s="282"/>
      <c r="K186" s="283"/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</v>
      </c>
      <c r="N186" s="191"/>
      <c r="O186" s="247"/>
    </row>
    <row r="187">
      <c r="A187" s="12" t="s">
        <v>217</v>
      </c>
      <c r="B187" s="12" t="s">
        <v>35</v>
      </c>
      <c r="C187" s="271" t="str">
        <f>'13TH-11THMAY'!E187</f>
        <v/>
      </c>
      <c r="D187" s="191"/>
      <c r="E187" s="247"/>
      <c r="F187" s="235" t="s">
        <v>35</v>
      </c>
      <c r="G187" s="285">
        <v>0.785</v>
      </c>
      <c r="H187" s="272">
        <f>'13TH-11THMAY'!J187</f>
        <v>0.1</v>
      </c>
      <c r="I187" s="281">
        <v>1.0</v>
      </c>
      <c r="J187" s="282">
        <v>0.785</v>
      </c>
      <c r="K187" s="283"/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0.1</v>
      </c>
      <c r="N187" s="191"/>
      <c r="O187" s="247"/>
    </row>
    <row r="188">
      <c r="A188" s="12" t="s">
        <v>218</v>
      </c>
      <c r="B188" s="12" t="s">
        <v>17</v>
      </c>
      <c r="C188" s="271" t="str">
        <f>'13TH-11THMAY'!E188</f>
        <v/>
      </c>
      <c r="D188" s="227"/>
      <c r="E188" s="247"/>
      <c r="F188" s="235" t="s">
        <v>17</v>
      </c>
      <c r="G188" s="285">
        <v>1.0</v>
      </c>
      <c r="H188" s="272">
        <f>'13TH-11THMAY'!J188</f>
        <v>3</v>
      </c>
      <c r="I188" s="281">
        <v>1.0</v>
      </c>
      <c r="J188" s="282">
        <v>4.0</v>
      </c>
      <c r="K188" s="283"/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0</v>
      </c>
      <c r="N188" s="191"/>
      <c r="O188" s="247"/>
    </row>
    <row r="189">
      <c r="A189" s="12" t="s">
        <v>220</v>
      </c>
      <c r="B189" s="12" t="s">
        <v>35</v>
      </c>
      <c r="C189" s="271" t="str">
        <f>'13TH-11THMAY'!E189</f>
        <v/>
      </c>
      <c r="D189" s="191"/>
      <c r="E189" s="247"/>
      <c r="F189" s="235" t="s">
        <v>35</v>
      </c>
      <c r="G189" s="235"/>
      <c r="H189" s="272" t="str">
        <f>'13TH-11THMAY'!J189</f>
        <v/>
      </c>
      <c r="I189" s="281">
        <v>1.0</v>
      </c>
      <c r="J189" s="284"/>
      <c r="K189" s="283"/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'13TH-11THMAY'!E190</f>
        <v/>
      </c>
      <c r="D190" s="227">
        <v>4.0</v>
      </c>
      <c r="E190" s="247"/>
      <c r="F190" s="235" t="s">
        <v>17</v>
      </c>
      <c r="G190" s="235"/>
      <c r="H190" s="272">
        <f>'13TH-11THMAY'!J190</f>
        <v>2.5</v>
      </c>
      <c r="I190" s="281">
        <v>1.0</v>
      </c>
      <c r="J190" s="282">
        <v>3.0</v>
      </c>
      <c r="K190" s="283"/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3.5</v>
      </c>
      <c r="N190" s="191"/>
      <c r="O190" s="247"/>
    </row>
    <row r="191">
      <c r="A191" s="12" t="s">
        <v>222</v>
      </c>
      <c r="B191" s="12" t="s">
        <v>17</v>
      </c>
      <c r="C191" s="271" t="str">
        <f>'13TH-11THMAY'!E191</f>
        <v/>
      </c>
      <c r="D191" s="191"/>
      <c r="E191" s="247"/>
      <c r="F191" s="235" t="s">
        <v>17</v>
      </c>
      <c r="G191" s="235"/>
      <c r="H191" s="272" t="str">
        <f>'13TH-11THMAY'!J191</f>
        <v/>
      </c>
      <c r="I191" s="281">
        <v>1.0</v>
      </c>
      <c r="J191" s="284"/>
      <c r="K191" s="283"/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'13TH-11THMAY'!E192</f>
        <v/>
      </c>
      <c r="D192" s="227">
        <v>1.0</v>
      </c>
      <c r="E192" s="247"/>
      <c r="F192" s="235" t="s">
        <v>17</v>
      </c>
      <c r="G192" s="235"/>
      <c r="H192" s="272">
        <f>'13TH-11THMAY'!J192</f>
        <v>1</v>
      </c>
      <c r="I192" s="281">
        <v>1.0</v>
      </c>
      <c r="J192" s="282">
        <v>0.5</v>
      </c>
      <c r="K192" s="283"/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1.5</v>
      </c>
      <c r="N192" s="191"/>
      <c r="O192" s="247"/>
    </row>
    <row r="193">
      <c r="A193" s="12" t="s">
        <v>224</v>
      </c>
      <c r="B193" s="12" t="s">
        <v>202</v>
      </c>
      <c r="C193" s="271" t="str">
        <f>'13TH-11THMAY'!E193</f>
        <v/>
      </c>
      <c r="D193" s="227">
        <v>1.0</v>
      </c>
      <c r="E193" s="247"/>
      <c r="F193" s="235" t="s">
        <v>202</v>
      </c>
      <c r="G193" s="235"/>
      <c r="H193" s="272">
        <f>'13TH-11THMAY'!J193</f>
        <v>0.5</v>
      </c>
      <c r="I193" s="281">
        <v>1.0</v>
      </c>
      <c r="J193" s="282">
        <v>1.0</v>
      </c>
      <c r="K193" s="283"/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0.5</v>
      </c>
      <c r="N193" s="191"/>
      <c r="O193" s="247"/>
    </row>
    <row r="194">
      <c r="A194" s="12" t="s">
        <v>225</v>
      </c>
      <c r="B194" s="12" t="s">
        <v>35</v>
      </c>
      <c r="C194" s="271" t="str">
        <f>'13TH-11THMAY'!E194</f>
        <v/>
      </c>
      <c r="D194" s="191"/>
      <c r="E194" s="247"/>
      <c r="F194" s="235" t="s">
        <v>35</v>
      </c>
      <c r="G194" s="235"/>
      <c r="H194" s="272">
        <f>'13TH-11THMAY'!J194</f>
        <v>0.707</v>
      </c>
      <c r="I194" s="281">
        <v>1.0</v>
      </c>
      <c r="J194" s="282">
        <v>0.705</v>
      </c>
      <c r="K194" s="283"/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0.002</v>
      </c>
      <c r="N194" s="191"/>
      <c r="O194" s="247"/>
    </row>
    <row r="195">
      <c r="A195" s="12" t="s">
        <v>227</v>
      </c>
      <c r="B195" s="12" t="s">
        <v>35</v>
      </c>
      <c r="C195" s="271" t="str">
        <f>'13TH-11THMAY'!E195</f>
        <v/>
      </c>
      <c r="D195" s="227">
        <v>0.5</v>
      </c>
      <c r="E195" s="247"/>
      <c r="F195" s="235" t="s">
        <v>35</v>
      </c>
      <c r="G195" s="285"/>
      <c r="H195" s="272">
        <f>'13TH-11THMAY'!J195</f>
        <v>0.151</v>
      </c>
      <c r="I195" s="281">
        <v>1.0</v>
      </c>
      <c r="J195" s="282">
        <v>0.313</v>
      </c>
      <c r="K195" s="283"/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0.338</v>
      </c>
      <c r="N195" s="191"/>
      <c r="O195" s="247"/>
    </row>
    <row r="196">
      <c r="A196" s="12" t="s">
        <v>228</v>
      </c>
      <c r="B196" s="12" t="s">
        <v>155</v>
      </c>
      <c r="C196" s="271" t="str">
        <f>'13TH-11THMAY'!E196</f>
        <v/>
      </c>
      <c r="D196" s="227">
        <v>1.0</v>
      </c>
      <c r="E196" s="247"/>
      <c r="F196" s="235" t="s">
        <v>35</v>
      </c>
      <c r="G196" s="235"/>
      <c r="H196" s="272">
        <f>'13TH-11THMAY'!J196</f>
        <v>0.028</v>
      </c>
      <c r="I196" s="281">
        <v>1.0</v>
      </c>
      <c r="J196" s="282">
        <v>0.144</v>
      </c>
      <c r="K196" s="283"/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0.384</v>
      </c>
      <c r="N196" s="191"/>
      <c r="O196" s="247"/>
    </row>
    <row r="197">
      <c r="A197" s="12" t="s">
        <v>229</v>
      </c>
      <c r="B197" s="12" t="s">
        <v>17</v>
      </c>
      <c r="C197" s="271" t="str">
        <f>'13TH-11THMAY'!E197</f>
        <v/>
      </c>
      <c r="D197" s="227">
        <v>4.0</v>
      </c>
      <c r="E197" s="247"/>
      <c r="F197" s="235" t="s">
        <v>17</v>
      </c>
      <c r="G197" s="235"/>
      <c r="H197" s="272" t="str">
        <f>'13TH-11THMAY'!J197</f>
        <v/>
      </c>
      <c r="I197" s="281">
        <v>1.0</v>
      </c>
      <c r="J197" s="282">
        <v>2.0</v>
      </c>
      <c r="K197" s="283"/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2</v>
      </c>
      <c r="N197" s="191"/>
      <c r="O197" s="247"/>
    </row>
    <row r="198">
      <c r="A198" s="12" t="s">
        <v>231</v>
      </c>
      <c r="B198" s="12" t="s">
        <v>35</v>
      </c>
      <c r="C198" s="271" t="str">
        <f>'13TH-11THMAY'!E198</f>
        <v/>
      </c>
      <c r="D198" s="227">
        <v>1.0</v>
      </c>
      <c r="E198" s="247"/>
      <c r="F198" s="235" t="s">
        <v>35</v>
      </c>
      <c r="G198" s="235"/>
      <c r="H198" s="272" t="str">
        <f>'13TH-11THMAY'!J198</f>
        <v/>
      </c>
      <c r="I198" s="281">
        <v>1.0</v>
      </c>
      <c r="J198" s="282">
        <v>0.988</v>
      </c>
      <c r="K198" s="283"/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0.012</v>
      </c>
      <c r="N198" s="191"/>
      <c r="O198" s="247"/>
    </row>
    <row r="199">
      <c r="A199" s="12" t="s">
        <v>232</v>
      </c>
      <c r="B199" s="12" t="s">
        <v>202</v>
      </c>
      <c r="C199" s="271" t="str">
        <f>'13TH-11THMAY'!E199</f>
        <v/>
      </c>
      <c r="D199" s="191"/>
      <c r="E199" s="247"/>
      <c r="F199" s="235" t="s">
        <v>202</v>
      </c>
      <c r="G199" s="285"/>
      <c r="H199" s="272">
        <f>'13TH-11THMAY'!J199</f>
        <v>0.5</v>
      </c>
      <c r="I199" s="281">
        <v>1.0</v>
      </c>
      <c r="J199" s="282">
        <v>0.25</v>
      </c>
      <c r="K199" s="283"/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0.25</v>
      </c>
      <c r="N199" s="191"/>
      <c r="O199" s="247"/>
    </row>
    <row r="200">
      <c r="A200" s="12" t="s">
        <v>233</v>
      </c>
      <c r="B200" s="12" t="s">
        <v>17</v>
      </c>
      <c r="C200" s="271" t="str">
        <f>'13TH-11THMAY'!E200</f>
        <v/>
      </c>
      <c r="D200" s="227">
        <v>1.0</v>
      </c>
      <c r="E200" s="280"/>
      <c r="F200" s="235" t="s">
        <v>234</v>
      </c>
      <c r="G200" s="285"/>
      <c r="H200" s="272">
        <f>'13TH-11THMAY'!J200</f>
        <v>1.5</v>
      </c>
      <c r="I200" s="281">
        <v>1.0</v>
      </c>
      <c r="J200" s="282">
        <v>2.5</v>
      </c>
      <c r="K200" s="283"/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0</v>
      </c>
      <c r="N200" s="191"/>
      <c r="O200" s="247"/>
    </row>
    <row r="201">
      <c r="A201" s="25" t="s">
        <v>235</v>
      </c>
      <c r="B201" s="26" t="s">
        <v>202</v>
      </c>
      <c r="C201" s="271" t="str">
        <f>'13TH-11THMAY'!E201</f>
        <v/>
      </c>
      <c r="D201" s="227"/>
      <c r="E201" s="247"/>
      <c r="F201" s="235" t="s">
        <v>202</v>
      </c>
      <c r="G201" s="235"/>
      <c r="H201" s="272">
        <f>'13TH-11THMAY'!J201</f>
        <v>0.5</v>
      </c>
      <c r="I201" s="281">
        <v>1.0</v>
      </c>
      <c r="J201" s="282">
        <v>0.5</v>
      </c>
      <c r="K201" s="283"/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</v>
      </c>
      <c r="N201" s="191"/>
      <c r="O201" s="247"/>
    </row>
    <row r="202">
      <c r="A202" s="25" t="s">
        <v>236</v>
      </c>
      <c r="B202" s="26" t="s">
        <v>237</v>
      </c>
      <c r="C202" s="271" t="str">
        <f>'13TH-11THMAY'!E202</f>
        <v/>
      </c>
      <c r="D202" s="191"/>
      <c r="E202" s="247"/>
      <c r="F202" s="235" t="s">
        <v>35</v>
      </c>
      <c r="G202" s="235"/>
      <c r="H202" s="272">
        <f>'13TH-11THMAY'!J202</f>
        <v>1</v>
      </c>
      <c r="I202" s="281">
        <v>1.0</v>
      </c>
      <c r="J202" s="282">
        <v>1.0</v>
      </c>
      <c r="K202" s="283"/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</v>
      </c>
      <c r="N202" s="191"/>
      <c r="O202" s="247"/>
    </row>
    <row r="203">
      <c r="A203" s="25" t="s">
        <v>238</v>
      </c>
      <c r="B203" s="26" t="s">
        <v>202</v>
      </c>
      <c r="C203" s="271" t="str">
        <f>'13TH-11THMAY'!E203</f>
        <v/>
      </c>
      <c r="D203" s="227"/>
      <c r="E203" s="247"/>
      <c r="F203" s="235" t="s">
        <v>202</v>
      </c>
      <c r="G203" s="235"/>
      <c r="H203" s="272" t="str">
        <f>'13TH-11THMAY'!J203</f>
        <v/>
      </c>
      <c r="I203" s="281">
        <v>1.0</v>
      </c>
      <c r="J203" s="282"/>
      <c r="K203" s="283"/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71" t="str">
        <f>'13TH-11THMAY'!E204</f>
        <v/>
      </c>
      <c r="D204" s="191"/>
      <c r="E204" s="247"/>
      <c r="F204" s="235" t="s">
        <v>35</v>
      </c>
      <c r="G204" s="235"/>
      <c r="H204" s="272" t="str">
        <f>'13TH-11THMAY'!J204</f>
        <v/>
      </c>
      <c r="I204" s="281">
        <v>1.0</v>
      </c>
      <c r="J204" s="284"/>
      <c r="K204" s="283"/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'13TH-11THMAY'!E205</f>
        <v/>
      </c>
      <c r="D205" s="227"/>
      <c r="E205" s="247"/>
      <c r="F205" s="235" t="s">
        <v>17</v>
      </c>
      <c r="G205" s="235"/>
      <c r="H205" s="272">
        <f>'13TH-11THMAY'!J205</f>
        <v>3</v>
      </c>
      <c r="I205" s="281">
        <v>1.0</v>
      </c>
      <c r="J205" s="282">
        <v>2.0</v>
      </c>
      <c r="K205" s="283"/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1</v>
      </c>
      <c r="N205" s="191"/>
      <c r="O205" s="247"/>
    </row>
    <row r="206">
      <c r="A206" s="12" t="s">
        <v>242</v>
      </c>
      <c r="B206" s="12" t="s">
        <v>35</v>
      </c>
      <c r="C206" s="271" t="str">
        <f>'13TH-11THMAY'!E206</f>
        <v/>
      </c>
      <c r="D206" s="227"/>
      <c r="E206" s="247"/>
      <c r="F206" s="235" t="s">
        <v>35</v>
      </c>
      <c r="G206" s="235"/>
      <c r="H206" s="272">
        <f>'13TH-11THMAY'!J206</f>
        <v>90</v>
      </c>
      <c r="I206" s="281">
        <v>1.0</v>
      </c>
      <c r="J206" s="282">
        <v>40.15</v>
      </c>
      <c r="K206" s="283"/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49.85</v>
      </c>
      <c r="N206" s="191"/>
      <c r="O206" s="247"/>
    </row>
    <row r="207">
      <c r="A207" s="12" t="s">
        <v>243</v>
      </c>
      <c r="B207" s="12" t="s">
        <v>241</v>
      </c>
      <c r="C207" s="271">
        <f>'13TH-11THMAY'!E207</f>
        <v>5</v>
      </c>
      <c r="D207" s="227">
        <v>6.0</v>
      </c>
      <c r="E207" s="247"/>
      <c r="F207" s="235" t="s">
        <v>17</v>
      </c>
      <c r="G207" s="285"/>
      <c r="H207" s="272" t="str">
        <f>'13TH-11THMAY'!J207</f>
        <v/>
      </c>
      <c r="I207" s="281">
        <v>1.0</v>
      </c>
      <c r="J207" s="282">
        <v>2.0</v>
      </c>
      <c r="K207" s="283"/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9</v>
      </c>
      <c r="N207" s="191"/>
      <c r="O207" s="247"/>
    </row>
    <row r="208">
      <c r="A208" s="10" t="s">
        <v>245</v>
      </c>
      <c r="B208" s="11"/>
      <c r="C208" s="271" t="str">
        <f>'13TH-11THMAY'!E208</f>
        <v/>
      </c>
      <c r="D208" s="191"/>
      <c r="E208" s="247"/>
      <c r="F208" s="235"/>
      <c r="G208" s="235"/>
      <c r="H208" s="272" t="str">
        <f>'13TH-11THMAY'!J208</f>
        <v/>
      </c>
      <c r="I208" s="281">
        <v>1.0</v>
      </c>
      <c r="J208" s="284"/>
      <c r="K208" s="283"/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'13TH-11THMAY'!E209</f>
        <v/>
      </c>
      <c r="D209" s="227"/>
      <c r="E209" s="247"/>
      <c r="F209" s="235" t="s">
        <v>155</v>
      </c>
      <c r="G209" s="285"/>
      <c r="H209" s="272" t="str">
        <f>'13TH-11THMAY'!J209</f>
        <v/>
      </c>
      <c r="I209" s="281">
        <v>1.0</v>
      </c>
      <c r="J209" s="282"/>
      <c r="K209" s="283"/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</v>
      </c>
      <c r="N209" s="191"/>
      <c r="O209" s="247"/>
    </row>
    <row r="210">
      <c r="A210" s="12" t="s">
        <v>247</v>
      </c>
      <c r="B210" s="13" t="s">
        <v>59</v>
      </c>
      <c r="C210" s="271">
        <f>'13TH-11THMAY'!E210</f>
        <v>1</v>
      </c>
      <c r="D210" s="191"/>
      <c r="E210" s="280">
        <v>1.0</v>
      </c>
      <c r="F210" s="235" t="s">
        <v>35</v>
      </c>
      <c r="G210" s="235"/>
      <c r="H210" s="272" t="str">
        <f>'13TH-11THMAY'!J210</f>
        <v/>
      </c>
      <c r="I210" s="281">
        <v>1.0</v>
      </c>
      <c r="J210" s="282"/>
      <c r="K210" s="283"/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</v>
      </c>
      <c r="N210" s="191"/>
      <c r="O210" s="247"/>
    </row>
    <row r="211">
      <c r="A211" s="12" t="s">
        <v>248</v>
      </c>
      <c r="B211" s="13" t="s">
        <v>59</v>
      </c>
      <c r="C211" s="271">
        <f>'13TH-11THMAY'!E211</f>
        <v>1</v>
      </c>
      <c r="D211" s="191"/>
      <c r="E211" s="280">
        <v>1.0</v>
      </c>
      <c r="F211" s="235" t="s">
        <v>35</v>
      </c>
      <c r="G211" s="235"/>
      <c r="H211" s="272" t="str">
        <f>'13TH-11THMAY'!J211</f>
        <v/>
      </c>
      <c r="I211" s="281">
        <v>1.0</v>
      </c>
      <c r="J211" s="284"/>
      <c r="K211" s="283"/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247"/>
    </row>
    <row r="212">
      <c r="A212" s="12" t="s">
        <v>250</v>
      </c>
      <c r="B212" s="13" t="s">
        <v>59</v>
      </c>
      <c r="C212" s="271" t="str">
        <f>'13TH-11THMAY'!E212</f>
        <v/>
      </c>
      <c r="D212" s="191"/>
      <c r="E212" s="280"/>
      <c r="F212" s="235" t="s">
        <v>35</v>
      </c>
      <c r="G212" s="235"/>
      <c r="H212" s="272" t="str">
        <f>'13TH-11THMAY'!J212</f>
        <v/>
      </c>
      <c r="I212" s="281">
        <v>1.0</v>
      </c>
      <c r="J212" s="284"/>
      <c r="K212" s="283"/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</v>
      </c>
      <c r="N212" s="191"/>
      <c r="O212" s="247"/>
    </row>
    <row r="213">
      <c r="A213" s="12" t="s">
        <v>251</v>
      </c>
      <c r="B213" s="13" t="s">
        <v>34</v>
      </c>
      <c r="C213" s="271" t="str">
        <f>'13TH-11THMAY'!E213</f>
        <v/>
      </c>
      <c r="D213" s="191"/>
      <c r="E213" s="247"/>
      <c r="F213" s="235" t="s">
        <v>35</v>
      </c>
      <c r="G213" s="235"/>
      <c r="H213" s="272" t="str">
        <f>'13TH-11THMAY'!J213</f>
        <v/>
      </c>
      <c r="I213" s="281">
        <v>1.0</v>
      </c>
      <c r="J213" s="284"/>
      <c r="K213" s="283"/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'13TH-11THMAY'!E214</f>
        <v/>
      </c>
      <c r="D214" s="191"/>
      <c r="E214" s="247"/>
      <c r="F214" s="235"/>
      <c r="G214" s="235"/>
      <c r="H214" s="272" t="str">
        <f>'13TH-11THMAY'!J214</f>
        <v/>
      </c>
      <c r="I214" s="281">
        <v>1.0</v>
      </c>
      <c r="J214" s="284"/>
      <c r="K214" s="283"/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'13TH-11THMAY'!E215</f>
        <v/>
      </c>
      <c r="D215" s="191"/>
      <c r="E215" s="247"/>
      <c r="F215" s="235" t="s">
        <v>254</v>
      </c>
      <c r="G215" s="235"/>
      <c r="H215" s="272" t="str">
        <f>'13TH-11THMAY'!J215</f>
        <v/>
      </c>
      <c r="I215" s="281">
        <v>1.0</v>
      </c>
      <c r="J215" s="284"/>
      <c r="K215" s="283"/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'13TH-11THMAY'!E216</f>
        <v/>
      </c>
      <c r="D216" s="191"/>
      <c r="E216" s="247"/>
      <c r="F216" s="235" t="s">
        <v>234</v>
      </c>
      <c r="G216" s="235"/>
      <c r="H216" s="272" t="str">
        <f>'13TH-11THMAY'!J216</f>
        <v/>
      </c>
      <c r="I216" s="281">
        <v>1.0</v>
      </c>
      <c r="J216" s="284"/>
      <c r="K216" s="283"/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'13TH-11THMAY'!E217</f>
        <v/>
      </c>
      <c r="D217" s="227"/>
      <c r="E217" s="247"/>
      <c r="F217" s="235" t="s">
        <v>17</v>
      </c>
      <c r="G217" s="235"/>
      <c r="H217" s="272">
        <f>'13TH-11THMAY'!J217</f>
        <v>7</v>
      </c>
      <c r="I217" s="281">
        <v>1.0</v>
      </c>
      <c r="J217" s="282">
        <v>13.0</v>
      </c>
      <c r="K217" s="283"/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-6</v>
      </c>
      <c r="N217" s="191"/>
      <c r="O217" s="247"/>
    </row>
    <row r="218">
      <c r="A218" s="12" t="s">
        <v>260</v>
      </c>
      <c r="B218" s="12" t="s">
        <v>261</v>
      </c>
      <c r="C218" s="271" t="str">
        <f>'13TH-11THMAY'!E218</f>
        <v/>
      </c>
      <c r="D218" s="227">
        <v>1.0</v>
      </c>
      <c r="E218" s="280">
        <v>1.0</v>
      </c>
      <c r="F218" s="235" t="s">
        <v>35</v>
      </c>
      <c r="G218" s="235"/>
      <c r="H218" s="272">
        <f>'13TH-11THMAY'!J218</f>
        <v>1.497</v>
      </c>
      <c r="I218" s="281">
        <v>1.0</v>
      </c>
      <c r="J218" s="282"/>
      <c r="K218" s="283"/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0.277</v>
      </c>
      <c r="N218" s="191"/>
      <c r="O218" s="247"/>
    </row>
    <row r="219">
      <c r="A219" s="12" t="s">
        <v>263</v>
      </c>
      <c r="B219" s="12" t="s">
        <v>17</v>
      </c>
      <c r="C219" s="271" t="str">
        <f>'13TH-11THMAY'!E219</f>
        <v/>
      </c>
      <c r="D219" s="227">
        <v>50.0</v>
      </c>
      <c r="E219" s="247"/>
      <c r="F219" s="235" t="s">
        <v>17</v>
      </c>
      <c r="G219" s="235"/>
      <c r="H219" s="272">
        <f>'13TH-11THMAY'!J219</f>
        <v>27</v>
      </c>
      <c r="I219" s="281">
        <v>1.0</v>
      </c>
      <c r="J219" s="282">
        <v>17.0</v>
      </c>
      <c r="K219" s="283"/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60</v>
      </c>
      <c r="N219" s="191"/>
      <c r="O219" s="247"/>
    </row>
    <row r="220">
      <c r="A220" s="12" t="s">
        <v>264</v>
      </c>
      <c r="B220" s="12" t="s">
        <v>261</v>
      </c>
      <c r="C220" s="271" t="str">
        <f>'13TH-11THMAY'!E220</f>
        <v/>
      </c>
      <c r="D220" s="227">
        <v>1.0</v>
      </c>
      <c r="E220" s="280">
        <v>1.0</v>
      </c>
      <c r="F220" s="235" t="s">
        <v>35</v>
      </c>
      <c r="G220" s="235"/>
      <c r="H220" s="272">
        <f>'13TH-11THMAY'!J220</f>
        <v>0.441</v>
      </c>
      <c r="I220" s="281"/>
      <c r="J220" s="284"/>
      <c r="K220" s="283"/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0.441</v>
      </c>
      <c r="N220" s="191"/>
      <c r="O220" s="247"/>
    </row>
    <row r="221">
      <c r="A221" s="12" t="s">
        <v>265</v>
      </c>
      <c r="B221" s="12" t="s">
        <v>40</v>
      </c>
      <c r="C221" s="271" t="str">
        <f>'13TH-11THMAY'!E221</f>
        <v/>
      </c>
      <c r="D221" s="227">
        <v>3.0</v>
      </c>
      <c r="E221" s="247"/>
      <c r="F221" s="235" t="s">
        <v>17</v>
      </c>
      <c r="G221" s="235"/>
      <c r="H221" s="272">
        <f>'13TH-11THMAY'!J221</f>
        <v>14</v>
      </c>
      <c r="I221" s="281">
        <v>1.0</v>
      </c>
      <c r="J221" s="282">
        <v>54.0</v>
      </c>
      <c r="K221" s="283"/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35</v>
      </c>
      <c r="N221" s="191"/>
      <c r="O221" s="247"/>
    </row>
    <row r="222">
      <c r="A222" s="12" t="s">
        <v>266</v>
      </c>
      <c r="B222" s="12" t="s">
        <v>267</v>
      </c>
      <c r="C222" s="271" t="str">
        <f>'13TH-11THMAY'!E222</f>
        <v/>
      </c>
      <c r="D222" s="191"/>
      <c r="E222" s="247"/>
      <c r="F222" s="235" t="s">
        <v>17</v>
      </c>
      <c r="G222" s="235"/>
      <c r="H222" s="272">
        <f>'13TH-11THMAY'!J222</f>
        <v>43</v>
      </c>
      <c r="I222" s="281">
        <v>1.0</v>
      </c>
      <c r="J222" s="282">
        <v>31.0</v>
      </c>
      <c r="K222" s="283"/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12</v>
      </c>
      <c r="N222" s="191"/>
      <c r="O222" s="247"/>
    </row>
    <row r="223">
      <c r="A223" s="12" t="s">
        <v>268</v>
      </c>
      <c r="B223" s="12" t="s">
        <v>40</v>
      </c>
      <c r="C223" s="271" t="str">
        <f>'13TH-11THMAY'!E223</f>
        <v/>
      </c>
      <c r="D223" s="227">
        <v>1.0</v>
      </c>
      <c r="E223" s="247"/>
      <c r="F223" s="235" t="s">
        <v>17</v>
      </c>
      <c r="G223" s="235"/>
      <c r="H223" s="272">
        <f>'13TH-11THMAY'!J223</f>
        <v>13</v>
      </c>
      <c r="I223" s="281">
        <v>1.0</v>
      </c>
      <c r="J223" s="282">
        <v>20.0</v>
      </c>
      <c r="K223" s="283"/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18</v>
      </c>
      <c r="N223" s="191"/>
      <c r="O223" s="247"/>
    </row>
    <row r="224">
      <c r="A224" s="12" t="s">
        <v>269</v>
      </c>
      <c r="B224" s="294" t="s">
        <v>40</v>
      </c>
      <c r="C224" s="271">
        <f>'13TH-11THMAY'!E224</f>
        <v>1</v>
      </c>
      <c r="D224" s="191"/>
      <c r="E224" s="191"/>
      <c r="F224" s="191" t="s">
        <v>17</v>
      </c>
      <c r="G224" s="191"/>
      <c r="H224" s="272">
        <f>'13TH-11THMAY'!J224</f>
        <v>11</v>
      </c>
      <c r="I224" s="281">
        <v>1.0</v>
      </c>
      <c r="J224" s="227">
        <v>37.0</v>
      </c>
      <c r="K224" s="283"/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24</v>
      </c>
      <c r="N224" s="191"/>
      <c r="O224" s="247"/>
    </row>
    <row r="225">
      <c r="A225" s="12" t="s">
        <v>270</v>
      </c>
      <c r="B225" s="294" t="s">
        <v>40</v>
      </c>
      <c r="C225" s="271" t="str">
        <f>'13TH-11THMAY'!E225</f>
        <v/>
      </c>
      <c r="D225" s="227">
        <v>1.0</v>
      </c>
      <c r="E225" s="191"/>
      <c r="F225" s="191" t="s">
        <v>17</v>
      </c>
      <c r="G225" s="191"/>
      <c r="H225" s="272">
        <f>'13TH-11THMAY'!J225</f>
        <v>9</v>
      </c>
      <c r="I225" s="281">
        <v>1.0</v>
      </c>
      <c r="J225" s="227">
        <v>13.0</v>
      </c>
      <c r="K225" s="283"/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46</v>
      </c>
      <c r="N225" s="191"/>
      <c r="O225" s="247"/>
    </row>
    <row r="226">
      <c r="A226" s="12" t="s">
        <v>271</v>
      </c>
      <c r="B226" s="294" t="s">
        <v>40</v>
      </c>
      <c r="C226" s="271" t="str">
        <f>'13TH-11THMAY'!E226</f>
        <v/>
      </c>
      <c r="D226" s="227">
        <v>1.0</v>
      </c>
      <c r="E226" s="191"/>
      <c r="F226" s="191" t="s">
        <v>17</v>
      </c>
      <c r="G226" s="191"/>
      <c r="H226" s="272">
        <f>'13TH-11THMAY'!J226</f>
        <v>21</v>
      </c>
      <c r="I226" s="281">
        <v>1.0</v>
      </c>
      <c r="J226" s="227">
        <v>11.0</v>
      </c>
      <c r="K226" s="283"/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60</v>
      </c>
      <c r="N226" s="191"/>
      <c r="O226" s="247"/>
    </row>
    <row r="227">
      <c r="A227" s="12" t="s">
        <v>272</v>
      </c>
      <c r="B227" s="294" t="s">
        <v>40</v>
      </c>
      <c r="C227" s="271" t="str">
        <f>'13TH-11THMAY'!E227</f>
        <v/>
      </c>
      <c r="D227" s="297"/>
      <c r="E227" s="296"/>
      <c r="F227" s="296" t="s">
        <v>17</v>
      </c>
      <c r="G227" s="296"/>
      <c r="H227" s="272">
        <f>'13TH-11THMAY'!J227</f>
        <v>9</v>
      </c>
      <c r="I227" s="281">
        <v>1.0</v>
      </c>
      <c r="J227" s="297">
        <v>7.0</v>
      </c>
      <c r="K227" s="283"/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2</v>
      </c>
      <c r="N227" s="296"/>
      <c r="O227" s="299"/>
    </row>
    <row r="228">
      <c r="A228" s="23"/>
      <c r="B228" s="11"/>
      <c r="C228" s="271" t="str">
        <f>'13TH-11THMAY'!E228</f>
        <v/>
      </c>
      <c r="D228" s="11"/>
      <c r="E228" s="11"/>
      <c r="F228" s="11"/>
      <c r="G228" s="11"/>
      <c r="H228" s="272" t="str">
        <f>'13TH-11THMAY'!J228</f>
        <v/>
      </c>
      <c r="I228" s="28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'13TH-11THMAY'!E229</f>
        <v/>
      </c>
      <c r="D229" s="11"/>
      <c r="E229" s="11"/>
      <c r="F229" s="11"/>
      <c r="G229" s="11"/>
      <c r="H229" s="272" t="str">
        <f>'13TH-11THMAY'!J229</f>
        <v/>
      </c>
      <c r="I229" s="281"/>
      <c r="J229" s="11"/>
      <c r="K229" s="11"/>
      <c r="L229" s="11"/>
      <c r="M229" s="11"/>
      <c r="N229" s="11"/>
      <c r="O229" s="11"/>
    </row>
    <row r="230">
      <c r="A230" s="11"/>
      <c r="B230" s="11"/>
      <c r="C230" s="271" t="str">
        <f>'13TH-11THMAY'!E230</f>
        <v/>
      </c>
      <c r="D230" s="11"/>
      <c r="E230" s="11"/>
      <c r="F230" s="11"/>
      <c r="G230" s="11"/>
      <c r="H230" s="272" t="str">
        <f>'13TH-11THMAY'!J230</f>
        <v/>
      </c>
      <c r="I230" s="281"/>
      <c r="J230" s="11"/>
      <c r="K230" s="11"/>
      <c r="L230" s="11"/>
      <c r="M230" s="11"/>
      <c r="N230" s="11"/>
      <c r="O230" s="11"/>
    </row>
    <row r="231">
      <c r="A231" s="11"/>
      <c r="B231" s="11"/>
      <c r="C231" s="271" t="str">
        <f>'13TH-11THMAY'!E231</f>
        <v/>
      </c>
      <c r="D231" s="11"/>
      <c r="E231" s="11"/>
      <c r="F231" s="11"/>
      <c r="G231" s="11"/>
      <c r="H231" s="272" t="str">
        <f>'13TH-11THMAY'!J231</f>
        <v/>
      </c>
      <c r="I231" s="281"/>
      <c r="J231" s="11"/>
      <c r="K231" s="11"/>
      <c r="L231" s="11"/>
      <c r="M231" s="11"/>
      <c r="N231" s="11"/>
      <c r="O231" s="11"/>
    </row>
    <row r="232">
      <c r="A232" s="11"/>
      <c r="B232" s="11"/>
      <c r="C232" s="271" t="str">
        <f>'13TH-11THMAY'!E232</f>
        <v/>
      </c>
      <c r="D232" s="11"/>
      <c r="E232" s="11"/>
      <c r="F232" s="11"/>
      <c r="G232" s="11"/>
      <c r="H232" s="272" t="str">
        <f>'13TH-11THMAY'!J232</f>
        <v/>
      </c>
      <c r="I232" s="281"/>
      <c r="J232" s="11"/>
      <c r="K232" s="11"/>
      <c r="L232" s="11"/>
      <c r="M232" s="11"/>
      <c r="N232" s="11"/>
      <c r="O232" s="11"/>
    </row>
    <row r="233">
      <c r="A233" s="11"/>
      <c r="B233" s="11"/>
      <c r="C233" s="271" t="str">
        <f>'13TH-11THMAY'!E233</f>
        <v/>
      </c>
      <c r="D233" s="11"/>
      <c r="E233" s="11"/>
      <c r="F233" s="11"/>
      <c r="G233" s="11"/>
      <c r="H233" s="272" t="str">
        <f>'13TH-11THMAY'!J233</f>
        <v/>
      </c>
      <c r="I233" s="281"/>
      <c r="J233" s="11"/>
      <c r="K233" s="11"/>
      <c r="L233" s="11"/>
      <c r="M233" s="11"/>
      <c r="N233" s="11"/>
      <c r="O233" s="11"/>
    </row>
    <row r="234">
      <c r="A234" s="11"/>
      <c r="B234" s="11"/>
      <c r="C234" s="271" t="str">
        <f>'13TH-11THMAY'!E234</f>
        <v/>
      </c>
      <c r="D234" s="11"/>
      <c r="E234" s="11"/>
      <c r="F234" s="11"/>
      <c r="G234" s="11"/>
      <c r="H234" s="272" t="str">
        <f>'13TH-11THMAY'!J234</f>
        <v/>
      </c>
      <c r="I234" s="281"/>
      <c r="J234" s="11"/>
      <c r="K234" s="11"/>
      <c r="L234" s="11"/>
      <c r="M234" s="11"/>
      <c r="N234" s="11"/>
      <c r="O234" s="11"/>
    </row>
    <row r="235">
      <c r="A235" s="11"/>
      <c r="B235" s="11"/>
      <c r="C235" s="271" t="str">
        <f>'13TH-11THMAY'!E235</f>
        <v/>
      </c>
      <c r="D235" s="11"/>
      <c r="E235" s="11"/>
      <c r="F235" s="11"/>
      <c r="G235" s="11"/>
      <c r="H235" s="272" t="str">
        <f>'13TH-11THMAY'!J235</f>
        <v/>
      </c>
      <c r="I235" s="281"/>
      <c r="J235" s="11"/>
      <c r="K235" s="11"/>
      <c r="L235" s="11"/>
      <c r="M235" s="11"/>
      <c r="N235" s="11"/>
      <c r="O235" s="11"/>
    </row>
    <row r="236">
      <c r="A236" s="11"/>
      <c r="B236" s="11"/>
      <c r="C236" s="271" t="str">
        <f>'13TH-11THMAY'!E236</f>
        <v/>
      </c>
      <c r="D236" s="11"/>
      <c r="E236" s="11"/>
      <c r="F236" s="11"/>
      <c r="G236" s="11"/>
      <c r="H236" s="272" t="str">
        <f>'13TH-11THMAY'!J236</f>
        <v/>
      </c>
      <c r="I236" s="281"/>
      <c r="J236" s="11"/>
      <c r="K236" s="11"/>
      <c r="L236" s="11"/>
      <c r="M236" s="11"/>
      <c r="N236" s="11"/>
      <c r="O236" s="11"/>
    </row>
    <row r="237">
      <c r="A237" s="11"/>
      <c r="B237" s="11"/>
      <c r="C237" s="271" t="str">
        <f>'13TH-11THMAY'!E237</f>
        <v/>
      </c>
      <c r="D237" s="11"/>
      <c r="E237" s="11"/>
      <c r="F237" s="11"/>
      <c r="G237" s="11"/>
      <c r="H237" s="272" t="str">
        <f>'13TH-11THMAY'!J237</f>
        <v/>
      </c>
      <c r="I237" s="281"/>
      <c r="J237" s="11"/>
      <c r="K237" s="11"/>
      <c r="L237" s="11"/>
      <c r="M237" s="11"/>
      <c r="N237" s="11"/>
      <c r="O237" s="11"/>
    </row>
    <row r="238">
      <c r="A238" s="11"/>
      <c r="B238" s="11"/>
      <c r="C238" s="271" t="str">
        <f>'13TH-11THMAY'!E238</f>
        <v/>
      </c>
      <c r="D238" s="11"/>
      <c r="E238" s="11"/>
      <c r="F238" s="11"/>
      <c r="G238" s="11"/>
      <c r="H238" s="272" t="str">
        <f>'13TH-11THMAY'!J238</f>
        <v/>
      </c>
      <c r="I238" s="281"/>
      <c r="J238" s="11"/>
      <c r="K238" s="11"/>
      <c r="L238" s="11"/>
      <c r="M238" s="11"/>
      <c r="N238" s="11"/>
      <c r="O238" s="11"/>
    </row>
    <row r="239">
      <c r="A239" s="11"/>
      <c r="B239" s="11"/>
      <c r="C239" s="271" t="str">
        <f>'13TH-11THMAY'!E239</f>
        <v/>
      </c>
      <c r="D239" s="11"/>
      <c r="E239" s="11"/>
      <c r="F239" s="11"/>
      <c r="G239" s="11"/>
      <c r="H239" s="272" t="str">
        <f>'13TH-11THMAY'!J239</f>
        <v/>
      </c>
      <c r="I239" s="281"/>
      <c r="J239" s="11"/>
      <c r="K239" s="11"/>
      <c r="L239" s="11"/>
      <c r="M239" s="11"/>
      <c r="N239" s="11"/>
      <c r="O239" s="11"/>
    </row>
    <row r="240">
      <c r="A240" s="11"/>
      <c r="B240" s="11"/>
      <c r="C240" s="271" t="str">
        <f>'13TH-11THMAY'!E240</f>
        <v/>
      </c>
      <c r="D240" s="11"/>
      <c r="E240" s="11"/>
      <c r="F240" s="11"/>
      <c r="G240" s="11"/>
      <c r="H240" s="272" t="str">
        <f>'13TH-11THMAY'!J240</f>
        <v/>
      </c>
      <c r="I240" s="281"/>
      <c r="J240" s="11"/>
      <c r="K240" s="11"/>
      <c r="L240" s="11"/>
      <c r="M240" s="11"/>
      <c r="N240" s="11"/>
      <c r="O240" s="11"/>
    </row>
    <row r="241">
      <c r="A241" s="11"/>
      <c r="B241" s="11"/>
      <c r="C241" s="271" t="str">
        <f>'13TH-11THMAY'!E241</f>
        <v/>
      </c>
      <c r="D241" s="11"/>
      <c r="E241" s="11"/>
      <c r="F241" s="11"/>
      <c r="G241" s="11"/>
      <c r="H241" s="272" t="str">
        <f>'13TH-11THMAY'!J241</f>
        <v/>
      </c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271" t="str">
        <f>'13TH-11THMAY'!E242</f>
        <v/>
      </c>
      <c r="D242" s="11"/>
      <c r="E242" s="11"/>
      <c r="F242" s="11"/>
      <c r="G242" s="11"/>
      <c r="H242" s="272" t="str">
        <f>'13TH-11THMAY'!J242</f>
        <v/>
      </c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271" t="str">
        <f>'13TH-11THMAY'!E243</f>
        <v/>
      </c>
      <c r="D243" s="11"/>
      <c r="E243" s="11"/>
      <c r="F243" s="11"/>
      <c r="G243" s="11"/>
      <c r="H243" s="272" t="str">
        <f>'13TH-11THMAY'!J243</f>
        <v/>
      </c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271" t="str">
        <f>'13TH-11THMAY'!E244</f>
        <v/>
      </c>
      <c r="D244" s="11"/>
      <c r="E244" s="11"/>
      <c r="F244" s="11"/>
      <c r="G244" s="11"/>
      <c r="H244" s="272" t="str">
        <f>'13TH-11THMAY'!J244</f>
        <v/>
      </c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271" t="str">
        <f>'13TH-11THMAY'!E245</f>
        <v/>
      </c>
      <c r="D245" s="11"/>
      <c r="E245" s="11"/>
      <c r="F245" s="11"/>
      <c r="G245" s="11"/>
      <c r="H245" s="272" t="str">
        <f>'13TH-11THMAY'!J245</f>
        <v/>
      </c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271" t="str">
        <f>'13TH-11THMAY'!E246</f>
        <v/>
      </c>
      <c r="D246" s="11"/>
      <c r="E246" s="11"/>
      <c r="F246" s="11"/>
      <c r="G246" s="11"/>
      <c r="H246" s="272" t="str">
        <f>'13TH-11THMAY'!J246</f>
        <v/>
      </c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271" t="str">
        <f>'13TH-11THMAY'!E247</f>
        <v/>
      </c>
      <c r="D247" s="11"/>
      <c r="E247" s="11"/>
      <c r="F247" s="11"/>
      <c r="G247" s="11"/>
      <c r="H247" s="272" t="str">
        <f>'13TH-11THMAY'!J247</f>
        <v/>
      </c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271" t="str">
        <f>'13TH-11THMAY'!E248</f>
        <v/>
      </c>
      <c r="D248" s="11"/>
      <c r="E248" s="11"/>
      <c r="F248" s="11"/>
      <c r="G248" s="11"/>
      <c r="H248" s="272" t="str">
        <f>'13TH-11THMAY'!J248</f>
        <v/>
      </c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271" t="str">
        <f>'13TH-11THMAY'!E249</f>
        <v/>
      </c>
      <c r="D249" s="11"/>
      <c r="E249" s="11"/>
      <c r="F249" s="11"/>
      <c r="G249" s="11"/>
      <c r="H249" s="272" t="str">
        <f>'13TH-11THMAY'!J249</f>
        <v/>
      </c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11"/>
      <c r="D250" s="11"/>
      <c r="E250" s="11"/>
      <c r="F250" s="11"/>
      <c r="G250" s="11"/>
      <c r="H250" s="272" t="str">
        <f>'13TH-11THMAY'!J250</f>
        <v/>
      </c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11"/>
      <c r="D251" s="11"/>
      <c r="E251" s="11"/>
      <c r="F251" s="11"/>
      <c r="G251" s="11"/>
      <c r="H251" s="272" t="str">
        <f>'13TH-11THMAY'!J251</f>
        <v/>
      </c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11"/>
      <c r="D252" s="11"/>
      <c r="E252" s="11"/>
      <c r="F252" s="11"/>
      <c r="G252" s="11"/>
      <c r="H252" s="272" t="str">
        <f>'13TH-11THMAY'!J252</f>
        <v/>
      </c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11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11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11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11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11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11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11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11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11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11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11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11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11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11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11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11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11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11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11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11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11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11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11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11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11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11"/>
      <c r="B292" s="235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11"/>
      <c r="B293" s="235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11"/>
      <c r="B294" s="235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11"/>
      <c r="B295" s="235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11"/>
      <c r="B296" s="235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11"/>
      <c r="B297" s="235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11"/>
      <c r="B298" s="235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11"/>
      <c r="B299" s="235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11"/>
      <c r="B300" s="235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11"/>
      <c r="B301" s="235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11"/>
      <c r="B302" s="235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11"/>
      <c r="B303" s="235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11"/>
      <c r="B304" s="235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11"/>
      <c r="B305" s="235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11"/>
      <c r="B306" s="235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11"/>
      <c r="B307" s="235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11"/>
      <c r="B308" s="235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11"/>
      <c r="B309" s="235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11"/>
      <c r="B310" s="235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11"/>
      <c r="B311" s="235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11"/>
      <c r="B312" s="235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11"/>
      <c r="B313" s="235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11"/>
      <c r="B314" s="235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11"/>
      <c r="B315" s="235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11"/>
      <c r="B316" s="235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11"/>
      <c r="B317" s="235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11"/>
      <c r="B318" s="235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11"/>
      <c r="B319" s="235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11"/>
      <c r="B320" s="235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11"/>
      <c r="B321" s="235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11"/>
      <c r="B322" s="235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11"/>
      <c r="B323" s="235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11"/>
      <c r="B324" s="235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11"/>
      <c r="B325" s="235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11"/>
      <c r="B326" s="235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11"/>
      <c r="B327" s="235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11"/>
      <c r="B328" s="235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11"/>
      <c r="B329" s="235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11"/>
      <c r="B330" s="235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11"/>
      <c r="B331" s="235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11"/>
      <c r="B332" s="235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11"/>
      <c r="B333" s="235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11"/>
      <c r="B334" s="235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11"/>
      <c r="B335" s="235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11"/>
      <c r="B336" s="235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A337" s="300"/>
    </row>
    <row r="338">
      <c r="A338" s="300"/>
    </row>
    <row r="339">
      <c r="A339" s="300"/>
    </row>
    <row r="340">
      <c r="A340" s="300"/>
    </row>
    <row r="341">
      <c r="A341" s="300"/>
    </row>
    <row r="342">
      <c r="A342" s="300"/>
    </row>
    <row r="343">
      <c r="A343" s="300"/>
    </row>
    <row r="344">
      <c r="A344" s="300"/>
    </row>
    <row r="345">
      <c r="A345" s="300"/>
    </row>
    <row r="346">
      <c r="A346" s="300"/>
    </row>
    <row r="347">
      <c r="A347" s="300"/>
    </row>
    <row r="348">
      <c r="A348" s="300"/>
    </row>
    <row r="349">
      <c r="A349" s="300"/>
    </row>
    <row r="350">
      <c r="A350" s="300"/>
    </row>
    <row r="351">
      <c r="A351" s="300"/>
    </row>
    <row r="352">
      <c r="A352" s="300"/>
    </row>
    <row r="353">
      <c r="A353" s="300"/>
    </row>
    <row r="354">
      <c r="A354" s="300"/>
    </row>
    <row r="355">
      <c r="A355" s="300"/>
    </row>
    <row r="356">
      <c r="A356" s="300"/>
    </row>
    <row r="357">
      <c r="A357" s="300"/>
    </row>
    <row r="358">
      <c r="A358" s="300"/>
    </row>
    <row r="359">
      <c r="A359" s="300"/>
    </row>
    <row r="360">
      <c r="A360" s="300"/>
    </row>
    <row r="361">
      <c r="A361" s="300"/>
    </row>
    <row r="362">
      <c r="A362" s="300"/>
    </row>
    <row r="363">
      <c r="A363" s="300"/>
    </row>
    <row r="364">
      <c r="A364" s="300"/>
    </row>
    <row r="365">
      <c r="A365" s="300"/>
    </row>
    <row r="366">
      <c r="A366" s="300"/>
    </row>
    <row r="367">
      <c r="A367" s="300"/>
    </row>
    <row r="368">
      <c r="A368" s="300"/>
    </row>
    <row r="369">
      <c r="A369" s="300"/>
    </row>
    <row r="370">
      <c r="A370" s="300"/>
    </row>
    <row r="371">
      <c r="A371" s="300"/>
    </row>
    <row r="372">
      <c r="A372" s="300"/>
    </row>
    <row r="373">
      <c r="A373" s="300"/>
    </row>
    <row r="374">
      <c r="A374" s="300"/>
    </row>
    <row r="375">
      <c r="A375" s="300"/>
    </row>
    <row r="376">
      <c r="A376" s="300"/>
    </row>
    <row r="377">
      <c r="A377" s="300"/>
    </row>
    <row r="378">
      <c r="A378" s="300"/>
    </row>
    <row r="379">
      <c r="A379" s="300"/>
    </row>
    <row r="380">
      <c r="A380" s="300"/>
    </row>
    <row r="381">
      <c r="A381" s="300"/>
    </row>
    <row r="382">
      <c r="A382" s="300"/>
    </row>
    <row r="383">
      <c r="A383" s="300"/>
    </row>
    <row r="384">
      <c r="A384" s="300"/>
    </row>
    <row r="385">
      <c r="A385" s="300"/>
    </row>
    <row r="386">
      <c r="A386" s="300"/>
    </row>
    <row r="387">
      <c r="A387" s="300"/>
    </row>
    <row r="388">
      <c r="A388" s="300"/>
    </row>
    <row r="389">
      <c r="A389" s="300"/>
    </row>
    <row r="390">
      <c r="A390" s="300"/>
    </row>
    <row r="391">
      <c r="A391" s="300"/>
    </row>
    <row r="392">
      <c r="A392" s="300"/>
    </row>
    <row r="393">
      <c r="A393" s="300"/>
    </row>
    <row r="394">
      <c r="A394" s="300"/>
    </row>
    <row r="395">
      <c r="A395" s="300"/>
    </row>
    <row r="396">
      <c r="A396" s="300"/>
    </row>
    <row r="397">
      <c r="A397" s="300"/>
    </row>
    <row r="398">
      <c r="A398" s="300"/>
    </row>
    <row r="399">
      <c r="A399" s="300"/>
    </row>
    <row r="400">
      <c r="A400" s="300"/>
    </row>
    <row r="401">
      <c r="A401" s="300"/>
    </row>
    <row r="402">
      <c r="A402" s="300"/>
    </row>
    <row r="403">
      <c r="A403" s="300"/>
    </row>
    <row r="404">
      <c r="A404" s="300"/>
    </row>
    <row r="405">
      <c r="A405" s="300"/>
    </row>
    <row r="406">
      <c r="A406" s="300"/>
    </row>
    <row r="407">
      <c r="A407" s="300"/>
    </row>
    <row r="408">
      <c r="A408" s="300"/>
    </row>
    <row r="409">
      <c r="A409" s="300"/>
    </row>
    <row r="410">
      <c r="A410" s="300"/>
    </row>
    <row r="411">
      <c r="A411" s="300"/>
    </row>
    <row r="412">
      <c r="A412" s="300"/>
    </row>
    <row r="413">
      <c r="A413" s="300"/>
    </row>
    <row r="414">
      <c r="A414" s="300"/>
    </row>
    <row r="415">
      <c r="A415" s="300"/>
    </row>
    <row r="416">
      <c r="A416" s="300"/>
    </row>
    <row r="417">
      <c r="A417" s="300"/>
    </row>
    <row r="418">
      <c r="A418" s="300"/>
    </row>
    <row r="419">
      <c r="A419" s="300"/>
    </row>
    <row r="420">
      <c r="A420" s="300"/>
    </row>
    <row r="421">
      <c r="A421" s="300"/>
    </row>
    <row r="422">
      <c r="A422" s="300"/>
    </row>
    <row r="423">
      <c r="A423" s="300"/>
    </row>
    <row r="424">
      <c r="A424" s="300"/>
    </row>
    <row r="425">
      <c r="A425" s="300"/>
    </row>
    <row r="426">
      <c r="A426" s="300"/>
    </row>
    <row r="427">
      <c r="A427" s="300"/>
    </row>
    <row r="428">
      <c r="A428" s="300"/>
    </row>
    <row r="429">
      <c r="A429" s="300"/>
    </row>
    <row r="430">
      <c r="A430" s="300"/>
    </row>
    <row r="431">
      <c r="A431" s="300"/>
    </row>
    <row r="432">
      <c r="A432" s="300"/>
    </row>
    <row r="433">
      <c r="A433" s="300"/>
    </row>
    <row r="434">
      <c r="A434" s="300"/>
    </row>
    <row r="435">
      <c r="A435" s="300"/>
    </row>
    <row r="436">
      <c r="A436" s="300"/>
    </row>
    <row r="437">
      <c r="A437" s="300"/>
    </row>
    <row r="438">
      <c r="A438" s="300"/>
    </row>
    <row r="439">
      <c r="A439" s="300"/>
    </row>
    <row r="440">
      <c r="A440" s="300"/>
    </row>
    <row r="441">
      <c r="A441" s="300"/>
    </row>
    <row r="442">
      <c r="A442" s="300"/>
    </row>
    <row r="443">
      <c r="A443" s="300"/>
    </row>
    <row r="444">
      <c r="A444" s="300"/>
    </row>
    <row r="445">
      <c r="A445" s="300"/>
    </row>
    <row r="446">
      <c r="A446" s="300"/>
    </row>
    <row r="447">
      <c r="A447" s="300"/>
    </row>
    <row r="448">
      <c r="A448" s="300"/>
    </row>
    <row r="449">
      <c r="A449" s="300"/>
    </row>
    <row r="450">
      <c r="A450" s="300"/>
    </row>
    <row r="451">
      <c r="A451" s="300"/>
    </row>
    <row r="452">
      <c r="A452" s="300"/>
    </row>
    <row r="453">
      <c r="A453" s="300"/>
    </row>
    <row r="454">
      <c r="A454" s="300"/>
    </row>
    <row r="455">
      <c r="A455" s="300"/>
    </row>
    <row r="456">
      <c r="A456" s="300"/>
    </row>
    <row r="457">
      <c r="A457" s="300"/>
    </row>
    <row r="458">
      <c r="A458" s="300"/>
    </row>
    <row r="459">
      <c r="A459" s="300"/>
    </row>
    <row r="460">
      <c r="A460" s="300"/>
    </row>
    <row r="461">
      <c r="A461" s="300"/>
    </row>
    <row r="462">
      <c r="A462" s="300"/>
    </row>
    <row r="463">
      <c r="A463" s="300"/>
    </row>
    <row r="464">
      <c r="A464" s="300"/>
    </row>
    <row r="465">
      <c r="A465" s="300"/>
    </row>
    <row r="466">
      <c r="A466" s="300"/>
    </row>
    <row r="467">
      <c r="A467" s="300"/>
    </row>
    <row r="468">
      <c r="A468" s="300"/>
    </row>
    <row r="469">
      <c r="A469" s="300"/>
    </row>
    <row r="470">
      <c r="A470" s="300"/>
    </row>
    <row r="471">
      <c r="A471" s="300"/>
    </row>
    <row r="472">
      <c r="A472" s="300"/>
    </row>
    <row r="473">
      <c r="A473" s="300"/>
    </row>
    <row r="474">
      <c r="A474" s="300"/>
    </row>
    <row r="475">
      <c r="A475" s="300"/>
    </row>
    <row r="476">
      <c r="A476" s="300"/>
    </row>
    <row r="477">
      <c r="A477" s="300"/>
    </row>
    <row r="478">
      <c r="A478" s="300"/>
    </row>
    <row r="479">
      <c r="A479" s="300"/>
    </row>
    <row r="480">
      <c r="A480" s="300"/>
    </row>
    <row r="481">
      <c r="A481" s="300"/>
    </row>
    <row r="482">
      <c r="A482" s="300"/>
    </row>
    <row r="483">
      <c r="A483" s="300"/>
    </row>
    <row r="484">
      <c r="A484" s="300"/>
    </row>
    <row r="485">
      <c r="A485" s="300"/>
    </row>
    <row r="486">
      <c r="A486" s="300"/>
    </row>
    <row r="487">
      <c r="A487" s="300"/>
    </row>
    <row r="488">
      <c r="A488" s="300"/>
    </row>
    <row r="489">
      <c r="A489" s="300"/>
    </row>
    <row r="490">
      <c r="A490" s="300"/>
    </row>
    <row r="491">
      <c r="A491" s="300"/>
    </row>
    <row r="492">
      <c r="A492" s="300"/>
    </row>
    <row r="493">
      <c r="A493" s="300"/>
    </row>
    <row r="494">
      <c r="A494" s="300"/>
    </row>
    <row r="495">
      <c r="A495" s="300"/>
    </row>
    <row r="496">
      <c r="A496" s="300"/>
    </row>
    <row r="497">
      <c r="A497" s="300"/>
    </row>
    <row r="498">
      <c r="A498" s="300"/>
    </row>
    <row r="499">
      <c r="A499" s="300"/>
    </row>
    <row r="500">
      <c r="A500" s="300"/>
    </row>
    <row r="501">
      <c r="A501" s="300"/>
    </row>
    <row r="502">
      <c r="A502" s="300"/>
    </row>
    <row r="503">
      <c r="A503" s="300"/>
    </row>
    <row r="504">
      <c r="A504" s="300"/>
    </row>
    <row r="505">
      <c r="A505" s="300"/>
    </row>
    <row r="506">
      <c r="A506" s="300"/>
    </row>
    <row r="507">
      <c r="A507" s="300"/>
    </row>
    <row r="508">
      <c r="A508" s="300"/>
    </row>
    <row r="509">
      <c r="A509" s="300"/>
    </row>
    <row r="510">
      <c r="A510" s="300"/>
    </row>
    <row r="511">
      <c r="A511" s="300"/>
    </row>
    <row r="512">
      <c r="A512" s="300"/>
    </row>
    <row r="513">
      <c r="A513" s="300"/>
    </row>
    <row r="514">
      <c r="A514" s="300"/>
    </row>
    <row r="515">
      <c r="A515" s="300"/>
    </row>
    <row r="516">
      <c r="A516" s="300"/>
    </row>
    <row r="517">
      <c r="A517" s="300"/>
    </row>
    <row r="518">
      <c r="A518" s="300"/>
    </row>
    <row r="519">
      <c r="A519" s="300"/>
    </row>
    <row r="520">
      <c r="A520" s="300"/>
    </row>
    <row r="521">
      <c r="A521" s="300"/>
    </row>
    <row r="522">
      <c r="A522" s="300"/>
    </row>
    <row r="523">
      <c r="A523" s="300"/>
    </row>
    <row r="524">
      <c r="A524" s="300"/>
    </row>
    <row r="525">
      <c r="A525" s="300"/>
    </row>
    <row r="526">
      <c r="A526" s="300"/>
    </row>
    <row r="527">
      <c r="A527" s="300"/>
    </row>
    <row r="528">
      <c r="A528" s="300"/>
    </row>
    <row r="529">
      <c r="A529" s="300"/>
    </row>
    <row r="530">
      <c r="A530" s="300"/>
    </row>
    <row r="531">
      <c r="A531" s="300"/>
    </row>
    <row r="532">
      <c r="A532" s="300"/>
    </row>
    <row r="533">
      <c r="A533" s="300"/>
    </row>
    <row r="534">
      <c r="A534" s="300"/>
    </row>
    <row r="535">
      <c r="A535" s="300"/>
    </row>
    <row r="536">
      <c r="A536" s="300"/>
    </row>
    <row r="537">
      <c r="A537" s="300"/>
    </row>
    <row r="538">
      <c r="A538" s="300"/>
    </row>
    <row r="539">
      <c r="A539" s="300"/>
    </row>
    <row r="540">
      <c r="A540" s="300"/>
    </row>
    <row r="541">
      <c r="A541" s="300"/>
    </row>
    <row r="542">
      <c r="A542" s="300"/>
    </row>
    <row r="543">
      <c r="A543" s="300"/>
    </row>
    <row r="544">
      <c r="A544" s="300"/>
    </row>
    <row r="545">
      <c r="A545" s="300"/>
    </row>
    <row r="546">
      <c r="A546" s="300"/>
    </row>
    <row r="547">
      <c r="A547" s="300"/>
    </row>
    <row r="548">
      <c r="A548" s="300"/>
    </row>
    <row r="549">
      <c r="A549" s="300"/>
    </row>
    <row r="550">
      <c r="A550" s="300"/>
    </row>
    <row r="551">
      <c r="A551" s="300"/>
    </row>
    <row r="552">
      <c r="A552" s="300"/>
    </row>
    <row r="553">
      <c r="A553" s="300"/>
    </row>
    <row r="554">
      <c r="A554" s="300"/>
    </row>
    <row r="555">
      <c r="A555" s="300"/>
    </row>
    <row r="556">
      <c r="A556" s="300"/>
    </row>
    <row r="557">
      <c r="A557" s="300"/>
    </row>
    <row r="558">
      <c r="A558" s="300"/>
    </row>
    <row r="559">
      <c r="A559" s="300"/>
    </row>
    <row r="560">
      <c r="A560" s="300"/>
    </row>
    <row r="561">
      <c r="A561" s="300"/>
    </row>
    <row r="562">
      <c r="A562" s="300"/>
    </row>
    <row r="563">
      <c r="A563" s="300"/>
    </row>
    <row r="564">
      <c r="A564" s="300"/>
    </row>
    <row r="565">
      <c r="A565" s="300"/>
    </row>
    <row r="566">
      <c r="A566" s="300"/>
    </row>
    <row r="567">
      <c r="A567" s="300"/>
    </row>
    <row r="568">
      <c r="A568" s="300"/>
    </row>
    <row r="569">
      <c r="A569" s="300"/>
    </row>
    <row r="570">
      <c r="A570" s="300"/>
    </row>
    <row r="571">
      <c r="A571" s="300"/>
    </row>
    <row r="572">
      <c r="A572" s="300"/>
    </row>
    <row r="573">
      <c r="A573" s="300"/>
    </row>
    <row r="574">
      <c r="A574" s="300"/>
    </row>
    <row r="575">
      <c r="A575" s="300"/>
    </row>
    <row r="576">
      <c r="A576" s="300"/>
    </row>
    <row r="577">
      <c r="A577" s="300"/>
    </row>
    <row r="578">
      <c r="A578" s="300"/>
    </row>
    <row r="579">
      <c r="A579" s="300"/>
    </row>
    <row r="580">
      <c r="A580" s="300"/>
    </row>
    <row r="581">
      <c r="A581" s="300"/>
    </row>
    <row r="582">
      <c r="A582" s="300"/>
    </row>
    <row r="583">
      <c r="A583" s="300"/>
    </row>
    <row r="584">
      <c r="A584" s="300"/>
    </row>
    <row r="585">
      <c r="A585" s="300"/>
    </row>
    <row r="586">
      <c r="A586" s="300"/>
    </row>
    <row r="587">
      <c r="A587" s="300"/>
    </row>
    <row r="588">
      <c r="A588" s="300"/>
    </row>
    <row r="589">
      <c r="A589" s="300"/>
    </row>
    <row r="590">
      <c r="A590" s="300"/>
    </row>
    <row r="591">
      <c r="A591" s="300"/>
    </row>
    <row r="592">
      <c r="A592" s="300"/>
    </row>
    <row r="593">
      <c r="A593" s="300"/>
    </row>
    <row r="594">
      <c r="A594" s="300"/>
    </row>
    <row r="595">
      <c r="A595" s="300"/>
    </row>
    <row r="596">
      <c r="A596" s="300"/>
    </row>
    <row r="597">
      <c r="A597" s="300"/>
    </row>
    <row r="598">
      <c r="A598" s="300"/>
    </row>
    <row r="599">
      <c r="A599" s="300"/>
    </row>
    <row r="600">
      <c r="A600" s="300"/>
    </row>
    <row r="601">
      <c r="A601" s="300"/>
    </row>
    <row r="602">
      <c r="A602" s="300"/>
    </row>
    <row r="603">
      <c r="A603" s="300"/>
    </row>
    <row r="604">
      <c r="A604" s="300"/>
    </row>
    <row r="605">
      <c r="A605" s="300"/>
    </row>
    <row r="606">
      <c r="A606" s="300"/>
    </row>
    <row r="607">
      <c r="A607" s="300"/>
    </row>
    <row r="608">
      <c r="A608" s="300"/>
    </row>
    <row r="609">
      <c r="A609" s="300"/>
    </row>
    <row r="610">
      <c r="A610" s="300"/>
    </row>
    <row r="611">
      <c r="A611" s="300"/>
    </row>
    <row r="612">
      <c r="A612" s="300"/>
    </row>
    <row r="613">
      <c r="A613" s="300"/>
    </row>
    <row r="614">
      <c r="A614" s="300"/>
    </row>
    <row r="615">
      <c r="A615" s="300"/>
    </row>
    <row r="616">
      <c r="A616" s="300"/>
    </row>
    <row r="617">
      <c r="A617" s="300"/>
    </row>
    <row r="618">
      <c r="A618" s="300"/>
    </row>
    <row r="619">
      <c r="A619" s="300"/>
    </row>
    <row r="620">
      <c r="A620" s="300"/>
    </row>
    <row r="621">
      <c r="A621" s="300"/>
    </row>
    <row r="622">
      <c r="A622" s="300"/>
    </row>
    <row r="623">
      <c r="A623" s="300"/>
    </row>
    <row r="624">
      <c r="A624" s="300"/>
    </row>
    <row r="625">
      <c r="A625" s="300"/>
    </row>
    <row r="626">
      <c r="A626" s="300"/>
    </row>
    <row r="627">
      <c r="A627" s="300"/>
    </row>
    <row r="628">
      <c r="A628" s="300"/>
    </row>
    <row r="629">
      <c r="A629" s="300"/>
    </row>
    <row r="630">
      <c r="A630" s="300"/>
    </row>
    <row r="631">
      <c r="A631" s="300"/>
    </row>
    <row r="632">
      <c r="A632" s="300"/>
    </row>
    <row r="633">
      <c r="A633" s="300"/>
    </row>
    <row r="634">
      <c r="A634" s="300"/>
    </row>
    <row r="635">
      <c r="A635" s="300"/>
    </row>
    <row r="636">
      <c r="A636" s="300"/>
    </row>
    <row r="637">
      <c r="A637" s="300"/>
    </row>
    <row r="638">
      <c r="A638" s="300"/>
    </row>
    <row r="639">
      <c r="A639" s="300"/>
    </row>
    <row r="640">
      <c r="A640" s="300"/>
    </row>
    <row r="641">
      <c r="A641" s="300"/>
    </row>
    <row r="642">
      <c r="A642" s="300"/>
    </row>
    <row r="643">
      <c r="A643" s="300"/>
    </row>
    <row r="644">
      <c r="A644" s="300"/>
    </row>
    <row r="645">
      <c r="A645" s="300"/>
    </row>
    <row r="646">
      <c r="A646" s="300"/>
    </row>
    <row r="647">
      <c r="A647" s="300"/>
    </row>
    <row r="648">
      <c r="A648" s="300"/>
    </row>
    <row r="649">
      <c r="A649" s="300"/>
    </row>
    <row r="650">
      <c r="A650" s="300"/>
    </row>
    <row r="651">
      <c r="A651" s="300"/>
    </row>
    <row r="652">
      <c r="A652" s="300"/>
    </row>
    <row r="653">
      <c r="A653" s="300"/>
    </row>
    <row r="654">
      <c r="A654" s="300"/>
    </row>
    <row r="655">
      <c r="A655" s="300"/>
    </row>
    <row r="656">
      <c r="A656" s="300"/>
    </row>
    <row r="657">
      <c r="A657" s="300"/>
    </row>
    <row r="658">
      <c r="A658" s="300"/>
    </row>
    <row r="659">
      <c r="A659" s="300"/>
    </row>
    <row r="660">
      <c r="A660" s="300"/>
    </row>
    <row r="661">
      <c r="A661" s="300"/>
    </row>
    <row r="662">
      <c r="A662" s="300"/>
    </row>
    <row r="663">
      <c r="A663" s="300"/>
    </row>
    <row r="664">
      <c r="A664" s="300"/>
    </row>
    <row r="665">
      <c r="A665" s="300"/>
    </row>
    <row r="666">
      <c r="A666" s="300"/>
    </row>
    <row r="667">
      <c r="A667" s="300"/>
    </row>
    <row r="668">
      <c r="A668" s="300"/>
    </row>
    <row r="669">
      <c r="A669" s="300"/>
    </row>
    <row r="670">
      <c r="A670" s="300"/>
    </row>
    <row r="671">
      <c r="A671" s="300"/>
    </row>
    <row r="672">
      <c r="A672" s="300"/>
    </row>
    <row r="673">
      <c r="A673" s="300"/>
    </row>
    <row r="674">
      <c r="A674" s="300"/>
    </row>
    <row r="675">
      <c r="A675" s="300"/>
    </row>
    <row r="676">
      <c r="A676" s="300"/>
    </row>
    <row r="677">
      <c r="A677" s="300"/>
    </row>
    <row r="678">
      <c r="A678" s="300"/>
    </row>
    <row r="679">
      <c r="A679" s="300"/>
    </row>
    <row r="680">
      <c r="A680" s="300"/>
    </row>
    <row r="681">
      <c r="A681" s="300"/>
    </row>
    <row r="682">
      <c r="A682" s="300"/>
    </row>
    <row r="683">
      <c r="A683" s="300"/>
    </row>
    <row r="684">
      <c r="A684" s="300"/>
    </row>
    <row r="685">
      <c r="A685" s="300"/>
    </row>
    <row r="686">
      <c r="A686" s="300"/>
    </row>
    <row r="687">
      <c r="A687" s="300"/>
    </row>
    <row r="688">
      <c r="A688" s="300"/>
    </row>
    <row r="689">
      <c r="A689" s="300"/>
    </row>
    <row r="690">
      <c r="A690" s="300"/>
    </row>
    <row r="691">
      <c r="A691" s="300"/>
    </row>
    <row r="692">
      <c r="A692" s="300"/>
    </row>
    <row r="693">
      <c r="A693" s="300"/>
    </row>
    <row r="694">
      <c r="A694" s="300"/>
    </row>
    <row r="695">
      <c r="A695" s="300"/>
    </row>
    <row r="696">
      <c r="A696" s="300"/>
    </row>
    <row r="697">
      <c r="A697" s="300"/>
    </row>
    <row r="698">
      <c r="A698" s="300"/>
    </row>
    <row r="699">
      <c r="A699" s="300"/>
    </row>
    <row r="700">
      <c r="A700" s="300"/>
    </row>
    <row r="701">
      <c r="A701" s="300"/>
    </row>
    <row r="702">
      <c r="A702" s="300"/>
    </row>
    <row r="703">
      <c r="A703" s="300"/>
    </row>
    <row r="704">
      <c r="A704" s="300"/>
    </row>
    <row r="705">
      <c r="A705" s="300"/>
    </row>
    <row r="706">
      <c r="A706" s="300"/>
    </row>
    <row r="707">
      <c r="A707" s="300"/>
    </row>
    <row r="708">
      <c r="A708" s="300"/>
    </row>
    <row r="709">
      <c r="A709" s="300"/>
    </row>
    <row r="710">
      <c r="A710" s="300"/>
    </row>
    <row r="711">
      <c r="A711" s="300"/>
    </row>
    <row r="712">
      <c r="A712" s="300"/>
    </row>
    <row r="713">
      <c r="A713" s="300"/>
    </row>
    <row r="714">
      <c r="A714" s="300"/>
    </row>
    <row r="715">
      <c r="A715" s="300"/>
    </row>
    <row r="716">
      <c r="A716" s="300"/>
    </row>
    <row r="717">
      <c r="A717" s="300"/>
    </row>
    <row r="718">
      <c r="A718" s="300"/>
    </row>
    <row r="719">
      <c r="A719" s="300"/>
    </row>
    <row r="720">
      <c r="A720" s="300"/>
    </row>
    <row r="721">
      <c r="A721" s="300"/>
    </row>
    <row r="722">
      <c r="A722" s="300"/>
    </row>
    <row r="723">
      <c r="A723" s="300"/>
    </row>
    <row r="724">
      <c r="A724" s="300"/>
    </row>
    <row r="725">
      <c r="A725" s="300"/>
    </row>
    <row r="726">
      <c r="A726" s="300"/>
    </row>
    <row r="727">
      <c r="A727" s="300"/>
    </row>
    <row r="728">
      <c r="A728" s="300"/>
    </row>
    <row r="729">
      <c r="A729" s="300"/>
    </row>
    <row r="730">
      <c r="A730" s="300"/>
    </row>
    <row r="731">
      <c r="A731" s="300"/>
    </row>
    <row r="732">
      <c r="A732" s="300"/>
    </row>
    <row r="733">
      <c r="A733" s="300"/>
    </row>
    <row r="734">
      <c r="A734" s="300"/>
    </row>
    <row r="735">
      <c r="A735" s="300"/>
    </row>
    <row r="736">
      <c r="A736" s="300"/>
    </row>
    <row r="737">
      <c r="A737" s="300"/>
    </row>
    <row r="738">
      <c r="A738" s="300"/>
    </row>
    <row r="739">
      <c r="A739" s="300"/>
    </row>
    <row r="740">
      <c r="A740" s="300"/>
    </row>
    <row r="741">
      <c r="A741" s="300"/>
    </row>
    <row r="742">
      <c r="A742" s="300"/>
    </row>
    <row r="743">
      <c r="A743" s="300"/>
    </row>
    <row r="744">
      <c r="A744" s="300"/>
    </row>
    <row r="745">
      <c r="A745" s="300"/>
    </row>
    <row r="746">
      <c r="A746" s="300"/>
    </row>
    <row r="747">
      <c r="A747" s="300"/>
    </row>
    <row r="748">
      <c r="A748" s="300"/>
    </row>
    <row r="749">
      <c r="A749" s="300"/>
    </row>
    <row r="750">
      <c r="A750" s="300"/>
    </row>
    <row r="751">
      <c r="A751" s="300"/>
    </row>
    <row r="752">
      <c r="A752" s="300"/>
    </row>
    <row r="753">
      <c r="A753" s="300"/>
    </row>
    <row r="754">
      <c r="A754" s="300"/>
    </row>
    <row r="755">
      <c r="A755" s="300"/>
    </row>
    <row r="756">
      <c r="A756" s="300"/>
    </row>
    <row r="757">
      <c r="A757" s="300"/>
    </row>
    <row r="758">
      <c r="A758" s="300"/>
    </row>
    <row r="759">
      <c r="A759" s="300"/>
    </row>
    <row r="760">
      <c r="A760" s="300"/>
    </row>
    <row r="761">
      <c r="A761" s="300"/>
    </row>
    <row r="762">
      <c r="A762" s="300"/>
    </row>
    <row r="763">
      <c r="A763" s="300"/>
    </row>
    <row r="764">
      <c r="A764" s="300"/>
    </row>
    <row r="765">
      <c r="A765" s="300"/>
    </row>
    <row r="766">
      <c r="A766" s="300"/>
    </row>
    <row r="767">
      <c r="A767" s="300"/>
    </row>
    <row r="768">
      <c r="A768" s="300"/>
    </row>
    <row r="769">
      <c r="A769" s="300"/>
    </row>
    <row r="770">
      <c r="A770" s="300"/>
    </row>
    <row r="771">
      <c r="A771" s="300"/>
    </row>
    <row r="772">
      <c r="A772" s="300"/>
    </row>
    <row r="773">
      <c r="A773" s="300"/>
    </row>
    <row r="774">
      <c r="A774" s="300"/>
    </row>
    <row r="775">
      <c r="A775" s="300"/>
    </row>
    <row r="776">
      <c r="A776" s="300"/>
    </row>
    <row r="777">
      <c r="A777" s="300"/>
    </row>
    <row r="778">
      <c r="A778" s="300"/>
    </row>
    <row r="779">
      <c r="A779" s="300"/>
    </row>
    <row r="780">
      <c r="A780" s="300"/>
    </row>
    <row r="781">
      <c r="A781" s="300"/>
    </row>
    <row r="782">
      <c r="A782" s="300"/>
    </row>
    <row r="783">
      <c r="A783" s="300"/>
    </row>
    <row r="784">
      <c r="A784" s="300"/>
    </row>
    <row r="785">
      <c r="A785" s="300"/>
    </row>
    <row r="786">
      <c r="A786" s="300"/>
    </row>
    <row r="787">
      <c r="A787" s="300"/>
    </row>
    <row r="788">
      <c r="A788" s="300"/>
    </row>
    <row r="789">
      <c r="A789" s="300"/>
    </row>
    <row r="790">
      <c r="A790" s="300"/>
    </row>
    <row r="791">
      <c r="A791" s="300"/>
    </row>
    <row r="792">
      <c r="A792" s="300"/>
    </row>
    <row r="793">
      <c r="A793" s="300"/>
    </row>
    <row r="794">
      <c r="A794" s="300"/>
    </row>
    <row r="795">
      <c r="A795" s="300"/>
    </row>
    <row r="796">
      <c r="A796" s="300"/>
    </row>
    <row r="797">
      <c r="A797" s="300"/>
    </row>
    <row r="798">
      <c r="A798" s="300"/>
    </row>
    <row r="799">
      <c r="A799" s="300"/>
    </row>
    <row r="800">
      <c r="A800" s="300"/>
    </row>
    <row r="801">
      <c r="A801" s="300"/>
    </row>
    <row r="802">
      <c r="A802" s="300"/>
    </row>
    <row r="803">
      <c r="A803" s="300"/>
    </row>
    <row r="804">
      <c r="A804" s="300"/>
    </row>
    <row r="805">
      <c r="A805" s="300"/>
    </row>
    <row r="806">
      <c r="A806" s="300"/>
    </row>
    <row r="807">
      <c r="A807" s="300"/>
    </row>
    <row r="808">
      <c r="A808" s="300"/>
    </row>
    <row r="809">
      <c r="A809" s="300"/>
    </row>
    <row r="810">
      <c r="A810" s="300"/>
    </row>
    <row r="811">
      <c r="A811" s="300"/>
    </row>
    <row r="812">
      <c r="A812" s="300"/>
    </row>
    <row r="813">
      <c r="A813" s="300"/>
    </row>
    <row r="814">
      <c r="A814" s="300"/>
    </row>
    <row r="815">
      <c r="A815" s="300"/>
    </row>
    <row r="816">
      <c r="A816" s="300"/>
    </row>
    <row r="817">
      <c r="A817" s="300"/>
    </row>
    <row r="818">
      <c r="A818" s="300"/>
    </row>
    <row r="819">
      <c r="A819" s="300"/>
    </row>
    <row r="820">
      <c r="A820" s="300"/>
    </row>
    <row r="821">
      <c r="A821" s="300"/>
    </row>
    <row r="822">
      <c r="A822" s="300"/>
    </row>
    <row r="823">
      <c r="A823" s="300"/>
    </row>
    <row r="824">
      <c r="A824" s="300"/>
    </row>
    <row r="825">
      <c r="A825" s="300"/>
    </row>
    <row r="826">
      <c r="A826" s="300"/>
    </row>
    <row r="827">
      <c r="A827" s="300"/>
    </row>
    <row r="828">
      <c r="A828" s="300"/>
    </row>
    <row r="829">
      <c r="A829" s="300"/>
    </row>
    <row r="830">
      <c r="A830" s="300"/>
    </row>
    <row r="831">
      <c r="A831" s="300"/>
    </row>
    <row r="832">
      <c r="A832" s="300"/>
    </row>
    <row r="833">
      <c r="A833" s="300"/>
    </row>
    <row r="834">
      <c r="A834" s="300"/>
    </row>
    <row r="835">
      <c r="A835" s="300"/>
    </row>
    <row r="836">
      <c r="A836" s="300"/>
    </row>
    <row r="837">
      <c r="A837" s="300"/>
    </row>
    <row r="838">
      <c r="A838" s="300"/>
    </row>
    <row r="839">
      <c r="A839" s="300"/>
    </row>
    <row r="840">
      <c r="A840" s="300"/>
    </row>
    <row r="841">
      <c r="A841" s="300"/>
    </row>
    <row r="842">
      <c r="A842" s="300"/>
    </row>
    <row r="843">
      <c r="A843" s="300"/>
    </row>
    <row r="844">
      <c r="A844" s="300"/>
    </row>
    <row r="845">
      <c r="A845" s="300"/>
    </row>
    <row r="846">
      <c r="A846" s="300"/>
    </row>
    <row r="847">
      <c r="A847" s="300"/>
    </row>
    <row r="848">
      <c r="A848" s="300"/>
    </row>
    <row r="849">
      <c r="A849" s="300"/>
    </row>
    <row r="850">
      <c r="A850" s="300"/>
    </row>
    <row r="851">
      <c r="A851" s="300"/>
    </row>
    <row r="852">
      <c r="A852" s="300"/>
    </row>
    <row r="853">
      <c r="A853" s="300"/>
    </row>
    <row r="854">
      <c r="A854" s="300"/>
    </row>
    <row r="855">
      <c r="A855" s="300"/>
    </row>
    <row r="856">
      <c r="A856" s="300"/>
    </row>
    <row r="857">
      <c r="A857" s="300"/>
    </row>
    <row r="858">
      <c r="A858" s="300"/>
    </row>
    <row r="859">
      <c r="A859" s="300"/>
    </row>
    <row r="860">
      <c r="A860" s="300"/>
    </row>
    <row r="861">
      <c r="A861" s="300"/>
    </row>
    <row r="862">
      <c r="A862" s="300"/>
    </row>
    <row r="863">
      <c r="A863" s="300"/>
    </row>
    <row r="864">
      <c r="A864" s="300"/>
    </row>
    <row r="865">
      <c r="A865" s="300"/>
    </row>
    <row r="866">
      <c r="A866" s="300"/>
    </row>
    <row r="867">
      <c r="A867" s="300"/>
    </row>
    <row r="868">
      <c r="A868" s="300"/>
    </row>
    <row r="869">
      <c r="A869" s="300"/>
    </row>
    <row r="870">
      <c r="A870" s="300"/>
    </row>
    <row r="871">
      <c r="A871" s="300"/>
    </row>
    <row r="872">
      <c r="A872" s="300"/>
    </row>
    <row r="873">
      <c r="A873" s="300"/>
    </row>
    <row r="874">
      <c r="A874" s="300"/>
    </row>
    <row r="875">
      <c r="A875" s="300"/>
    </row>
    <row r="876">
      <c r="A876" s="300"/>
    </row>
    <row r="877">
      <c r="A877" s="300"/>
    </row>
    <row r="878">
      <c r="A878" s="300"/>
    </row>
    <row r="879">
      <c r="A879" s="300"/>
    </row>
    <row r="880">
      <c r="A880" s="300"/>
    </row>
    <row r="881">
      <c r="A881" s="300"/>
    </row>
    <row r="882">
      <c r="A882" s="300"/>
    </row>
    <row r="883">
      <c r="A883" s="300"/>
    </row>
    <row r="884">
      <c r="A884" s="300"/>
    </row>
    <row r="885">
      <c r="A885" s="300"/>
    </row>
    <row r="886">
      <c r="A886" s="300"/>
    </row>
    <row r="887">
      <c r="A887" s="300"/>
    </row>
    <row r="888">
      <c r="A888" s="300"/>
    </row>
    <row r="889">
      <c r="A889" s="300"/>
    </row>
    <row r="890">
      <c r="A890" s="300"/>
    </row>
    <row r="891">
      <c r="A891" s="300"/>
    </row>
    <row r="892">
      <c r="A892" s="300"/>
    </row>
    <row r="893">
      <c r="A893" s="300"/>
    </row>
    <row r="894">
      <c r="A894" s="300"/>
    </row>
    <row r="895">
      <c r="A895" s="300"/>
    </row>
    <row r="896">
      <c r="A896" s="300"/>
    </row>
    <row r="897">
      <c r="A897" s="300"/>
    </row>
    <row r="898">
      <c r="A898" s="300"/>
    </row>
    <row r="899">
      <c r="A899" s="300"/>
    </row>
    <row r="900">
      <c r="A900" s="300"/>
    </row>
    <row r="901">
      <c r="A901" s="300"/>
    </row>
    <row r="902">
      <c r="A902" s="300"/>
    </row>
    <row r="903">
      <c r="A903" s="300"/>
    </row>
    <row r="904">
      <c r="A904" s="300"/>
    </row>
    <row r="905">
      <c r="A905" s="300"/>
    </row>
    <row r="906">
      <c r="A906" s="300"/>
    </row>
    <row r="907">
      <c r="A907" s="300"/>
    </row>
    <row r="908">
      <c r="A908" s="300"/>
    </row>
    <row r="909">
      <c r="A909" s="300"/>
    </row>
    <row r="910">
      <c r="A910" s="300"/>
    </row>
    <row r="911">
      <c r="A911" s="300"/>
    </row>
    <row r="912">
      <c r="A912" s="300"/>
    </row>
    <row r="913">
      <c r="A913" s="300"/>
    </row>
    <row r="914">
      <c r="A914" s="300"/>
    </row>
    <row r="915">
      <c r="A915" s="300"/>
    </row>
    <row r="916">
      <c r="A916" s="300"/>
    </row>
    <row r="917">
      <c r="A917" s="300"/>
    </row>
    <row r="918">
      <c r="A918" s="300"/>
    </row>
    <row r="919">
      <c r="A919" s="300"/>
    </row>
    <row r="920">
      <c r="A920" s="300"/>
    </row>
    <row r="921">
      <c r="A921" s="300"/>
    </row>
    <row r="922">
      <c r="A922" s="300"/>
    </row>
    <row r="923">
      <c r="A923" s="300"/>
    </row>
    <row r="924">
      <c r="A924" s="300"/>
    </row>
    <row r="925">
      <c r="A925" s="300"/>
    </row>
    <row r="926">
      <c r="A926" s="300"/>
    </row>
    <row r="927">
      <c r="A927" s="300"/>
    </row>
    <row r="928">
      <c r="A928" s="300"/>
    </row>
    <row r="929">
      <c r="A929" s="300"/>
    </row>
    <row r="930">
      <c r="A930" s="300"/>
    </row>
    <row r="931">
      <c r="A931" s="300"/>
    </row>
    <row r="932">
      <c r="A932" s="300"/>
    </row>
    <row r="933">
      <c r="A933" s="300"/>
    </row>
    <row r="934">
      <c r="A934" s="300"/>
    </row>
    <row r="935">
      <c r="A935" s="300"/>
    </row>
    <row r="936">
      <c r="A936" s="300"/>
    </row>
    <row r="937">
      <c r="A937" s="300"/>
    </row>
    <row r="938">
      <c r="A938" s="300"/>
    </row>
    <row r="939">
      <c r="A939" s="300"/>
    </row>
    <row r="940">
      <c r="A940" s="300"/>
    </row>
    <row r="941">
      <c r="A941" s="300"/>
    </row>
    <row r="942">
      <c r="A942" s="300"/>
    </row>
    <row r="943">
      <c r="A943" s="300"/>
    </row>
    <row r="944">
      <c r="A944" s="300"/>
    </row>
    <row r="945">
      <c r="A945" s="300"/>
    </row>
    <row r="946">
      <c r="A946" s="300"/>
    </row>
    <row r="947">
      <c r="A947" s="300"/>
    </row>
    <row r="948">
      <c r="A948" s="300"/>
    </row>
    <row r="949">
      <c r="A949" s="300"/>
    </row>
    <row r="950">
      <c r="A950" s="300"/>
    </row>
    <row r="951">
      <c r="A951" s="300"/>
    </row>
    <row r="952">
      <c r="A952" s="300"/>
    </row>
    <row r="953">
      <c r="A953" s="300"/>
    </row>
    <row r="954">
      <c r="A954" s="300"/>
    </row>
    <row r="955">
      <c r="A955" s="300"/>
    </row>
    <row r="956">
      <c r="A956" s="300"/>
    </row>
    <row r="957">
      <c r="A957" s="300"/>
    </row>
    <row r="958">
      <c r="A958" s="300"/>
    </row>
    <row r="959">
      <c r="A959" s="300"/>
    </row>
    <row r="960">
      <c r="A960" s="300"/>
    </row>
    <row r="961">
      <c r="A961" s="300"/>
    </row>
    <row r="962">
      <c r="A962" s="300"/>
    </row>
    <row r="963">
      <c r="A963" s="300"/>
    </row>
    <row r="964">
      <c r="A964" s="300"/>
    </row>
    <row r="965">
      <c r="A965" s="300"/>
    </row>
    <row r="966">
      <c r="A966" s="300"/>
    </row>
    <row r="967">
      <c r="A967" s="300"/>
    </row>
    <row r="968">
      <c r="A968" s="300"/>
    </row>
    <row r="969">
      <c r="A969" s="300"/>
    </row>
    <row r="970">
      <c r="A970" s="300"/>
    </row>
    <row r="971">
      <c r="A971" s="300"/>
    </row>
    <row r="972">
      <c r="A972" s="300"/>
    </row>
    <row r="973">
      <c r="A973" s="300"/>
    </row>
    <row r="974">
      <c r="A974" s="300"/>
    </row>
    <row r="975">
      <c r="A975" s="300"/>
    </row>
    <row r="976">
      <c r="A976" s="300"/>
    </row>
    <row r="977">
      <c r="A977" s="300"/>
    </row>
    <row r="978">
      <c r="A978" s="300"/>
    </row>
    <row r="979">
      <c r="A979" s="300"/>
    </row>
    <row r="980">
      <c r="A980" s="300"/>
    </row>
    <row r="981">
      <c r="A981" s="300"/>
    </row>
    <row r="982">
      <c r="A982" s="300"/>
    </row>
    <row r="983">
      <c r="A983" s="300"/>
    </row>
    <row r="984">
      <c r="A984" s="300"/>
    </row>
    <row r="985">
      <c r="A985" s="300"/>
    </row>
    <row r="986">
      <c r="A986" s="300"/>
    </row>
    <row r="987">
      <c r="A987" s="300"/>
    </row>
    <row r="988">
      <c r="A988" s="300"/>
    </row>
    <row r="989">
      <c r="A989" s="300"/>
    </row>
    <row r="990">
      <c r="A990" s="300"/>
    </row>
    <row r="991">
      <c r="A991" s="300"/>
    </row>
    <row r="992">
      <c r="A992" s="300"/>
    </row>
    <row r="993">
      <c r="A993" s="300"/>
    </row>
    <row r="994">
      <c r="A994" s="300"/>
    </row>
    <row r="995">
      <c r="A995" s="300"/>
    </row>
    <row r="996">
      <c r="A996" s="300"/>
    </row>
    <row r="997">
      <c r="A997" s="300"/>
    </row>
    <row r="998">
      <c r="A998" s="300"/>
    </row>
    <row r="999">
      <c r="A999" s="300"/>
    </row>
    <row r="1000">
      <c r="A1000" s="300"/>
    </row>
    <row r="1001">
      <c r="A1001" s="300"/>
    </row>
    <row r="1002">
      <c r="A1002" s="300"/>
    </row>
    <row r="1003">
      <c r="A1003" s="300"/>
    </row>
  </sheetData>
  <mergeCells count="4">
    <mergeCell ref="A1:O1"/>
    <mergeCell ref="B2:E2"/>
    <mergeCell ref="F2:K2"/>
    <mergeCell ref="L2:O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25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253"/>
      <c r="B2" s="25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260" t="s">
        <v>754</v>
      </c>
      <c r="B3" s="232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266" t="s">
        <v>570</v>
      </c>
      <c r="B4" s="235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260" t="s">
        <v>397</v>
      </c>
      <c r="B5" s="235" t="s">
        <v>402</v>
      </c>
      <c r="C5" s="271">
        <f>'10thMAY'!E5</f>
        <v>14</v>
      </c>
      <c r="D5" s="272">
        <v>14.0</v>
      </c>
      <c r="E5" s="273">
        <v>16.0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36</v>
      </c>
      <c r="N5" s="268"/>
      <c r="O5" s="269"/>
    </row>
    <row r="6">
      <c r="A6" s="260" t="s">
        <v>401</v>
      </c>
      <c r="B6" s="235" t="s">
        <v>402</v>
      </c>
      <c r="C6" s="271" t="str">
        <f>'10thMAY'!E6</f>
        <v/>
      </c>
      <c r="D6" s="272">
        <v>10.0</v>
      </c>
      <c r="E6" s="273"/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20</v>
      </c>
      <c r="N6" s="268"/>
      <c r="O6" s="269"/>
    </row>
    <row r="7">
      <c r="A7" s="260" t="s">
        <v>404</v>
      </c>
      <c r="B7" s="235" t="s">
        <v>402</v>
      </c>
      <c r="C7" s="271">
        <f>'10thMAY'!E7</f>
        <v>3</v>
      </c>
      <c r="D7" s="272">
        <v>13.0</v>
      </c>
      <c r="E7" s="273"/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80</v>
      </c>
      <c r="N7" s="268"/>
      <c r="O7" s="269"/>
    </row>
    <row r="8">
      <c r="A8" s="260" t="s">
        <v>406</v>
      </c>
      <c r="B8" s="235" t="s">
        <v>402</v>
      </c>
      <c r="C8" s="271">
        <f>'10thMAY'!E8</f>
        <v>1</v>
      </c>
      <c r="D8" s="272">
        <v>18.0</v>
      </c>
      <c r="E8" s="273">
        <v>8.0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11</v>
      </c>
      <c r="N8" s="268"/>
      <c r="O8" s="269"/>
    </row>
    <row r="9">
      <c r="A9" s="260" t="s">
        <v>409</v>
      </c>
      <c r="B9" s="235" t="s">
        <v>402</v>
      </c>
      <c r="C9" s="271" t="str">
        <f>'10thMAY'!E9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260" t="s">
        <v>411</v>
      </c>
      <c r="B10" s="235" t="s">
        <v>402</v>
      </c>
      <c r="C10" s="271">
        <f>'10thMAY'!E10</f>
        <v>5</v>
      </c>
      <c r="D10" s="272">
        <v>11.0</v>
      </c>
      <c r="E10" s="273">
        <v>7.0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72</v>
      </c>
      <c r="N10" s="268"/>
      <c r="O10" s="269"/>
    </row>
    <row r="11">
      <c r="A11" s="260" t="s">
        <v>413</v>
      </c>
      <c r="B11" s="235" t="s">
        <v>402</v>
      </c>
      <c r="C11" s="271">
        <f>'10thMAY'!E11</f>
        <v>1</v>
      </c>
      <c r="D11" s="272">
        <v>33.0</v>
      </c>
      <c r="E11" s="273">
        <v>8.0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26</v>
      </c>
      <c r="N11" s="268"/>
      <c r="O11" s="269"/>
    </row>
    <row r="12">
      <c r="A12" s="260" t="s">
        <v>414</v>
      </c>
      <c r="B12" s="235" t="s">
        <v>402</v>
      </c>
      <c r="C12" s="271" t="str">
        <f>'10thMAY'!E12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260" t="s">
        <v>416</v>
      </c>
      <c r="B13" s="235" t="s">
        <v>402</v>
      </c>
      <c r="C13" s="271">
        <f>'10thMAY'!E13</f>
        <v>2</v>
      </c>
      <c r="D13" s="272">
        <v>11.0</v>
      </c>
      <c r="E13" s="273">
        <v>5.5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67.5</v>
      </c>
      <c r="N13" s="268"/>
      <c r="O13" s="269"/>
    </row>
    <row r="14">
      <c r="A14" s="260" t="s">
        <v>418</v>
      </c>
      <c r="B14" s="235" t="s">
        <v>402</v>
      </c>
      <c r="C14" s="271">
        <f>'10thMAY'!E14</f>
        <v>1</v>
      </c>
      <c r="D14" s="272">
        <v>21.0</v>
      </c>
      <c r="E14" s="273">
        <v>6.5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15.5</v>
      </c>
      <c r="N14" s="268"/>
      <c r="O14" s="269"/>
    </row>
    <row r="15">
      <c r="A15" s="260" t="s">
        <v>420</v>
      </c>
      <c r="B15" s="235" t="s">
        <v>402</v>
      </c>
      <c r="C15" s="271" t="str">
        <f>'10thMAY'!E15</f>
        <v/>
      </c>
      <c r="D15" s="272">
        <v>10.0</v>
      </c>
      <c r="E15" s="273">
        <v>5.0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20</v>
      </c>
      <c r="N15" s="268"/>
      <c r="O15" s="269"/>
    </row>
    <row r="16">
      <c r="A16" s="260" t="s">
        <v>422</v>
      </c>
      <c r="B16" s="235" t="s">
        <v>402</v>
      </c>
      <c r="C16" s="271">
        <f>'10thMAY'!E16</f>
        <v>5</v>
      </c>
      <c r="D16" s="272"/>
      <c r="E16" s="273">
        <v>2.0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12</v>
      </c>
      <c r="N16" s="268"/>
      <c r="O16" s="269"/>
    </row>
    <row r="17">
      <c r="A17" s="260" t="s">
        <v>423</v>
      </c>
      <c r="B17" s="235" t="s">
        <v>402</v>
      </c>
      <c r="C17" s="271">
        <f>'10thMAY'!E17</f>
        <v>7</v>
      </c>
      <c r="D17" s="272">
        <v>11.0</v>
      </c>
      <c r="E17" s="273">
        <v>8.0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20</v>
      </c>
      <c r="N17" s="268"/>
      <c r="O17" s="269"/>
    </row>
    <row r="18">
      <c r="A18" s="260" t="s">
        <v>425</v>
      </c>
      <c r="B18" s="235" t="s">
        <v>402</v>
      </c>
      <c r="C18" s="271">
        <f>'10thMAY'!E18</f>
        <v>2</v>
      </c>
      <c r="D18" s="272">
        <v>7.0</v>
      </c>
      <c r="E18" s="273">
        <v>3.0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12</v>
      </c>
      <c r="N18" s="268"/>
      <c r="O18" s="269"/>
    </row>
    <row r="19">
      <c r="A19" s="260" t="s">
        <v>426</v>
      </c>
      <c r="B19" s="235" t="s">
        <v>402</v>
      </c>
      <c r="C19" s="271">
        <f>'10thMAY'!E19</f>
        <v>3</v>
      </c>
      <c r="D19" s="272">
        <v>5.0</v>
      </c>
      <c r="E19" s="273">
        <v>3.0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5</v>
      </c>
      <c r="N19" s="268"/>
      <c r="O19" s="269"/>
    </row>
    <row r="20">
      <c r="A20" s="260" t="s">
        <v>428</v>
      </c>
      <c r="B20" s="235" t="s">
        <v>402</v>
      </c>
      <c r="C20" s="271">
        <f>'10thMAY'!E20</f>
        <v>3</v>
      </c>
      <c r="D20" s="268"/>
      <c r="E20" s="273">
        <v>3.0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0</v>
      </c>
      <c r="N20" s="268"/>
      <c r="O20" s="269"/>
    </row>
    <row r="21">
      <c r="A21" s="260" t="s">
        <v>429</v>
      </c>
      <c r="B21" s="235" t="s">
        <v>402</v>
      </c>
      <c r="C21" s="271" t="str">
        <f>'10thMAY'!E21</f>
        <v/>
      </c>
      <c r="D21" s="272">
        <v>6.0</v>
      </c>
      <c r="E21" s="273">
        <v>5.0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4</v>
      </c>
      <c r="N21" s="268"/>
      <c r="O21" s="269"/>
    </row>
    <row r="22">
      <c r="A22" s="260" t="s">
        <v>431</v>
      </c>
      <c r="B22" s="235" t="s">
        <v>402</v>
      </c>
      <c r="C22" s="271" t="str">
        <f>'10thMAY'!E22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60" t="s">
        <v>432</v>
      </c>
      <c r="B23" s="235" t="s">
        <v>402</v>
      </c>
      <c r="C23" s="271">
        <f>'10thMAY'!E23</f>
        <v>5</v>
      </c>
      <c r="D23" s="272">
        <v>11.0</v>
      </c>
      <c r="E23" s="273">
        <v>4.0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24</v>
      </c>
      <c r="N23" s="268"/>
      <c r="O23" s="269"/>
    </row>
    <row r="24">
      <c r="A24" s="260" t="s">
        <v>433</v>
      </c>
      <c r="B24" s="235" t="s">
        <v>402</v>
      </c>
      <c r="C24" s="271">
        <f>'10thMAY'!E24</f>
        <v>1</v>
      </c>
      <c r="D24" s="272">
        <v>26.0</v>
      </c>
      <c r="E24" s="273">
        <v>3.0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24</v>
      </c>
      <c r="N24" s="268"/>
      <c r="O24" s="269"/>
    </row>
    <row r="25">
      <c r="A25" s="260" t="s">
        <v>435</v>
      </c>
      <c r="B25" s="235" t="s">
        <v>402</v>
      </c>
      <c r="C25" s="271">
        <f>'10thMAY'!E25</f>
        <v>10</v>
      </c>
      <c r="D25" s="272">
        <v>10.0</v>
      </c>
      <c r="E25" s="273">
        <v>8.0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12</v>
      </c>
      <c r="N25" s="268"/>
      <c r="O25" s="269"/>
    </row>
    <row r="26">
      <c r="A26" s="260" t="s">
        <v>438</v>
      </c>
      <c r="B26" s="235" t="s">
        <v>402</v>
      </c>
      <c r="C26" s="271">
        <f>'10thMAY'!E26</f>
        <v>3</v>
      </c>
      <c r="D26" s="272">
        <v>8.0</v>
      </c>
      <c r="E26" s="273">
        <v>4.0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7</v>
      </c>
      <c r="N26" s="268"/>
      <c r="O26" s="269"/>
    </row>
    <row r="27">
      <c r="A27" s="260" t="s">
        <v>439</v>
      </c>
      <c r="B27" s="235" t="s">
        <v>402</v>
      </c>
      <c r="C27" s="271" t="str">
        <f>'10thMAY'!E27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260" t="s">
        <v>440</v>
      </c>
      <c r="B28" s="235" t="s">
        <v>402</v>
      </c>
      <c r="C28" s="271">
        <f>'10thMAY'!E28</f>
        <v>6</v>
      </c>
      <c r="D28" s="268"/>
      <c r="E28" s="273">
        <v>6.0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0</v>
      </c>
      <c r="N28" s="268"/>
      <c r="O28" s="269"/>
    </row>
    <row r="29">
      <c r="A29" s="260" t="s">
        <v>441</v>
      </c>
      <c r="B29" s="235" t="s">
        <v>402</v>
      </c>
      <c r="C29" s="271" t="str">
        <f>'10thMAY'!E29</f>
        <v/>
      </c>
      <c r="D29" s="272">
        <v>10.0</v>
      </c>
      <c r="E29" s="273">
        <v>10.0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0</v>
      </c>
      <c r="N29" s="268"/>
      <c r="O29" s="269"/>
    </row>
    <row r="30">
      <c r="A30" s="260" t="s">
        <v>442</v>
      </c>
      <c r="B30" s="235" t="s">
        <v>402</v>
      </c>
      <c r="C30" s="271" t="str">
        <f>'10thMAY'!E30</f>
        <v/>
      </c>
      <c r="D30" s="272">
        <v>12.0</v>
      </c>
      <c r="E30" s="273">
        <v>4.0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8</v>
      </c>
      <c r="N30" s="268"/>
      <c r="O30" s="269"/>
    </row>
    <row r="31">
      <c r="A31" s="260" t="s">
        <v>444</v>
      </c>
      <c r="B31" s="235" t="s">
        <v>402</v>
      </c>
      <c r="C31" s="271">
        <f>'10thMAY'!E31</f>
        <v>5</v>
      </c>
      <c r="D31" s="268"/>
      <c r="E31" s="273"/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5</v>
      </c>
      <c r="N31" s="268"/>
      <c r="O31" s="269"/>
    </row>
    <row r="32">
      <c r="A32" s="260" t="s">
        <v>445</v>
      </c>
      <c r="B32" s="235" t="s">
        <v>402</v>
      </c>
      <c r="C32" s="271">
        <f>'10thMAY'!E32</f>
        <v>5</v>
      </c>
      <c r="D32" s="268"/>
      <c r="E32" s="273">
        <v>4.0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4</v>
      </c>
      <c r="N32" s="268"/>
      <c r="O32" s="269"/>
    </row>
    <row r="33">
      <c r="A33" s="260" t="s">
        <v>446</v>
      </c>
      <c r="B33" s="235" t="s">
        <v>402</v>
      </c>
      <c r="C33" s="271" t="str">
        <f>'10thMAY'!E33</f>
        <v/>
      </c>
      <c r="D33" s="268"/>
      <c r="E33" s="273"/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260" t="s">
        <v>447</v>
      </c>
      <c r="B34" s="235" t="s">
        <v>402</v>
      </c>
      <c r="C34" s="271">
        <f>'10thMAY'!E34</f>
        <v>3</v>
      </c>
      <c r="D34" s="272">
        <v>10.0</v>
      </c>
      <c r="E34" s="273">
        <v>7.0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6</v>
      </c>
      <c r="N34" s="268"/>
      <c r="O34" s="269"/>
    </row>
    <row r="35">
      <c r="A35" s="260" t="s">
        <v>449</v>
      </c>
      <c r="B35" s="235" t="s">
        <v>402</v>
      </c>
      <c r="C35" s="271">
        <f>'10thMAY'!E35</f>
        <v>5</v>
      </c>
      <c r="D35" s="272"/>
      <c r="E35" s="273">
        <v>4.0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1</v>
      </c>
      <c r="N35" s="268"/>
      <c r="O35" s="269"/>
    </row>
    <row r="36">
      <c r="A36" s="260" t="s">
        <v>451</v>
      </c>
      <c r="B36" s="235" t="s">
        <v>402</v>
      </c>
      <c r="C36" s="271">
        <f>'10thMAY'!E36</f>
        <v>10</v>
      </c>
      <c r="D36" s="272">
        <v>7.0</v>
      </c>
      <c r="E36" s="273">
        <v>5.0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24</v>
      </c>
      <c r="N36" s="268"/>
      <c r="O36" s="269"/>
    </row>
    <row r="37">
      <c r="A37" s="275" t="s">
        <v>452</v>
      </c>
      <c r="B37" s="235" t="s">
        <v>402</v>
      </c>
      <c r="C37" s="271">
        <f>'10thMAY'!E37</f>
        <v>3</v>
      </c>
      <c r="D37" s="272">
        <v>4.0</v>
      </c>
      <c r="E37" s="273">
        <v>1.0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24</v>
      </c>
      <c r="N37" s="268"/>
      <c r="O37" s="269"/>
    </row>
    <row r="38">
      <c r="A38" s="275" t="s">
        <v>454</v>
      </c>
      <c r="B38" s="235" t="s">
        <v>402</v>
      </c>
      <c r="C38" s="271">
        <f>'10thMAY'!E38</f>
        <v>4</v>
      </c>
      <c r="D38" s="268"/>
      <c r="E38" s="273">
        <v>3.0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4</v>
      </c>
      <c r="N38" s="268"/>
      <c r="O38" s="269"/>
    </row>
    <row r="39">
      <c r="A39" s="276" t="s">
        <v>455</v>
      </c>
      <c r="B39" s="235" t="s">
        <v>402</v>
      </c>
      <c r="C39" s="271">
        <f>'10thMAY'!E39</f>
        <v>7</v>
      </c>
      <c r="D39" s="272">
        <v>6.0</v>
      </c>
      <c r="E39" s="273">
        <v>8.0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20</v>
      </c>
      <c r="N39" s="268"/>
      <c r="O39" s="269"/>
    </row>
    <row r="40">
      <c r="A40" s="276" t="s">
        <v>456</v>
      </c>
      <c r="B40" s="235" t="s">
        <v>402</v>
      </c>
      <c r="C40" s="271" t="str">
        <f>'10thMAY'!E40</f>
        <v/>
      </c>
      <c r="D40" s="272">
        <v>9.0</v>
      </c>
      <c r="E40" s="273">
        <v>6.0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3</v>
      </c>
      <c r="N40" s="268"/>
      <c r="O40" s="269"/>
    </row>
    <row r="41">
      <c r="A41" s="276" t="s">
        <v>457</v>
      </c>
      <c r="B41" s="235" t="s">
        <v>402</v>
      </c>
      <c r="C41" s="271" t="str">
        <f>'10thMAY'!E41</f>
        <v/>
      </c>
      <c r="D41" s="272">
        <v>12.0</v>
      </c>
      <c r="E41" s="273">
        <v>6.0</v>
      </c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6</v>
      </c>
      <c r="N41" s="268"/>
      <c r="O41" s="269"/>
    </row>
    <row r="42">
      <c r="A42" s="277" t="s">
        <v>762</v>
      </c>
      <c r="B42" s="235"/>
      <c r="C42" s="271" t="str">
        <f>'10thMAY'!E42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'10thMAY'!E43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'10thMAY'!E44</f>
        <v/>
      </c>
      <c r="D44" s="227">
        <v>3.0</v>
      </c>
      <c r="E44" s="280"/>
      <c r="F44" s="235" t="s">
        <v>14</v>
      </c>
      <c r="G44" s="235"/>
      <c r="H44" s="272" t="str">
        <f>'10thMAY'!J44</f>
        <v/>
      </c>
      <c r="I44" s="281">
        <v>1.0</v>
      </c>
      <c r="J44" s="282">
        <v>1.5</v>
      </c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1.5</v>
      </c>
      <c r="N44" s="191"/>
      <c r="O44" s="247"/>
    </row>
    <row r="45">
      <c r="A45" s="12" t="s">
        <v>16</v>
      </c>
      <c r="B45" s="13" t="s">
        <v>17</v>
      </c>
      <c r="C45" s="271" t="str">
        <f>'10thMAY'!E45</f>
        <v/>
      </c>
      <c r="D45" s="227">
        <v>27.0</v>
      </c>
      <c r="E45" s="280"/>
      <c r="F45" s="235" t="s">
        <v>17</v>
      </c>
      <c r="G45" s="235"/>
      <c r="H45" s="272">
        <f>'10thMAY'!J45</f>
        <v>7</v>
      </c>
      <c r="I45" s="281">
        <v>1.0</v>
      </c>
      <c r="J45" s="282">
        <v>19.0</v>
      </c>
      <c r="K45" s="283"/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15</v>
      </c>
      <c r="N45" s="191"/>
      <c r="O45" s="247"/>
    </row>
    <row r="46">
      <c r="A46" s="15" t="s">
        <v>19</v>
      </c>
      <c r="B46" s="13" t="s">
        <v>17</v>
      </c>
      <c r="C46" s="271" t="str">
        <f>'10thMAY'!E46</f>
        <v/>
      </c>
      <c r="D46" s="227"/>
      <c r="E46" s="280"/>
      <c r="F46" s="235" t="s">
        <v>17</v>
      </c>
      <c r="G46" s="235"/>
      <c r="H46" s="272">
        <f>'10thMAY'!J46</f>
        <v>7</v>
      </c>
      <c r="I46" s="281">
        <v>1.0</v>
      </c>
      <c r="J46" s="282">
        <v>5.0</v>
      </c>
      <c r="K46" s="283"/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2</v>
      </c>
      <c r="N46" s="191"/>
      <c r="O46" s="247"/>
    </row>
    <row r="47">
      <c r="A47" s="12" t="s">
        <v>20</v>
      </c>
      <c r="B47" s="13" t="s">
        <v>17</v>
      </c>
      <c r="C47" s="271" t="str">
        <f>'10thMAY'!E47</f>
        <v/>
      </c>
      <c r="D47" s="191"/>
      <c r="E47" s="280"/>
      <c r="F47" s="235" t="s">
        <v>17</v>
      </c>
      <c r="G47" s="235"/>
      <c r="H47" s="272">
        <f>'10thMAY'!J47</f>
        <v>13</v>
      </c>
      <c r="I47" s="281">
        <v>1.0</v>
      </c>
      <c r="J47" s="284"/>
      <c r="K47" s="283"/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13</v>
      </c>
      <c r="N47" s="191"/>
      <c r="O47" s="247"/>
    </row>
    <row r="48">
      <c r="A48" s="12" t="s">
        <v>21</v>
      </c>
      <c r="B48" s="13" t="s">
        <v>17</v>
      </c>
      <c r="C48" s="271" t="str">
        <f>'10thMAY'!E48</f>
        <v/>
      </c>
      <c r="D48" s="227">
        <v>4.0</v>
      </c>
      <c r="E48" s="280"/>
      <c r="F48" s="235" t="s">
        <v>17</v>
      </c>
      <c r="G48" s="235"/>
      <c r="H48" s="272">
        <f>'10thMAY'!J48</f>
        <v>5</v>
      </c>
      <c r="I48" s="281">
        <v>1.0</v>
      </c>
      <c r="J48" s="282">
        <v>4.0</v>
      </c>
      <c r="K48" s="283"/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5</v>
      </c>
      <c r="N48" s="191"/>
      <c r="O48" s="247"/>
    </row>
    <row r="49">
      <c r="A49" s="12" t="s">
        <v>22</v>
      </c>
      <c r="B49" s="13" t="s">
        <v>17</v>
      </c>
      <c r="C49" s="271" t="str">
        <f>'10thMAY'!E49</f>
        <v/>
      </c>
      <c r="D49" s="191"/>
      <c r="E49" s="247"/>
      <c r="F49" s="235" t="s">
        <v>17</v>
      </c>
      <c r="G49" s="235"/>
      <c r="H49" s="272" t="str">
        <f>'10thMAY'!J49</f>
        <v/>
      </c>
      <c r="I49" s="281">
        <v>1.0</v>
      </c>
      <c r="J49" s="284"/>
      <c r="K49" s="283"/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'10thMAY'!E50</f>
        <v/>
      </c>
      <c r="D50" s="227">
        <v>2.0</v>
      </c>
      <c r="E50" s="247"/>
      <c r="F50" s="235" t="s">
        <v>25</v>
      </c>
      <c r="G50" s="235"/>
      <c r="H50" s="272">
        <f>'10thMAY'!J50</f>
        <v>0.615</v>
      </c>
      <c r="I50" s="281">
        <v>1.0</v>
      </c>
      <c r="J50" s="282">
        <v>0.626</v>
      </c>
      <c r="K50" s="283"/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1.389</v>
      </c>
      <c r="N50" s="191"/>
      <c r="O50" s="247"/>
    </row>
    <row r="51">
      <c r="A51" s="12" t="s">
        <v>27</v>
      </c>
      <c r="B51" s="12" t="s">
        <v>24</v>
      </c>
      <c r="C51" s="271" t="str">
        <f>'10thMAY'!E51</f>
        <v/>
      </c>
      <c r="D51" s="191"/>
      <c r="E51" s="247"/>
      <c r="F51" s="235" t="s">
        <v>24</v>
      </c>
      <c r="G51" s="235"/>
      <c r="H51" s="272" t="str">
        <f>'10thMAY'!J51</f>
        <v/>
      </c>
      <c r="I51" s="281">
        <v>1.0</v>
      </c>
      <c r="J51" s="284"/>
      <c r="K51" s="283"/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'10thMAY'!E52</f>
        <v/>
      </c>
      <c r="D52" s="191"/>
      <c r="E52" s="280"/>
      <c r="F52" s="235" t="s">
        <v>14</v>
      </c>
      <c r="G52" s="285"/>
      <c r="H52" s="272" t="str">
        <f>'10thMAY'!J52</f>
        <v/>
      </c>
      <c r="I52" s="281">
        <v>1.0</v>
      </c>
      <c r="J52" s="284"/>
      <c r="K52" s="283"/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286" t="s">
        <v>30</v>
      </c>
      <c r="B53" s="12" t="s">
        <v>24</v>
      </c>
      <c r="C53" s="271" t="str">
        <f>'10thMAY'!E53</f>
        <v/>
      </c>
      <c r="D53" s="227">
        <v>1.0</v>
      </c>
      <c r="E53" s="280"/>
      <c r="F53" s="235" t="s">
        <v>35</v>
      </c>
      <c r="G53" s="235"/>
      <c r="H53" s="272">
        <f>'10thMAY'!J53</f>
        <v>0.364</v>
      </c>
      <c r="I53" s="281">
        <v>1.0</v>
      </c>
      <c r="J53" s="282">
        <v>0.662</v>
      </c>
      <c r="K53" s="283"/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0.202</v>
      </c>
      <c r="N53" s="191"/>
      <c r="O53" s="247"/>
    </row>
    <row r="54">
      <c r="A54" s="12" t="s">
        <v>33</v>
      </c>
      <c r="B54" s="12" t="s">
        <v>34</v>
      </c>
      <c r="C54" s="271" t="str">
        <f>'10thMAY'!E54</f>
        <v/>
      </c>
      <c r="D54" s="227">
        <v>2.0</v>
      </c>
      <c r="E54" s="247"/>
      <c r="F54" s="235" t="s">
        <v>35</v>
      </c>
      <c r="G54" s="235"/>
      <c r="H54" s="272" t="str">
        <f>'10thMAY'!J54</f>
        <v/>
      </c>
      <c r="I54" s="281">
        <v>1.0</v>
      </c>
      <c r="J54" s="284"/>
      <c r="K54" s="283"/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0.8</v>
      </c>
      <c r="N54" s="191"/>
      <c r="O54" s="247"/>
    </row>
    <row r="55">
      <c r="A55" s="12" t="s">
        <v>37</v>
      </c>
      <c r="B55" s="12" t="s">
        <v>17</v>
      </c>
      <c r="C55" s="271" t="str">
        <f>'10thMAY'!E55</f>
        <v/>
      </c>
      <c r="D55" s="191"/>
      <c r="E55" s="247"/>
      <c r="F55" s="235" t="s">
        <v>752</v>
      </c>
      <c r="G55" s="235"/>
      <c r="H55" s="272" t="str">
        <f>'10thMAY'!J55</f>
        <v/>
      </c>
      <c r="I55" s="281">
        <v>1.0</v>
      </c>
      <c r="J55" s="284"/>
      <c r="K55" s="283"/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'10thMAY'!E56</f>
        <v/>
      </c>
      <c r="D56" s="227">
        <v>1.0</v>
      </c>
      <c r="E56" s="280">
        <v>1.0</v>
      </c>
      <c r="F56" s="235" t="s">
        <v>17</v>
      </c>
      <c r="G56" s="235"/>
      <c r="H56" s="272">
        <f>'10thMAY'!J56</f>
        <v>73</v>
      </c>
      <c r="I56" s="281">
        <v>1.0</v>
      </c>
      <c r="J56" s="282">
        <v>13.0</v>
      </c>
      <c r="K56" s="283"/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60</v>
      </c>
      <c r="N56" s="191"/>
      <c r="O56" s="247"/>
    </row>
    <row r="57">
      <c r="A57" s="12" t="s">
        <v>42</v>
      </c>
      <c r="B57" s="12" t="s">
        <v>24</v>
      </c>
      <c r="C57" s="271" t="str">
        <f>'10thMAY'!E57</f>
        <v/>
      </c>
      <c r="D57" s="227">
        <v>1.0</v>
      </c>
      <c r="E57" s="280"/>
      <c r="F57" s="235" t="s">
        <v>35</v>
      </c>
      <c r="G57" s="235"/>
      <c r="H57" s="272">
        <f>'10thMAY'!J57</f>
        <v>0.198</v>
      </c>
      <c r="I57" s="281">
        <v>1.0</v>
      </c>
      <c r="J57" s="282">
        <v>0.212</v>
      </c>
      <c r="K57" s="283"/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0.383</v>
      </c>
      <c r="N57" s="191"/>
      <c r="O57" s="247"/>
    </row>
    <row r="58">
      <c r="A58" s="12" t="s">
        <v>44</v>
      </c>
      <c r="B58" s="12" t="s">
        <v>24</v>
      </c>
      <c r="C58" s="271" t="str">
        <f>'10thMAY'!E58</f>
        <v/>
      </c>
      <c r="D58" s="191"/>
      <c r="E58" s="247"/>
      <c r="F58" s="235" t="s">
        <v>25</v>
      </c>
      <c r="G58" s="235"/>
      <c r="H58" s="272">
        <f>'10thMAY'!J58</f>
        <v>0.529</v>
      </c>
      <c r="I58" s="281">
        <v>1.0</v>
      </c>
      <c r="J58" s="282">
        <v>0.472</v>
      </c>
      <c r="K58" s="283"/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0.057</v>
      </c>
      <c r="N58" s="191"/>
      <c r="O58" s="247"/>
    </row>
    <row r="59">
      <c r="A59" s="12" t="s">
        <v>45</v>
      </c>
      <c r="B59" s="12" t="s">
        <v>24</v>
      </c>
      <c r="C59" s="271" t="str">
        <f>'10thMAY'!E59</f>
        <v/>
      </c>
      <c r="D59" s="191"/>
      <c r="E59" s="247"/>
      <c r="F59" s="235" t="s">
        <v>25</v>
      </c>
      <c r="G59" s="235"/>
      <c r="H59" s="272">
        <f>'10thMAY'!J59</f>
        <v>0.888</v>
      </c>
      <c r="I59" s="281">
        <v>1.0</v>
      </c>
      <c r="J59" s="282">
        <v>0.873</v>
      </c>
      <c r="K59" s="283"/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0.015</v>
      </c>
      <c r="N59" s="191"/>
      <c r="O59" s="247"/>
    </row>
    <row r="60">
      <c r="A60" s="17" t="s">
        <v>46</v>
      </c>
      <c r="B60" s="12" t="s">
        <v>47</v>
      </c>
      <c r="C60" s="271" t="str">
        <f>'10thMAY'!E60</f>
        <v/>
      </c>
      <c r="D60" s="191"/>
      <c r="E60" s="247"/>
      <c r="F60" s="235" t="s">
        <v>51</v>
      </c>
      <c r="G60" s="235"/>
      <c r="H60" s="272" t="str">
        <f>'10thMAY'!J60</f>
        <v/>
      </c>
      <c r="I60" s="281">
        <v>1.0</v>
      </c>
      <c r="J60" s="284"/>
      <c r="K60" s="283"/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'10thMAY'!E61</f>
        <v/>
      </c>
      <c r="D61" s="191"/>
      <c r="E61" s="247"/>
      <c r="F61" s="235" t="s">
        <v>51</v>
      </c>
      <c r="G61" s="235"/>
      <c r="H61" s="272" t="str">
        <f>'10thMAY'!J61</f>
        <v/>
      </c>
      <c r="I61" s="281">
        <v>1.0</v>
      </c>
      <c r="J61" s="284"/>
      <c r="K61" s="283"/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'10thMAY'!E62</f>
        <v/>
      </c>
      <c r="D62" s="191"/>
      <c r="E62" s="247"/>
      <c r="F62" s="235" t="s">
        <v>51</v>
      </c>
      <c r="G62" s="235"/>
      <c r="H62" s="272">
        <f>'10thMAY'!J62</f>
        <v>0.425</v>
      </c>
      <c r="I62" s="281">
        <v>1.0</v>
      </c>
      <c r="J62" s="282">
        <v>0.32</v>
      </c>
      <c r="K62" s="283"/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0.105</v>
      </c>
      <c r="N62" s="191"/>
      <c r="O62" s="247"/>
    </row>
    <row r="63">
      <c r="A63" s="12" t="s">
        <v>53</v>
      </c>
      <c r="B63" s="12" t="s">
        <v>35</v>
      </c>
      <c r="C63" s="271" t="str">
        <f>'10thMAY'!E63</f>
        <v/>
      </c>
      <c r="D63" s="191"/>
      <c r="E63" s="247"/>
      <c r="F63" s="235" t="s">
        <v>35</v>
      </c>
      <c r="G63" s="285">
        <v>1.0</v>
      </c>
      <c r="H63" s="272">
        <f>'10thMAY'!J63</f>
        <v>1.583</v>
      </c>
      <c r="I63" s="281">
        <v>1.0</v>
      </c>
      <c r="J63" s="282">
        <v>0.817</v>
      </c>
      <c r="K63" s="283"/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1.766</v>
      </c>
      <c r="N63" s="191"/>
      <c r="O63" s="247"/>
    </row>
    <row r="64">
      <c r="A64" s="11" t="s">
        <v>55</v>
      </c>
      <c r="B64" s="11" t="s">
        <v>56</v>
      </c>
      <c r="C64" s="271" t="str">
        <f>'10thMAY'!E64</f>
        <v/>
      </c>
      <c r="D64" s="227">
        <v>1.0</v>
      </c>
      <c r="E64" s="247"/>
      <c r="F64" s="235" t="s">
        <v>14</v>
      </c>
      <c r="G64" s="235"/>
      <c r="H64" s="272" t="str">
        <f>'10thMAY'!J64</f>
        <v/>
      </c>
      <c r="I64" s="281">
        <v>1.0</v>
      </c>
      <c r="J64" s="282">
        <v>4.783</v>
      </c>
      <c r="K64" s="283"/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0.217</v>
      </c>
      <c r="N64" s="191"/>
      <c r="O64" s="247"/>
    </row>
    <row r="65">
      <c r="A65" s="10" t="s">
        <v>57</v>
      </c>
      <c r="B65" s="11"/>
      <c r="C65" s="271" t="str">
        <f>'10thMAY'!E65</f>
        <v/>
      </c>
      <c r="D65" s="191"/>
      <c r="E65" s="247"/>
      <c r="F65" s="235"/>
      <c r="G65" s="235"/>
      <c r="H65" s="272" t="str">
        <f>'10thMAY'!J65</f>
        <v/>
      </c>
      <c r="I65" s="281">
        <v>1.0</v>
      </c>
      <c r="J65" s="284"/>
      <c r="K65" s="283"/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'10thMAY'!E66</f>
        <v>2</v>
      </c>
      <c r="D66" s="227">
        <v>6.0</v>
      </c>
      <c r="E66" s="280">
        <v>2.0</v>
      </c>
      <c r="F66" s="235" t="s">
        <v>35</v>
      </c>
      <c r="G66" s="235"/>
      <c r="H66" s="272">
        <f>'10thMAY'!J66</f>
        <v>0.925</v>
      </c>
      <c r="I66" s="281">
        <v>1.0</v>
      </c>
      <c r="J66" s="282">
        <v>0.416</v>
      </c>
      <c r="K66" s="283"/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12.509</v>
      </c>
      <c r="N66" s="191"/>
      <c r="O66" s="247"/>
    </row>
    <row r="67">
      <c r="A67" s="12" t="s">
        <v>61</v>
      </c>
      <c r="B67" s="12" t="s">
        <v>59</v>
      </c>
      <c r="C67" s="271" t="str">
        <f>'10thMAY'!E67</f>
        <v/>
      </c>
      <c r="D67" s="191"/>
      <c r="E67" s="247"/>
      <c r="F67" s="235" t="s">
        <v>35</v>
      </c>
      <c r="G67" s="235"/>
      <c r="H67" s="272">
        <f>'10thMAY'!J67</f>
        <v>0.236</v>
      </c>
      <c r="I67" s="281">
        <v>1.0</v>
      </c>
      <c r="J67" s="282">
        <v>0.21</v>
      </c>
      <c r="K67" s="283"/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0.026</v>
      </c>
      <c r="N67" s="191"/>
      <c r="O67" s="247"/>
    </row>
    <row r="68">
      <c r="A68" s="12" t="s">
        <v>62</v>
      </c>
      <c r="B68" s="12" t="s">
        <v>35</v>
      </c>
      <c r="C68" s="271" t="str">
        <f>'10thMAY'!E68</f>
        <v/>
      </c>
      <c r="D68" s="227">
        <v>15.0</v>
      </c>
      <c r="E68" s="280"/>
      <c r="F68" s="235" t="s">
        <v>35</v>
      </c>
      <c r="G68" s="235"/>
      <c r="H68" s="272">
        <f>'10thMAY'!J68</f>
        <v>4</v>
      </c>
      <c r="I68" s="281">
        <v>1.0</v>
      </c>
      <c r="J68" s="282">
        <v>5.0</v>
      </c>
      <c r="K68" s="283"/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14</v>
      </c>
      <c r="N68" s="191"/>
      <c r="O68" s="247"/>
    </row>
    <row r="69">
      <c r="A69" s="12" t="s">
        <v>64</v>
      </c>
      <c r="B69" s="12" t="s">
        <v>59</v>
      </c>
      <c r="C69" s="271" t="str">
        <f>'10thMAY'!E69</f>
        <v/>
      </c>
      <c r="D69" s="227">
        <v>3.0</v>
      </c>
      <c r="E69" s="247"/>
      <c r="F69" s="235" t="s">
        <v>35</v>
      </c>
      <c r="G69" s="235"/>
      <c r="H69" s="272">
        <f>'10thMAY'!J69</f>
        <v>0.03</v>
      </c>
      <c r="I69" s="281">
        <v>1.0</v>
      </c>
      <c r="J69" s="282"/>
      <c r="K69" s="283"/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1.18</v>
      </c>
      <c r="N69" s="191"/>
      <c r="O69" s="247"/>
    </row>
    <row r="70">
      <c r="A70" s="10" t="s">
        <v>65</v>
      </c>
      <c r="B70" s="11"/>
      <c r="C70" s="271" t="str">
        <f>'10thMAY'!E70</f>
        <v/>
      </c>
      <c r="D70" s="191"/>
      <c r="E70" s="247"/>
      <c r="F70" s="235"/>
      <c r="G70" s="235"/>
      <c r="H70" s="272" t="str">
        <f>'10thMAY'!J70</f>
        <v/>
      </c>
      <c r="I70" s="281">
        <v>1.0</v>
      </c>
      <c r="J70" s="284"/>
      <c r="K70" s="283"/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'10thMAY'!E71</f>
        <v/>
      </c>
      <c r="D71" s="227">
        <v>1.0</v>
      </c>
      <c r="E71" s="247"/>
      <c r="F71" s="235" t="s">
        <v>25</v>
      </c>
      <c r="G71" s="285">
        <v>15.5</v>
      </c>
      <c r="H71" s="272" t="str">
        <f>'10thMAY'!J71</f>
        <v/>
      </c>
      <c r="I71" s="281">
        <v>1.0</v>
      </c>
      <c r="J71" s="282">
        <v>1.0</v>
      </c>
      <c r="K71" s="283"/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32.9</v>
      </c>
      <c r="N71" s="191"/>
      <c r="O71" s="247"/>
    </row>
    <row r="72">
      <c r="A72" s="12" t="s">
        <v>68</v>
      </c>
      <c r="B72" s="12" t="s">
        <v>35</v>
      </c>
      <c r="C72" s="271" t="str">
        <f>'10thMAY'!E72</f>
        <v/>
      </c>
      <c r="D72" s="227">
        <v>2.4</v>
      </c>
      <c r="E72" s="247"/>
      <c r="F72" s="235" t="s">
        <v>35</v>
      </c>
      <c r="G72" s="235"/>
      <c r="H72" s="272">
        <f>'10thMAY'!J72</f>
        <v>0.095</v>
      </c>
      <c r="I72" s="281">
        <v>1.0</v>
      </c>
      <c r="J72" s="282">
        <v>0.192</v>
      </c>
      <c r="K72" s="283"/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2.303</v>
      </c>
      <c r="N72" s="191"/>
      <c r="O72" s="247"/>
    </row>
    <row r="73">
      <c r="A73" s="12" t="s">
        <v>70</v>
      </c>
      <c r="B73" s="12" t="s">
        <v>35</v>
      </c>
      <c r="C73" s="271" t="str">
        <f>'10thMAY'!E73</f>
        <v/>
      </c>
      <c r="D73" s="191"/>
      <c r="E73" s="247"/>
      <c r="F73" s="235" t="s">
        <v>35</v>
      </c>
      <c r="G73" s="235"/>
      <c r="H73" s="272" t="str">
        <f>'10thMAY'!J73</f>
        <v/>
      </c>
      <c r="I73" s="281">
        <v>1.0</v>
      </c>
      <c r="J73" s="284"/>
      <c r="K73" s="283"/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'10thMAY'!E74</f>
        <v/>
      </c>
      <c r="D74" s="227">
        <v>3.0</v>
      </c>
      <c r="E74" s="247"/>
      <c r="F74" s="235" t="s">
        <v>25</v>
      </c>
      <c r="G74" s="235"/>
      <c r="H74" s="272">
        <f>'10thMAY'!J74</f>
        <v>0.589</v>
      </c>
      <c r="I74" s="281">
        <v>1.0</v>
      </c>
      <c r="J74" s="282"/>
      <c r="K74" s="283"/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3.527</v>
      </c>
      <c r="N74" s="191"/>
      <c r="O74" s="247"/>
    </row>
    <row r="75">
      <c r="A75" s="12" t="s">
        <v>74</v>
      </c>
      <c r="B75" s="12" t="s">
        <v>17</v>
      </c>
      <c r="C75" s="271" t="str">
        <f>'10thMAY'!E75</f>
        <v/>
      </c>
      <c r="D75" s="227">
        <v>1.0</v>
      </c>
      <c r="E75" s="247"/>
      <c r="F75" s="235" t="s">
        <v>25</v>
      </c>
      <c r="G75" s="235"/>
      <c r="H75" s="272" t="str">
        <f>'10thMAY'!J75</f>
        <v/>
      </c>
      <c r="I75" s="281">
        <v>1.0</v>
      </c>
      <c r="J75" s="282">
        <v>1.57</v>
      </c>
      <c r="K75" s="283"/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3.43</v>
      </c>
      <c r="N75" s="191"/>
      <c r="O75" s="247"/>
    </row>
    <row r="76">
      <c r="A76" s="12" t="s">
        <v>76</v>
      </c>
      <c r="B76" s="12" t="s">
        <v>72</v>
      </c>
      <c r="C76" s="271" t="str">
        <f>'10thMAY'!E76</f>
        <v/>
      </c>
      <c r="D76" s="271"/>
      <c r="E76" s="247"/>
      <c r="F76" s="235" t="s">
        <v>35</v>
      </c>
      <c r="G76" s="235"/>
      <c r="H76" s="272">
        <f>'10thMAY'!J76</f>
        <v>1</v>
      </c>
      <c r="I76" s="281">
        <v>1.0</v>
      </c>
      <c r="J76" s="282">
        <v>1.0</v>
      </c>
      <c r="K76" s="283"/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'10thMAY'!E77</f>
        <v/>
      </c>
      <c r="D77" s="191"/>
      <c r="E77" s="247"/>
      <c r="F77" s="235" t="s">
        <v>25</v>
      </c>
      <c r="G77" s="285">
        <v>1.8</v>
      </c>
      <c r="H77" s="272" t="str">
        <f>'10thMAY'!J77</f>
        <v/>
      </c>
      <c r="I77" s="281">
        <v>1.0</v>
      </c>
      <c r="J77" s="282">
        <v>1.8</v>
      </c>
      <c r="K77" s="283"/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</v>
      </c>
      <c r="N77" s="191"/>
      <c r="O77" s="247"/>
    </row>
    <row r="78">
      <c r="A78" s="12" t="s">
        <v>80</v>
      </c>
      <c r="B78" s="12" t="s">
        <v>56</v>
      </c>
      <c r="C78" s="271" t="str">
        <f>'10thMAY'!E78</f>
        <v/>
      </c>
      <c r="D78" s="191"/>
      <c r="E78" s="247"/>
      <c r="F78" s="235" t="s">
        <v>35</v>
      </c>
      <c r="G78" s="235"/>
      <c r="H78" s="272" t="str">
        <f>'10thMAY'!J78</f>
        <v/>
      </c>
      <c r="I78" s="281">
        <v>1.0</v>
      </c>
      <c r="J78" s="284"/>
      <c r="K78" s="283"/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'10thMAY'!E79</f>
        <v/>
      </c>
      <c r="D79" s="191"/>
      <c r="E79" s="247"/>
      <c r="F79" s="235" t="s">
        <v>35</v>
      </c>
      <c r="G79" s="235"/>
      <c r="H79" s="272">
        <f>'10thMAY'!J79</f>
        <v>0.45</v>
      </c>
      <c r="I79" s="281">
        <v>1.0</v>
      </c>
      <c r="J79" s="282">
        <v>0.304</v>
      </c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0.146</v>
      </c>
      <c r="N79" s="191"/>
      <c r="O79" s="247"/>
    </row>
    <row r="80">
      <c r="A80" s="10" t="s">
        <v>85</v>
      </c>
      <c r="B80" s="11"/>
      <c r="C80" s="271" t="str">
        <f>'10thMAY'!E80</f>
        <v/>
      </c>
      <c r="D80" s="191"/>
      <c r="E80" s="247"/>
      <c r="F80" s="235"/>
      <c r="G80" s="235"/>
      <c r="H80" s="272" t="str">
        <f>'10thMAY'!J80</f>
        <v/>
      </c>
      <c r="I80" s="281">
        <v>1.0</v>
      </c>
      <c r="J80" s="284"/>
      <c r="K80" s="283"/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'10thMAY'!E81</f>
        <v/>
      </c>
      <c r="D81" s="227">
        <v>2.0</v>
      </c>
      <c r="E81" s="247"/>
      <c r="F81" s="235" t="s">
        <v>25</v>
      </c>
      <c r="G81" s="235"/>
      <c r="H81" s="272">
        <f>'10thMAY'!J81</f>
        <v>0.495</v>
      </c>
      <c r="I81" s="281">
        <v>1.0</v>
      </c>
      <c r="J81" s="282"/>
      <c r="K81" s="283"/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1.083</v>
      </c>
      <c r="N81" s="191"/>
      <c r="O81" s="247"/>
    </row>
    <row r="82">
      <c r="A82" s="12" t="s">
        <v>87</v>
      </c>
      <c r="B82" s="12" t="s">
        <v>83</v>
      </c>
      <c r="C82" s="271" t="str">
        <f>'10thMAY'!E82</f>
        <v/>
      </c>
      <c r="D82" s="227">
        <v>2.0</v>
      </c>
      <c r="E82" s="280">
        <v>1.0</v>
      </c>
      <c r="F82" s="235" t="s">
        <v>25</v>
      </c>
      <c r="G82" s="235"/>
      <c r="H82" s="272">
        <f>'10thMAY'!J82</f>
        <v>0.508</v>
      </c>
      <c r="I82" s="281">
        <v>1.0</v>
      </c>
      <c r="J82" s="282">
        <v>0.395</v>
      </c>
      <c r="K82" s="283"/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0.613</v>
      </c>
      <c r="N82" s="191"/>
      <c r="O82" s="247"/>
    </row>
    <row r="83">
      <c r="A83" s="12" t="s">
        <v>88</v>
      </c>
      <c r="B83" s="12" t="s">
        <v>83</v>
      </c>
      <c r="C83" s="271" t="str">
        <f>'10thMAY'!E83</f>
        <v/>
      </c>
      <c r="D83" s="227">
        <v>2.0</v>
      </c>
      <c r="E83" s="247"/>
      <c r="F83" s="235" t="s">
        <v>25</v>
      </c>
      <c r="G83" s="235"/>
      <c r="H83" s="272" t="str">
        <f>'10thMAY'!J83</f>
        <v/>
      </c>
      <c r="I83" s="281">
        <v>1.0</v>
      </c>
      <c r="J83" s="282">
        <v>1.032</v>
      </c>
      <c r="K83" s="283"/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0.588</v>
      </c>
      <c r="N83" s="191"/>
      <c r="O83" s="247"/>
    </row>
    <row r="84">
      <c r="A84" s="12" t="s">
        <v>89</v>
      </c>
      <c r="B84" s="12" t="s">
        <v>83</v>
      </c>
      <c r="C84" s="271" t="str">
        <f>'10thMAY'!E84</f>
        <v/>
      </c>
      <c r="D84" s="227">
        <v>2.0</v>
      </c>
      <c r="E84" s="280"/>
      <c r="F84" s="235" t="s">
        <v>25</v>
      </c>
      <c r="G84" s="235"/>
      <c r="H84" s="272">
        <f>'10thMAY'!J84</f>
        <v>0.128</v>
      </c>
      <c r="I84" s="281">
        <v>1.0</v>
      </c>
      <c r="J84" s="282">
        <v>0.565</v>
      </c>
      <c r="K84" s="283"/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0.583</v>
      </c>
      <c r="N84" s="191"/>
      <c r="O84" s="247"/>
    </row>
    <row r="85">
      <c r="A85" s="12" t="s">
        <v>90</v>
      </c>
      <c r="B85" s="12" t="s">
        <v>24</v>
      </c>
      <c r="C85" s="271" t="str">
        <f>'10thMAY'!E85</f>
        <v/>
      </c>
      <c r="D85" s="191"/>
      <c r="E85" s="280"/>
      <c r="F85" s="235" t="s">
        <v>25</v>
      </c>
      <c r="G85" s="235"/>
      <c r="H85" s="272">
        <f>'10thMAY'!J85</f>
        <v>0.329</v>
      </c>
      <c r="I85" s="281">
        <v>1.0</v>
      </c>
      <c r="J85" s="282">
        <v>0.143</v>
      </c>
      <c r="K85" s="283"/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0.186</v>
      </c>
      <c r="N85" s="191"/>
      <c r="O85" s="247"/>
    </row>
    <row r="86">
      <c r="A86" s="12" t="s">
        <v>91</v>
      </c>
      <c r="B86" s="12" t="s">
        <v>56</v>
      </c>
      <c r="C86" s="271" t="str">
        <f>'10thMAY'!E86</f>
        <v/>
      </c>
      <c r="D86" s="227">
        <v>1.0</v>
      </c>
      <c r="E86" s="280"/>
      <c r="F86" s="235" t="s">
        <v>25</v>
      </c>
      <c r="G86" s="235"/>
      <c r="H86" s="272">
        <f>'10thMAY'!J86</f>
        <v>0.5</v>
      </c>
      <c r="I86" s="281">
        <v>1.0</v>
      </c>
      <c r="J86" s="284"/>
      <c r="K86" s="283"/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5.38</v>
      </c>
      <c r="N86" s="191"/>
      <c r="O86" s="247"/>
    </row>
    <row r="87">
      <c r="A87" s="12" t="s">
        <v>92</v>
      </c>
      <c r="B87" s="12" t="s">
        <v>83</v>
      </c>
      <c r="C87" s="271" t="str">
        <f>'10thMAY'!E87</f>
        <v/>
      </c>
      <c r="D87" s="227"/>
      <c r="E87" s="247"/>
      <c r="F87" s="235" t="s">
        <v>25</v>
      </c>
      <c r="G87" s="285">
        <v>1.0</v>
      </c>
      <c r="H87" s="272">
        <f>'10thMAY'!J87</f>
        <v>0.168</v>
      </c>
      <c r="I87" s="281">
        <v>1.0</v>
      </c>
      <c r="J87" s="282">
        <v>0.314</v>
      </c>
      <c r="K87" s="283"/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0.854</v>
      </c>
      <c r="N87" s="191"/>
      <c r="O87" s="247"/>
    </row>
    <row r="88">
      <c r="A88" s="12" t="s">
        <v>93</v>
      </c>
      <c r="B88" s="12" t="s">
        <v>83</v>
      </c>
      <c r="C88" s="271" t="str">
        <f>'10thMAY'!E88</f>
        <v/>
      </c>
      <c r="D88" s="191"/>
      <c r="E88" s="247"/>
      <c r="F88" s="235" t="s">
        <v>25</v>
      </c>
      <c r="G88" s="235"/>
      <c r="H88" s="272">
        <f>'10thMAY'!J88</f>
        <v>0.767</v>
      </c>
      <c r="I88" s="281">
        <v>1.0</v>
      </c>
      <c r="J88" s="282">
        <v>0.74</v>
      </c>
      <c r="K88" s="283"/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0.027</v>
      </c>
      <c r="N88" s="191"/>
      <c r="O88" s="247"/>
    </row>
    <row r="89">
      <c r="A89" s="12" t="s">
        <v>95</v>
      </c>
      <c r="B89" s="12" t="s">
        <v>83</v>
      </c>
      <c r="C89" s="271" t="str">
        <f>'10thMAY'!E89</f>
        <v/>
      </c>
      <c r="D89" s="191"/>
      <c r="E89" s="247"/>
      <c r="F89" s="235" t="s">
        <v>25</v>
      </c>
      <c r="G89" s="235"/>
      <c r="H89" s="272">
        <f>'10thMAY'!J89</f>
        <v>0.726</v>
      </c>
      <c r="I89" s="281">
        <v>1.0</v>
      </c>
      <c r="J89" s="282">
        <v>0.591</v>
      </c>
      <c r="K89" s="283"/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0.135</v>
      </c>
      <c r="N89" s="191"/>
      <c r="O89" s="247"/>
    </row>
    <row r="90">
      <c r="A90" s="10" t="s">
        <v>96</v>
      </c>
      <c r="B90" s="11"/>
      <c r="C90" s="271" t="str">
        <f>'10thMAY'!E90</f>
        <v/>
      </c>
      <c r="D90" s="191"/>
      <c r="E90" s="247"/>
      <c r="F90" s="235"/>
      <c r="G90" s="235"/>
      <c r="H90" s="272" t="str">
        <f>'10thMAY'!J90</f>
        <v/>
      </c>
      <c r="I90" s="281">
        <v>1.0</v>
      </c>
      <c r="J90" s="284"/>
      <c r="K90" s="283"/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'10thMAY'!E91</f>
        <v/>
      </c>
      <c r="D91" s="191"/>
      <c r="E91" s="247"/>
      <c r="F91" s="235" t="s">
        <v>35</v>
      </c>
      <c r="G91" s="235"/>
      <c r="H91" s="272" t="str">
        <f>'10thMAY'!J91</f>
        <v/>
      </c>
      <c r="I91" s="281">
        <v>1.0</v>
      </c>
      <c r="J91" s="284"/>
      <c r="K91" s="283"/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'10thMAY'!E92</f>
        <v/>
      </c>
      <c r="D92" s="191"/>
      <c r="E92" s="247"/>
      <c r="F92" s="235" t="s">
        <v>35</v>
      </c>
      <c r="G92" s="235"/>
      <c r="H92" s="272">
        <f>'10thMAY'!J92</f>
        <v>1</v>
      </c>
      <c r="I92" s="281">
        <v>1.0</v>
      </c>
      <c r="J92" s="282">
        <v>0.517</v>
      </c>
      <c r="K92" s="283"/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0.483</v>
      </c>
      <c r="N92" s="191"/>
      <c r="O92" s="247"/>
    </row>
    <row r="93">
      <c r="A93" s="12" t="s">
        <v>100</v>
      </c>
      <c r="B93" s="12" t="s">
        <v>40</v>
      </c>
      <c r="C93" s="271" t="str">
        <f>'10thMAY'!E93</f>
        <v/>
      </c>
      <c r="D93" s="227">
        <v>1.0</v>
      </c>
      <c r="E93" s="280">
        <v>1.0</v>
      </c>
      <c r="F93" s="235" t="s">
        <v>35</v>
      </c>
      <c r="G93" s="235"/>
      <c r="H93" s="272">
        <f>'10thMAY'!J93</f>
        <v>0.105</v>
      </c>
      <c r="I93" s="281">
        <v>1.0</v>
      </c>
      <c r="J93" s="282"/>
      <c r="K93" s="283"/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0.088</v>
      </c>
      <c r="N93" s="191"/>
      <c r="O93" s="247"/>
    </row>
    <row r="94">
      <c r="A94" s="12" t="s">
        <v>101</v>
      </c>
      <c r="B94" s="12" t="s">
        <v>40</v>
      </c>
      <c r="C94" s="271" t="str">
        <f>'10thMAY'!E94</f>
        <v/>
      </c>
      <c r="D94" s="191"/>
      <c r="E94" s="247"/>
      <c r="F94" s="235" t="s">
        <v>35</v>
      </c>
      <c r="G94" s="235"/>
      <c r="H94" s="272" t="str">
        <f>'10thMAY'!J94</f>
        <v/>
      </c>
      <c r="I94" s="281">
        <v>1.0</v>
      </c>
      <c r="J94" s="284"/>
      <c r="K94" s="283"/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'10thMAY'!E95</f>
        <v/>
      </c>
      <c r="D95" s="191"/>
      <c r="E95" s="247"/>
      <c r="F95" s="235" t="s">
        <v>35</v>
      </c>
      <c r="G95" s="285"/>
      <c r="H95" s="272">
        <f>'10thMAY'!J95</f>
        <v>0.05</v>
      </c>
      <c r="I95" s="281">
        <v>1.0</v>
      </c>
      <c r="J95" s="282"/>
      <c r="K95" s="283"/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0.046</v>
      </c>
      <c r="N95" s="191"/>
      <c r="O95" s="247"/>
    </row>
    <row r="96">
      <c r="A96" s="12" t="s">
        <v>103</v>
      </c>
      <c r="B96" s="12" t="s">
        <v>40</v>
      </c>
      <c r="C96" s="271" t="str">
        <f>'10thMAY'!E96</f>
        <v/>
      </c>
      <c r="D96" s="191"/>
      <c r="E96" s="247"/>
      <c r="F96" s="235" t="s">
        <v>35</v>
      </c>
      <c r="G96" s="235"/>
      <c r="H96" s="272">
        <f>'10thMAY'!J96</f>
        <v>1</v>
      </c>
      <c r="I96" s="281">
        <v>1.0</v>
      </c>
      <c r="J96" s="282">
        <v>0.846</v>
      </c>
      <c r="K96" s="283"/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0.154</v>
      </c>
      <c r="N96" s="191"/>
      <c r="O96" s="247"/>
    </row>
    <row r="97">
      <c r="A97" s="12" t="s">
        <v>104</v>
      </c>
      <c r="B97" s="12" t="s">
        <v>40</v>
      </c>
      <c r="C97" s="271" t="str">
        <f>'10thMAY'!E97</f>
        <v/>
      </c>
      <c r="D97" s="191"/>
      <c r="E97" s="247"/>
      <c r="F97" s="235" t="s">
        <v>35</v>
      </c>
      <c r="G97" s="235"/>
      <c r="H97" s="272" t="str">
        <f>'10thMAY'!J97</f>
        <v/>
      </c>
      <c r="I97" s="281">
        <v>1.0</v>
      </c>
      <c r="J97" s="284"/>
      <c r="K97" s="283"/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'10thMAY'!E98</f>
        <v/>
      </c>
      <c r="D98" s="191"/>
      <c r="E98" s="247"/>
      <c r="F98" s="235" t="s">
        <v>35</v>
      </c>
      <c r="G98" s="235"/>
      <c r="H98" s="272">
        <f>'10thMAY'!J98</f>
        <v>0.239</v>
      </c>
      <c r="I98" s="281">
        <v>1.0</v>
      </c>
      <c r="J98" s="282"/>
      <c r="K98" s="283"/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0.132</v>
      </c>
      <c r="N98" s="191"/>
      <c r="O98" s="247"/>
    </row>
    <row r="99">
      <c r="A99" s="12" t="s">
        <v>108</v>
      </c>
      <c r="B99" s="12" t="s">
        <v>40</v>
      </c>
      <c r="C99" s="271" t="str">
        <f>'10thMAY'!E99</f>
        <v/>
      </c>
      <c r="D99" s="191"/>
      <c r="E99" s="247"/>
      <c r="F99" s="235" t="s">
        <v>35</v>
      </c>
      <c r="G99" s="235"/>
      <c r="H99" s="272">
        <f>'10thMAY'!J99</f>
        <v>0.439</v>
      </c>
      <c r="I99" s="281">
        <v>1.0</v>
      </c>
      <c r="J99" s="282">
        <v>0.349</v>
      </c>
      <c r="K99" s="283"/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0.09</v>
      </c>
      <c r="N99" s="191"/>
      <c r="O99" s="247"/>
    </row>
    <row r="100">
      <c r="A100" s="12" t="s">
        <v>109</v>
      </c>
      <c r="B100" s="12" t="s">
        <v>40</v>
      </c>
      <c r="C100" s="271" t="str">
        <f>'10thMAY'!E100</f>
        <v/>
      </c>
      <c r="D100" s="191"/>
      <c r="E100" s="247"/>
      <c r="F100" s="235" t="s">
        <v>35</v>
      </c>
      <c r="G100" s="235"/>
      <c r="H100" s="272">
        <f>'10thMAY'!J100</f>
        <v>0.371</v>
      </c>
      <c r="I100" s="281">
        <v>1.0</v>
      </c>
      <c r="J100" s="282">
        <v>0.303</v>
      </c>
      <c r="K100" s="283"/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0.068</v>
      </c>
      <c r="N100" s="191"/>
      <c r="O100" s="247"/>
    </row>
    <row r="101">
      <c r="A101" s="12" t="s">
        <v>110</v>
      </c>
      <c r="B101" s="12" t="s">
        <v>40</v>
      </c>
      <c r="C101" s="271" t="str">
        <f>'10thMAY'!E101</f>
        <v/>
      </c>
      <c r="D101" s="227">
        <v>1.0</v>
      </c>
      <c r="E101" s="247"/>
      <c r="F101" s="235" t="s">
        <v>35</v>
      </c>
      <c r="G101" s="235"/>
      <c r="H101" s="272">
        <f>'10thMAY'!J101</f>
        <v>0.116</v>
      </c>
      <c r="I101" s="281">
        <v>1.0</v>
      </c>
      <c r="J101" s="282">
        <v>0.493</v>
      </c>
      <c r="K101" s="283"/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0.623</v>
      </c>
      <c r="N101" s="191"/>
      <c r="O101" s="247"/>
    </row>
    <row r="102">
      <c r="A102" s="12" t="s">
        <v>111</v>
      </c>
      <c r="B102" s="12" t="s">
        <v>40</v>
      </c>
      <c r="C102" s="271" t="str">
        <f>'10thMAY'!E102</f>
        <v/>
      </c>
      <c r="D102" s="191"/>
      <c r="E102" s="247"/>
      <c r="F102" s="235" t="s">
        <v>35</v>
      </c>
      <c r="G102" s="235"/>
      <c r="H102" s="272" t="str">
        <f>'10thMAY'!J102</f>
        <v/>
      </c>
      <c r="I102" s="281">
        <v>1.0</v>
      </c>
      <c r="J102" s="284"/>
      <c r="K102" s="283"/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>
        <f>'10thMAY'!E103</f>
        <v>1</v>
      </c>
      <c r="D103" s="191"/>
      <c r="E103" s="247"/>
      <c r="F103" s="235" t="s">
        <v>35</v>
      </c>
      <c r="G103" s="235"/>
      <c r="H103" s="272">
        <f>'10thMAY'!J103</f>
        <v>0.152</v>
      </c>
      <c r="I103" s="281">
        <v>1.0</v>
      </c>
      <c r="J103" s="282">
        <v>0.393</v>
      </c>
      <c r="K103" s="283"/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0.259</v>
      </c>
      <c r="N103" s="191"/>
      <c r="O103" s="247"/>
    </row>
    <row r="104">
      <c r="A104" s="12" t="s">
        <v>114</v>
      </c>
      <c r="B104" s="12" t="s">
        <v>40</v>
      </c>
      <c r="C104" s="271" t="str">
        <f>'10thMAY'!E104</f>
        <v/>
      </c>
      <c r="D104" s="191"/>
      <c r="E104" s="247"/>
      <c r="F104" s="235" t="s">
        <v>35</v>
      </c>
      <c r="G104" s="285"/>
      <c r="H104" s="272">
        <f>'10thMAY'!J104</f>
        <v>0.39</v>
      </c>
      <c r="I104" s="281">
        <v>1.0</v>
      </c>
      <c r="J104" s="282">
        <v>0.39</v>
      </c>
      <c r="K104" s="283"/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</v>
      </c>
      <c r="N104" s="191"/>
      <c r="O104" s="247"/>
    </row>
    <row r="105">
      <c r="A105" s="12" t="s">
        <v>116</v>
      </c>
      <c r="B105" s="12" t="s">
        <v>40</v>
      </c>
      <c r="C105" s="271" t="str">
        <f>'10thMAY'!E105</f>
        <v/>
      </c>
      <c r="D105" s="191"/>
      <c r="E105" s="247"/>
      <c r="F105" s="235" t="s">
        <v>35</v>
      </c>
      <c r="G105" s="235"/>
      <c r="H105" s="272" t="str">
        <f>'10thMAY'!J105</f>
        <v/>
      </c>
      <c r="I105" s="281">
        <v>1.0</v>
      </c>
      <c r="J105" s="284"/>
      <c r="K105" s="283"/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'10thMAY'!E106</f>
        <v/>
      </c>
      <c r="D106" s="191"/>
      <c r="E106" s="247"/>
      <c r="F106" s="235" t="s">
        <v>35</v>
      </c>
      <c r="G106" s="285"/>
      <c r="H106" s="272">
        <f>'10thMAY'!J106</f>
        <v>0.116</v>
      </c>
      <c r="I106" s="281">
        <v>1.0</v>
      </c>
      <c r="J106" s="282">
        <v>0.056</v>
      </c>
      <c r="K106" s="283"/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0.06</v>
      </c>
      <c r="N106" s="191"/>
      <c r="O106" s="247"/>
    </row>
    <row r="107">
      <c r="A107" s="12" t="s">
        <v>118</v>
      </c>
      <c r="B107" s="12" t="s">
        <v>40</v>
      </c>
      <c r="C107" s="271" t="str">
        <f>'10thMAY'!E107</f>
        <v/>
      </c>
      <c r="D107" s="191"/>
      <c r="E107" s="247"/>
      <c r="F107" s="235" t="s">
        <v>35</v>
      </c>
      <c r="G107" s="235"/>
      <c r="H107" s="272">
        <f>'10thMAY'!J107</f>
        <v>1</v>
      </c>
      <c r="I107" s="281">
        <v>1.0</v>
      </c>
      <c r="J107" s="282">
        <v>0.992</v>
      </c>
      <c r="K107" s="283"/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0.008</v>
      </c>
      <c r="N107" s="191"/>
      <c r="O107" s="247"/>
    </row>
    <row r="108">
      <c r="A108" s="12" t="s">
        <v>119</v>
      </c>
      <c r="B108" s="12" t="s">
        <v>40</v>
      </c>
      <c r="C108" s="271" t="str">
        <f>'10thMAY'!E108</f>
        <v/>
      </c>
      <c r="D108" s="191"/>
      <c r="E108" s="247"/>
      <c r="F108" s="235" t="s">
        <v>35</v>
      </c>
      <c r="G108" s="235"/>
      <c r="H108" s="272">
        <f>'10thMAY'!J108</f>
        <v>0.727</v>
      </c>
      <c r="I108" s="281">
        <v>1.0</v>
      </c>
      <c r="J108" s="282">
        <v>0.658</v>
      </c>
      <c r="K108" s="283"/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0.069</v>
      </c>
      <c r="N108" s="191"/>
      <c r="O108" s="247"/>
    </row>
    <row r="109">
      <c r="A109" s="12" t="s">
        <v>120</v>
      </c>
      <c r="B109" s="12" t="s">
        <v>40</v>
      </c>
      <c r="C109" s="271" t="str">
        <f>'10thMAY'!E109</f>
        <v/>
      </c>
      <c r="D109" s="191"/>
      <c r="E109" s="247"/>
      <c r="F109" s="235" t="s">
        <v>35</v>
      </c>
      <c r="G109" s="235"/>
      <c r="H109" s="272" t="str">
        <f>'10thMAY'!J109</f>
        <v/>
      </c>
      <c r="I109" s="281">
        <v>1.0</v>
      </c>
      <c r="J109" s="282"/>
      <c r="K109" s="283"/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</v>
      </c>
      <c r="N109" s="191"/>
      <c r="O109" s="247"/>
    </row>
    <row r="110">
      <c r="A110" s="12" t="s">
        <v>121</v>
      </c>
      <c r="B110" s="12" t="s">
        <v>40</v>
      </c>
      <c r="C110" s="271" t="str">
        <f>'10thMAY'!E110</f>
        <v/>
      </c>
      <c r="D110" s="191"/>
      <c r="E110" s="247"/>
      <c r="F110" s="235" t="s">
        <v>35</v>
      </c>
      <c r="G110" s="235"/>
      <c r="H110" s="272">
        <f>'10thMAY'!J110</f>
        <v>0.696</v>
      </c>
      <c r="I110" s="281">
        <v>1.0</v>
      </c>
      <c r="J110" s="282">
        <v>0.315</v>
      </c>
      <c r="K110" s="283"/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0.381</v>
      </c>
      <c r="N110" s="191"/>
      <c r="O110" s="247"/>
    </row>
    <row r="111">
      <c r="A111" s="12" t="s">
        <v>122</v>
      </c>
      <c r="B111" s="12" t="s">
        <v>40</v>
      </c>
      <c r="C111" s="271" t="str">
        <f>'10thMAY'!E111</f>
        <v/>
      </c>
      <c r="D111" s="191"/>
      <c r="E111" s="247"/>
      <c r="F111" s="235" t="s">
        <v>35</v>
      </c>
      <c r="G111" s="235"/>
      <c r="H111" s="272" t="str">
        <f>'10thMAY'!J111</f>
        <v/>
      </c>
      <c r="I111" s="281">
        <v>1.0</v>
      </c>
      <c r="J111" s="284"/>
      <c r="K111" s="283"/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'10thMAY'!E112</f>
        <v/>
      </c>
      <c r="D112" s="191"/>
      <c r="E112" s="247"/>
      <c r="F112" s="235" t="s">
        <v>35</v>
      </c>
      <c r="G112" s="235"/>
      <c r="H112" s="272">
        <f>'10thMAY'!J112</f>
        <v>0.778</v>
      </c>
      <c r="I112" s="281">
        <v>1.0</v>
      </c>
      <c r="J112" s="282">
        <v>0.614</v>
      </c>
      <c r="K112" s="283"/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0.164</v>
      </c>
      <c r="N112" s="191"/>
      <c r="O112" s="247"/>
    </row>
    <row r="113">
      <c r="A113" s="12" t="s">
        <v>124</v>
      </c>
      <c r="B113" s="12" t="s">
        <v>40</v>
      </c>
      <c r="C113" s="271" t="str">
        <f>'10thMAY'!E113</f>
        <v/>
      </c>
      <c r="D113" s="191"/>
      <c r="E113" s="247"/>
      <c r="F113" s="235" t="s">
        <v>35</v>
      </c>
      <c r="G113" s="235"/>
      <c r="H113" s="272">
        <f>'10thMAY'!J113</f>
        <v>0.107</v>
      </c>
      <c r="I113" s="281">
        <v>1.0</v>
      </c>
      <c r="J113" s="282">
        <v>0.04</v>
      </c>
      <c r="K113" s="283"/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0.067</v>
      </c>
      <c r="N113" s="191"/>
      <c r="O113" s="247"/>
    </row>
    <row r="114">
      <c r="A114" s="12" t="s">
        <v>125</v>
      </c>
      <c r="B114" s="12" t="s">
        <v>40</v>
      </c>
      <c r="C114" s="271" t="str">
        <f>'10thMAY'!E114</f>
        <v/>
      </c>
      <c r="D114" s="191"/>
      <c r="E114" s="247"/>
      <c r="F114" s="235" t="s">
        <v>35</v>
      </c>
      <c r="G114" s="235"/>
      <c r="H114" s="272" t="str">
        <f>'10thMAY'!J114</f>
        <v/>
      </c>
      <c r="I114" s="281">
        <v>1.0</v>
      </c>
      <c r="J114" s="284"/>
      <c r="K114" s="283"/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'10thMAY'!E115</f>
        <v/>
      </c>
      <c r="D115" s="191"/>
      <c r="E115" s="247"/>
      <c r="F115" s="235" t="s">
        <v>35</v>
      </c>
      <c r="G115" s="235"/>
      <c r="H115" s="272">
        <f>'10thMAY'!J115</f>
        <v>0.641</v>
      </c>
      <c r="I115" s="281">
        <v>1.0</v>
      </c>
      <c r="J115" s="282">
        <v>0.614</v>
      </c>
      <c r="K115" s="283"/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0.027</v>
      </c>
      <c r="N115" s="191"/>
      <c r="O115" s="247"/>
    </row>
    <row r="116">
      <c r="A116" s="12" t="s">
        <v>127</v>
      </c>
      <c r="B116" s="12" t="s">
        <v>40</v>
      </c>
      <c r="C116" s="271" t="str">
        <f>'10thMAY'!E116</f>
        <v/>
      </c>
      <c r="D116" s="191"/>
      <c r="E116" s="247"/>
      <c r="F116" s="235" t="s">
        <v>35</v>
      </c>
      <c r="G116" s="235"/>
      <c r="H116" s="272">
        <f>'10thMAY'!J116</f>
        <v>0.041</v>
      </c>
      <c r="I116" s="281">
        <v>1.0</v>
      </c>
      <c r="J116" s="282">
        <v>0.03</v>
      </c>
      <c r="K116" s="283"/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0.011</v>
      </c>
      <c r="N116" s="191"/>
      <c r="O116" s="247"/>
    </row>
    <row r="117">
      <c r="A117" s="12" t="s">
        <v>128</v>
      </c>
      <c r="B117" s="12" t="s">
        <v>40</v>
      </c>
      <c r="C117" s="271" t="str">
        <f>'10thMAY'!E117</f>
        <v/>
      </c>
      <c r="D117" s="227">
        <v>1.0</v>
      </c>
      <c r="E117" s="280">
        <v>1.0</v>
      </c>
      <c r="F117" s="235" t="s">
        <v>35</v>
      </c>
      <c r="G117" s="235"/>
      <c r="H117" s="272">
        <f>'10thMAY'!J117</f>
        <v>0.016</v>
      </c>
      <c r="I117" s="281">
        <v>1.0</v>
      </c>
      <c r="J117" s="282"/>
      <c r="K117" s="283"/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0.003</v>
      </c>
      <c r="N117" s="191"/>
      <c r="O117" s="247"/>
    </row>
    <row r="118">
      <c r="A118" s="12" t="s">
        <v>129</v>
      </c>
      <c r="B118" s="12" t="s">
        <v>40</v>
      </c>
      <c r="C118" s="271" t="str">
        <f>'10thMAY'!E118</f>
        <v/>
      </c>
      <c r="D118" s="191"/>
      <c r="E118" s="247"/>
      <c r="F118" s="235" t="s">
        <v>35</v>
      </c>
      <c r="G118" s="235"/>
      <c r="H118" s="272">
        <f>'10thMAY'!J118</f>
        <v>1</v>
      </c>
      <c r="I118" s="281">
        <v>1.0</v>
      </c>
      <c r="J118" s="282">
        <v>0.835</v>
      </c>
      <c r="K118" s="283"/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0.165</v>
      </c>
      <c r="N118" s="191"/>
      <c r="O118" s="247"/>
    </row>
    <row r="119">
      <c r="A119" s="12" t="s">
        <v>130</v>
      </c>
      <c r="B119" s="12" t="s">
        <v>40</v>
      </c>
      <c r="C119" s="271" t="str">
        <f>'10thMAY'!E119</f>
        <v/>
      </c>
      <c r="D119" s="191"/>
      <c r="E119" s="247"/>
      <c r="F119" s="235" t="s">
        <v>35</v>
      </c>
      <c r="G119" s="235"/>
      <c r="H119" s="272">
        <f>'10thMAY'!J119</f>
        <v>0.113</v>
      </c>
      <c r="I119" s="281">
        <v>1.0</v>
      </c>
      <c r="J119" s="282">
        <v>0.108</v>
      </c>
      <c r="K119" s="283"/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0.005</v>
      </c>
      <c r="N119" s="191"/>
      <c r="O119" s="247"/>
    </row>
    <row r="120">
      <c r="A120" s="12" t="s">
        <v>131</v>
      </c>
      <c r="B120" s="12" t="s">
        <v>40</v>
      </c>
      <c r="C120" s="271" t="str">
        <f>'10thMAY'!E120</f>
        <v/>
      </c>
      <c r="D120" s="191"/>
      <c r="E120" s="247"/>
      <c r="F120" s="235" t="s">
        <v>35</v>
      </c>
      <c r="G120" s="235"/>
      <c r="H120" s="272" t="str">
        <f>'10thMAY'!J120</f>
        <v/>
      </c>
      <c r="I120" s="281">
        <v>1.0</v>
      </c>
      <c r="J120" s="282"/>
      <c r="K120" s="283"/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247"/>
    </row>
    <row r="121">
      <c r="A121" s="12" t="s">
        <v>132</v>
      </c>
      <c r="B121" s="12" t="s">
        <v>40</v>
      </c>
      <c r="C121" s="271" t="str">
        <f>'10thMAY'!E121</f>
        <v/>
      </c>
      <c r="D121" s="191"/>
      <c r="E121" s="247"/>
      <c r="F121" s="235" t="s">
        <v>35</v>
      </c>
      <c r="G121" s="235"/>
      <c r="H121" s="272">
        <f>'10thMAY'!J121</f>
        <v>1.005</v>
      </c>
      <c r="I121" s="281">
        <v>1.0</v>
      </c>
      <c r="J121" s="282">
        <f>0.409+0.499</f>
        <v>0.908</v>
      </c>
      <c r="K121" s="283"/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0.097</v>
      </c>
      <c r="N121" s="191"/>
      <c r="O121" s="247"/>
    </row>
    <row r="122">
      <c r="A122" s="12" t="s">
        <v>133</v>
      </c>
      <c r="B122" s="12" t="s">
        <v>40</v>
      </c>
      <c r="C122" s="271">
        <f>'10thMAY'!E122</f>
        <v>1</v>
      </c>
      <c r="D122" s="191"/>
      <c r="E122" s="247"/>
      <c r="F122" s="235" t="s">
        <v>35</v>
      </c>
      <c r="G122" s="235"/>
      <c r="H122" s="272" t="str">
        <f>'10thMAY'!J122</f>
        <v/>
      </c>
      <c r="I122" s="281">
        <v>1.0</v>
      </c>
      <c r="J122" s="282">
        <v>0.086</v>
      </c>
      <c r="K122" s="283"/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0.014</v>
      </c>
      <c r="N122" s="191"/>
      <c r="O122" s="247"/>
    </row>
    <row r="123">
      <c r="A123" s="12" t="s">
        <v>134</v>
      </c>
      <c r="B123" s="12" t="s">
        <v>40</v>
      </c>
      <c r="C123" s="271" t="str">
        <f>'10thMAY'!E123</f>
        <v/>
      </c>
      <c r="D123" s="191"/>
      <c r="E123" s="247"/>
      <c r="F123" s="235" t="s">
        <v>35</v>
      </c>
      <c r="G123" s="235"/>
      <c r="H123" s="272" t="str">
        <f>'10thMAY'!J123</f>
        <v/>
      </c>
      <c r="I123" s="281">
        <v>1.0</v>
      </c>
      <c r="J123" s="284"/>
      <c r="K123" s="283"/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'10thMAY'!E124</f>
        <v/>
      </c>
      <c r="D124" s="191"/>
      <c r="E124" s="247"/>
      <c r="F124" s="235" t="s">
        <v>35</v>
      </c>
      <c r="G124" s="235"/>
      <c r="H124" s="272" t="str">
        <f>'10thMAY'!J124</f>
        <v/>
      </c>
      <c r="I124" s="281">
        <v>1.0</v>
      </c>
      <c r="J124" s="284"/>
      <c r="K124" s="283"/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'10thMAY'!E125</f>
        <v/>
      </c>
      <c r="D125" s="227">
        <v>8.0</v>
      </c>
      <c r="E125" s="247"/>
      <c r="F125" s="285" t="s">
        <v>35</v>
      </c>
      <c r="G125" s="235"/>
      <c r="H125" s="272" t="str">
        <f>'10thMAY'!J125</f>
        <v/>
      </c>
      <c r="I125" s="281">
        <v>1.0</v>
      </c>
      <c r="J125" s="284"/>
      <c r="K125" s="283"/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3.84</v>
      </c>
      <c r="N125" s="191"/>
      <c r="O125" s="247"/>
    </row>
    <row r="126">
      <c r="A126" s="21" t="s">
        <v>143</v>
      </c>
      <c r="B126" s="15" t="s">
        <v>40</v>
      </c>
      <c r="C126" s="271" t="str">
        <f>'10thMAY'!E126</f>
        <v/>
      </c>
      <c r="D126" s="191"/>
      <c r="E126" s="247"/>
      <c r="F126" s="285" t="s">
        <v>35</v>
      </c>
      <c r="G126" s="235"/>
      <c r="H126" s="272">
        <f>'10thMAY'!J126</f>
        <v>0.233</v>
      </c>
      <c r="I126" s="281">
        <v>1.0</v>
      </c>
      <c r="J126" s="282">
        <v>0.232</v>
      </c>
      <c r="K126" s="283"/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0.001</v>
      </c>
      <c r="N126" s="191"/>
      <c r="O126" s="247"/>
    </row>
    <row r="127">
      <c r="A127" s="10" t="s">
        <v>146</v>
      </c>
      <c r="B127" s="11"/>
      <c r="C127" s="271" t="str">
        <f>'10thMAY'!E127</f>
        <v/>
      </c>
      <c r="D127" s="191"/>
      <c r="E127" s="247"/>
      <c r="F127" s="235"/>
      <c r="G127" s="235"/>
      <c r="H127" s="272" t="str">
        <f>'10thMAY'!J127</f>
        <v/>
      </c>
      <c r="I127" s="281">
        <v>1.0</v>
      </c>
      <c r="J127" s="284"/>
      <c r="K127" s="283"/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'10thMAY'!E128</f>
        <v/>
      </c>
      <c r="D128" s="191"/>
      <c r="E128" s="247"/>
      <c r="F128" s="235" t="s">
        <v>35</v>
      </c>
      <c r="G128" s="235"/>
      <c r="H128" s="272" t="str">
        <f>'10thMAY'!J128</f>
        <v/>
      </c>
      <c r="I128" s="281">
        <v>1.0</v>
      </c>
      <c r="J128" s="284"/>
      <c r="K128" s="283"/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'10thMAY'!E129</f>
        <v/>
      </c>
      <c r="D129" s="227">
        <v>1.0</v>
      </c>
      <c r="E129" s="247"/>
      <c r="F129" s="235" t="s">
        <v>35</v>
      </c>
      <c r="G129" s="285">
        <v>0.361</v>
      </c>
      <c r="H129" s="272" t="str">
        <f>'10thMAY'!J129</f>
        <v/>
      </c>
      <c r="I129" s="281">
        <v>1.0</v>
      </c>
      <c r="J129" s="282">
        <v>1.361</v>
      </c>
      <c r="K129" s="283"/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</v>
      </c>
      <c r="N129" s="191"/>
      <c r="O129" s="247"/>
    </row>
    <row r="130">
      <c r="A130" s="12" t="s">
        <v>149</v>
      </c>
      <c r="B130" s="12" t="s">
        <v>40</v>
      </c>
      <c r="C130" s="271" t="str">
        <f>'10thMAY'!E130</f>
        <v/>
      </c>
      <c r="D130" s="227">
        <v>1.0</v>
      </c>
      <c r="E130" s="247"/>
      <c r="F130" s="235" t="s">
        <v>35</v>
      </c>
      <c r="G130" s="235"/>
      <c r="H130" s="272" t="str">
        <f>'10thMAY'!J130</f>
        <v/>
      </c>
      <c r="I130" s="281">
        <v>1.0</v>
      </c>
      <c r="J130" s="282">
        <v>0.322</v>
      </c>
      <c r="K130" s="283"/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0.178</v>
      </c>
      <c r="N130" s="191"/>
      <c r="O130" s="247"/>
    </row>
    <row r="131">
      <c r="A131" s="12" t="s">
        <v>150</v>
      </c>
      <c r="B131" s="12" t="s">
        <v>24</v>
      </c>
      <c r="C131" s="271" t="str">
        <f>'10thMAY'!E131</f>
        <v/>
      </c>
      <c r="D131" s="191"/>
      <c r="E131" s="247"/>
      <c r="F131" s="235" t="s">
        <v>25</v>
      </c>
      <c r="G131" s="235"/>
      <c r="H131" s="272" t="str">
        <f>'10thMAY'!J131</f>
        <v/>
      </c>
      <c r="I131" s="281">
        <v>1.0</v>
      </c>
      <c r="J131" s="284"/>
      <c r="K131" s="283"/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'10thMAY'!E132</f>
        <v/>
      </c>
      <c r="D132" s="191"/>
      <c r="E132" s="247"/>
      <c r="F132" s="235"/>
      <c r="G132" s="235"/>
      <c r="H132" s="272" t="str">
        <f>'10thMAY'!J132</f>
        <v/>
      </c>
      <c r="I132" s="281">
        <v>1.0</v>
      </c>
      <c r="J132" s="284"/>
      <c r="K132" s="283"/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'10thMAY'!E133</f>
        <v/>
      </c>
      <c r="D133" s="227">
        <v>4.0</v>
      </c>
      <c r="E133" s="247"/>
      <c r="F133" s="235" t="s">
        <v>35</v>
      </c>
      <c r="G133" s="235"/>
      <c r="H133" s="272" t="str">
        <f>'10thMAY'!J133</f>
        <v/>
      </c>
      <c r="I133" s="281">
        <v>1.0</v>
      </c>
      <c r="J133" s="282">
        <v>0.5</v>
      </c>
      <c r="K133" s="283"/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0.3</v>
      </c>
      <c r="N133" s="191"/>
      <c r="O133" s="247"/>
    </row>
    <row r="134">
      <c r="A134" s="12" t="s">
        <v>154</v>
      </c>
      <c r="B134" s="12" t="s">
        <v>155</v>
      </c>
      <c r="C134" s="271" t="str">
        <f>'10thMAY'!E134</f>
        <v/>
      </c>
      <c r="D134" s="227">
        <v>10.0</v>
      </c>
      <c r="E134" s="247"/>
      <c r="F134" s="235" t="s">
        <v>35</v>
      </c>
      <c r="G134" s="235"/>
      <c r="H134" s="272" t="str">
        <f>'10thMAY'!J134</f>
        <v/>
      </c>
      <c r="I134" s="281">
        <v>1.0</v>
      </c>
      <c r="J134" s="284"/>
      <c r="K134" s="283"/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5</v>
      </c>
      <c r="N134" s="191"/>
      <c r="O134" s="247"/>
    </row>
    <row r="135">
      <c r="A135" s="12" t="s">
        <v>157</v>
      </c>
      <c r="B135" s="12" t="s">
        <v>34</v>
      </c>
      <c r="C135" s="271" t="str">
        <f>'10thMAY'!E135</f>
        <v/>
      </c>
      <c r="D135" s="227">
        <v>2.0</v>
      </c>
      <c r="E135" s="280">
        <v>1.0</v>
      </c>
      <c r="F135" s="235" t="s">
        <v>35</v>
      </c>
      <c r="G135" s="235"/>
      <c r="H135" s="272">
        <f>'10thMAY'!J135</f>
        <v>0.399</v>
      </c>
      <c r="I135" s="281">
        <v>1.0</v>
      </c>
      <c r="J135" s="282"/>
      <c r="K135" s="283"/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0.769</v>
      </c>
      <c r="N135" s="191"/>
      <c r="O135" s="247"/>
    </row>
    <row r="136">
      <c r="A136" s="12" t="s">
        <v>158</v>
      </c>
      <c r="B136" s="12" t="s">
        <v>34</v>
      </c>
      <c r="C136" s="271" t="str">
        <f>'10thMAY'!E136</f>
        <v/>
      </c>
      <c r="D136" s="227">
        <v>2.0</v>
      </c>
      <c r="E136" s="247"/>
      <c r="F136" s="235" t="s">
        <v>35</v>
      </c>
      <c r="G136" s="235"/>
      <c r="H136" s="272" t="str">
        <f>'10thMAY'!J136</f>
        <v/>
      </c>
      <c r="I136" s="281">
        <v>1.0</v>
      </c>
      <c r="J136" s="284"/>
      <c r="K136" s="283"/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0.85</v>
      </c>
      <c r="N136" s="191"/>
      <c r="O136" s="247"/>
    </row>
    <row r="137">
      <c r="A137" s="12" t="s">
        <v>159</v>
      </c>
      <c r="B137" s="12" t="s">
        <v>34</v>
      </c>
      <c r="C137" s="271" t="str">
        <f>'10thMAY'!E137</f>
        <v/>
      </c>
      <c r="D137" s="191"/>
      <c r="E137" s="247"/>
      <c r="F137" s="235" t="s">
        <v>35</v>
      </c>
      <c r="G137" s="235"/>
      <c r="H137" s="272" t="str">
        <f>'10thMAY'!J137</f>
        <v/>
      </c>
      <c r="I137" s="281">
        <v>1.0</v>
      </c>
      <c r="J137" s="284"/>
      <c r="K137" s="283"/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'10thMAY'!E138</f>
        <v/>
      </c>
      <c r="D138" s="191"/>
      <c r="E138" s="247"/>
      <c r="F138" s="235" t="s">
        <v>35</v>
      </c>
      <c r="G138" s="235"/>
      <c r="H138" s="272">
        <f>'10thMAY'!J138</f>
        <v>0.539</v>
      </c>
      <c r="I138" s="281">
        <v>1.0</v>
      </c>
      <c r="J138" s="282">
        <v>0.503</v>
      </c>
      <c r="K138" s="283"/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0.036</v>
      </c>
      <c r="N138" s="191"/>
      <c r="O138" s="247"/>
    </row>
    <row r="139">
      <c r="A139" s="12" t="s">
        <v>161</v>
      </c>
      <c r="B139" s="12" t="s">
        <v>34</v>
      </c>
      <c r="C139" s="271" t="str">
        <f>'10thMAY'!E139</f>
        <v/>
      </c>
      <c r="D139" s="191"/>
      <c r="E139" s="247"/>
      <c r="F139" s="235" t="s">
        <v>35</v>
      </c>
      <c r="G139" s="285">
        <v>0.433</v>
      </c>
      <c r="H139" s="272">
        <f>'10thMAY'!J139</f>
        <v>0.433</v>
      </c>
      <c r="I139" s="281">
        <v>1.0</v>
      </c>
      <c r="J139" s="282">
        <v>0.508</v>
      </c>
      <c r="K139" s="283"/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0.358</v>
      </c>
      <c r="N139" s="191"/>
      <c r="O139" s="247"/>
    </row>
    <row r="140">
      <c r="A140" s="12" t="s">
        <v>162</v>
      </c>
      <c r="B140" s="12" t="s">
        <v>34</v>
      </c>
      <c r="C140" s="271">
        <v>1.0</v>
      </c>
      <c r="D140" s="191"/>
      <c r="E140" s="280">
        <v>1.0</v>
      </c>
      <c r="F140" s="235" t="s">
        <v>35</v>
      </c>
      <c r="G140" s="235"/>
      <c r="H140" s="272" t="str">
        <f>'10thMAY'!J140</f>
        <v/>
      </c>
      <c r="I140" s="281">
        <v>1.0</v>
      </c>
      <c r="J140" s="282"/>
      <c r="K140" s="283"/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 t="str">
        <f>'10thMAY'!E141</f>
        <v/>
      </c>
      <c r="D141" s="227"/>
      <c r="E141" s="247"/>
      <c r="F141" s="235" t="s">
        <v>35</v>
      </c>
      <c r="G141" s="285">
        <v>1.0</v>
      </c>
      <c r="H141" s="272">
        <f>'10thMAY'!J141</f>
        <v>0.568</v>
      </c>
      <c r="I141" s="281">
        <v>1.0</v>
      </c>
      <c r="J141" s="282">
        <v>0.965</v>
      </c>
      <c r="K141" s="283"/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0.603</v>
      </c>
      <c r="N141" s="191"/>
      <c r="O141" s="247"/>
    </row>
    <row r="142">
      <c r="A142" s="12" t="s">
        <v>164</v>
      </c>
      <c r="B142" s="12" t="s">
        <v>155</v>
      </c>
      <c r="C142" s="271" t="str">
        <f>'10thMAY'!E142</f>
        <v/>
      </c>
      <c r="D142" s="227">
        <v>1.0</v>
      </c>
      <c r="E142" s="247"/>
      <c r="F142" s="235" t="s">
        <v>35</v>
      </c>
      <c r="G142" s="235"/>
      <c r="H142" s="272">
        <f>'10thMAY'!J142</f>
        <v>0.5</v>
      </c>
      <c r="I142" s="281">
        <v>1.0</v>
      </c>
      <c r="J142" s="282">
        <v>1.0</v>
      </c>
      <c r="K142" s="283"/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</v>
      </c>
      <c r="N142" s="191"/>
      <c r="O142" s="247"/>
    </row>
    <row r="143">
      <c r="A143" s="12" t="s">
        <v>165</v>
      </c>
      <c r="B143" s="12" t="s">
        <v>155</v>
      </c>
      <c r="C143" s="271" t="str">
        <f>'10thMAY'!E143</f>
        <v/>
      </c>
      <c r="D143" s="191"/>
      <c r="E143" s="247"/>
      <c r="F143" s="235" t="s">
        <v>35</v>
      </c>
      <c r="G143" s="235"/>
      <c r="H143" s="272" t="str">
        <f>'10thMAY'!J143</f>
        <v/>
      </c>
      <c r="I143" s="281">
        <v>1.0</v>
      </c>
      <c r="J143" s="284"/>
      <c r="K143" s="283"/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'10thMAY'!E144</f>
        <v/>
      </c>
      <c r="D144" s="227">
        <v>1.0</v>
      </c>
      <c r="E144" s="247"/>
      <c r="F144" s="235" t="s">
        <v>35</v>
      </c>
      <c r="G144" s="235"/>
      <c r="H144" s="272" t="str">
        <f>'10thMAY'!J144</f>
        <v/>
      </c>
      <c r="I144" s="281">
        <v>1.0</v>
      </c>
      <c r="J144" s="282">
        <v>1.512</v>
      </c>
      <c r="K144" s="283"/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2.268</v>
      </c>
      <c r="N144" s="191"/>
      <c r="O144" s="247"/>
    </row>
    <row r="145">
      <c r="A145" s="12" t="s">
        <v>167</v>
      </c>
      <c r="B145" s="12" t="s">
        <v>106</v>
      </c>
      <c r="C145" s="271" t="str">
        <f>'10thMAY'!E145</f>
        <v/>
      </c>
      <c r="D145" s="227">
        <v>2.0</v>
      </c>
      <c r="E145" s="280">
        <v>1.0</v>
      </c>
      <c r="F145" s="235" t="s">
        <v>35</v>
      </c>
      <c r="G145" s="235"/>
      <c r="H145" s="272">
        <f>'10thMAY'!J145</f>
        <v>0.258</v>
      </c>
      <c r="I145" s="281">
        <v>1.0</v>
      </c>
      <c r="J145" s="282">
        <v>0.423</v>
      </c>
      <c r="K145" s="283"/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0.25</v>
      </c>
      <c r="N145" s="191"/>
      <c r="O145" s="247"/>
    </row>
    <row r="146">
      <c r="A146" s="12" t="s">
        <v>168</v>
      </c>
      <c r="B146" s="12" t="s">
        <v>17</v>
      </c>
      <c r="C146" s="271">
        <f>'10thMAY'!E146</f>
        <v>1</v>
      </c>
      <c r="D146" s="227"/>
      <c r="E146" s="247"/>
      <c r="F146" s="235" t="s">
        <v>35</v>
      </c>
      <c r="G146" s="235"/>
      <c r="H146" s="272">
        <f>'10thMAY'!J146</f>
        <v>0.48</v>
      </c>
      <c r="I146" s="281">
        <v>1.0</v>
      </c>
      <c r="J146" s="282">
        <v>0.619</v>
      </c>
      <c r="K146" s="283"/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0.361</v>
      </c>
      <c r="N146" s="191"/>
      <c r="O146" s="247"/>
    </row>
    <row r="147">
      <c r="A147" s="12" t="s">
        <v>169</v>
      </c>
      <c r="B147" s="12" t="s">
        <v>106</v>
      </c>
      <c r="C147" s="271" t="str">
        <f>'10thMAY'!E147</f>
        <v/>
      </c>
      <c r="D147" s="191"/>
      <c r="E147" s="247"/>
      <c r="F147" s="235" t="s">
        <v>35</v>
      </c>
      <c r="G147" s="235"/>
      <c r="H147" s="272" t="str">
        <f>'10thMAY'!J147</f>
        <v/>
      </c>
      <c r="I147" s="281">
        <v>1.0</v>
      </c>
      <c r="J147" s="284"/>
      <c r="K147" s="283"/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'10thMAY'!E148</f>
        <v/>
      </c>
      <c r="D148" s="191"/>
      <c r="E148" s="247"/>
      <c r="F148" s="235" t="s">
        <v>35</v>
      </c>
      <c r="G148" s="235"/>
      <c r="H148" s="272" t="str">
        <f>'10thMAY'!J148</f>
        <v/>
      </c>
      <c r="I148" s="281">
        <v>1.0</v>
      </c>
      <c r="J148" s="284"/>
      <c r="K148" s="283"/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 t="str">
        <f>'10thMAY'!E149</f>
        <v/>
      </c>
      <c r="D149" s="191"/>
      <c r="E149" s="247"/>
      <c r="F149" s="235" t="s">
        <v>14</v>
      </c>
      <c r="G149" s="235"/>
      <c r="H149" s="272">
        <f>'10thMAY'!J149</f>
        <v>0.316</v>
      </c>
      <c r="I149" s="281">
        <v>1.0</v>
      </c>
      <c r="J149" s="282">
        <v>0.24</v>
      </c>
      <c r="K149" s="283"/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0.076</v>
      </c>
      <c r="N149" s="191"/>
      <c r="O149" s="247"/>
    </row>
    <row r="150">
      <c r="A150" s="11" t="s">
        <v>173</v>
      </c>
      <c r="B150" s="11" t="s">
        <v>106</v>
      </c>
      <c r="C150" s="271" t="str">
        <f>'10thMAY'!E150</f>
        <v/>
      </c>
      <c r="D150" s="287"/>
      <c r="E150" s="288"/>
      <c r="F150" s="235" t="s">
        <v>14</v>
      </c>
      <c r="G150" s="289"/>
      <c r="H150" s="272" t="str">
        <f>'10thMAY'!J150</f>
        <v/>
      </c>
      <c r="I150" s="281">
        <v>1.0</v>
      </c>
      <c r="J150" s="291"/>
      <c r="K150" s="283"/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</v>
      </c>
      <c r="N150" s="216"/>
      <c r="O150" s="292"/>
    </row>
    <row r="151">
      <c r="A151" s="22" t="s">
        <v>174</v>
      </c>
      <c r="B151" s="23" t="s">
        <v>106</v>
      </c>
      <c r="C151" s="271" t="str">
        <f>'10thMAY'!E151</f>
        <v/>
      </c>
      <c r="D151" s="216"/>
      <c r="E151" s="288"/>
      <c r="F151" s="235" t="s">
        <v>14</v>
      </c>
      <c r="G151" s="289"/>
      <c r="H151" s="272">
        <f>'10thMAY'!J151</f>
        <v>0.367</v>
      </c>
      <c r="I151" s="281">
        <v>1.0</v>
      </c>
      <c r="J151" s="301">
        <v>0.347</v>
      </c>
      <c r="K151" s="283"/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0.02</v>
      </c>
      <c r="N151" s="216"/>
      <c r="O151" s="292"/>
    </row>
    <row r="152">
      <c r="A152" s="10" t="s">
        <v>175</v>
      </c>
      <c r="B152" s="11"/>
      <c r="C152" s="271" t="str">
        <f>'10thMAY'!E152</f>
        <v/>
      </c>
      <c r="D152" s="191"/>
      <c r="E152" s="247"/>
      <c r="F152" s="235"/>
      <c r="G152" s="235"/>
      <c r="H152" s="272" t="str">
        <f>'10thMAY'!J152</f>
        <v/>
      </c>
      <c r="I152" s="281">
        <v>1.0</v>
      </c>
      <c r="J152" s="284"/>
      <c r="K152" s="283"/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'10thMAY'!E153</f>
        <v/>
      </c>
      <c r="D153" s="227">
        <v>11.0</v>
      </c>
      <c r="E153" s="280">
        <v>1.0</v>
      </c>
      <c r="F153" s="235" t="s">
        <v>25</v>
      </c>
      <c r="G153" s="235"/>
      <c r="H153" s="272" t="str">
        <f>'10thMAY'!J153</f>
        <v/>
      </c>
      <c r="I153" s="281">
        <v>1.0</v>
      </c>
      <c r="J153" s="284"/>
      <c r="K153" s="283"/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10</v>
      </c>
      <c r="N153" s="191"/>
      <c r="O153" s="247"/>
    </row>
    <row r="154">
      <c r="A154" s="12" t="s">
        <v>178</v>
      </c>
      <c r="B154" s="12" t="s">
        <v>35</v>
      </c>
      <c r="C154" s="271">
        <f>'10thMAY'!E154</f>
        <v>2</v>
      </c>
      <c r="D154" s="227">
        <v>16.0</v>
      </c>
      <c r="E154" s="280">
        <v>6.0</v>
      </c>
      <c r="F154" s="235" t="s">
        <v>35</v>
      </c>
      <c r="G154" s="235"/>
      <c r="H154" s="272" t="str">
        <f>'10thMAY'!J154</f>
        <v/>
      </c>
      <c r="I154" s="281">
        <v>1.0</v>
      </c>
      <c r="J154" s="284"/>
      <c r="K154" s="283"/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6</v>
      </c>
      <c r="N154" s="191"/>
      <c r="O154" s="247"/>
    </row>
    <row r="155">
      <c r="A155" s="12" t="s">
        <v>180</v>
      </c>
      <c r="B155" s="12" t="s">
        <v>35</v>
      </c>
      <c r="C155" s="271" t="str">
        <f>'10thMAY'!E155</f>
        <v/>
      </c>
      <c r="D155" s="191"/>
      <c r="E155" s="247"/>
      <c r="F155" s="235" t="s">
        <v>35</v>
      </c>
      <c r="G155" s="235"/>
      <c r="H155" s="272">
        <f>'10thMAY'!J155</f>
        <v>0.524</v>
      </c>
      <c r="I155" s="281">
        <v>1.0</v>
      </c>
      <c r="J155" s="282">
        <v>0.335</v>
      </c>
      <c r="K155" s="283"/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0.189</v>
      </c>
      <c r="N155" s="191"/>
      <c r="O155" s="247"/>
    </row>
    <row r="156">
      <c r="A156" s="12" t="s">
        <v>181</v>
      </c>
      <c r="B156" s="12" t="s">
        <v>35</v>
      </c>
      <c r="C156" s="271" t="str">
        <f>'10thMAY'!E156</f>
        <v/>
      </c>
      <c r="D156" s="191"/>
      <c r="E156" s="280"/>
      <c r="F156" s="235" t="s">
        <v>35</v>
      </c>
      <c r="G156" s="235"/>
      <c r="H156" s="272">
        <f>'10thMAY'!J156</f>
        <v>0.569</v>
      </c>
      <c r="I156" s="281">
        <v>1.0</v>
      </c>
      <c r="J156" s="282"/>
      <c r="K156" s="283"/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0.557</v>
      </c>
      <c r="N156" s="191"/>
      <c r="O156" s="247"/>
    </row>
    <row r="157">
      <c r="A157" s="12" t="s">
        <v>182</v>
      </c>
      <c r="B157" s="12" t="s">
        <v>35</v>
      </c>
      <c r="C157" s="271" t="str">
        <f>'10thMAY'!E157</f>
        <v/>
      </c>
      <c r="D157" s="227"/>
      <c r="E157" s="247"/>
      <c r="F157" s="235" t="s">
        <v>35</v>
      </c>
      <c r="G157" s="285">
        <v>0.5</v>
      </c>
      <c r="H157" s="272" t="str">
        <f>'10thMAY'!J157</f>
        <v/>
      </c>
      <c r="I157" s="281">
        <v>1.0</v>
      </c>
      <c r="J157" s="282"/>
      <c r="K157" s="283"/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0.5</v>
      </c>
      <c r="N157" s="191"/>
      <c r="O157" s="247"/>
    </row>
    <row r="158">
      <c r="A158" s="12" t="s">
        <v>183</v>
      </c>
      <c r="B158" s="12" t="s">
        <v>35</v>
      </c>
      <c r="C158" s="271" t="str">
        <f>'10thMAY'!E158</f>
        <v/>
      </c>
      <c r="D158" s="191"/>
      <c r="E158" s="247"/>
      <c r="F158" s="235" t="s">
        <v>14</v>
      </c>
      <c r="G158" s="235"/>
      <c r="H158" s="272" t="str">
        <f>'10thMAY'!J158</f>
        <v/>
      </c>
      <c r="I158" s="281">
        <v>1.0</v>
      </c>
      <c r="J158" s="284"/>
      <c r="K158" s="283"/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'10thMAY'!E159</f>
        <v/>
      </c>
      <c r="D159" s="191"/>
      <c r="E159" s="247"/>
      <c r="F159" s="235"/>
      <c r="G159" s="235"/>
      <c r="H159" s="272" t="str">
        <f>'10thMAY'!J159</f>
        <v/>
      </c>
      <c r="I159" s="281">
        <v>1.0</v>
      </c>
      <c r="J159" s="284"/>
      <c r="K159" s="283"/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'10thMAY'!E160</f>
        <v/>
      </c>
      <c r="D160" s="227">
        <v>7.0</v>
      </c>
      <c r="E160" s="247"/>
      <c r="F160" s="235" t="s">
        <v>17</v>
      </c>
      <c r="G160" s="235"/>
      <c r="H160" s="272" t="str">
        <f>'10thMAY'!J160</f>
        <v/>
      </c>
      <c r="I160" s="281">
        <v>1.0</v>
      </c>
      <c r="J160" s="284"/>
      <c r="K160" s="283"/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7</v>
      </c>
      <c r="N160" s="191"/>
      <c r="O160" s="247"/>
    </row>
    <row r="161">
      <c r="A161" s="12" t="s">
        <v>187</v>
      </c>
      <c r="B161" s="12" t="s">
        <v>17</v>
      </c>
      <c r="C161" s="271" t="str">
        <f>'10thMAY'!E161</f>
        <v/>
      </c>
      <c r="D161" s="227">
        <v>10.0</v>
      </c>
      <c r="E161" s="247"/>
      <c r="F161" s="235" t="s">
        <v>17</v>
      </c>
      <c r="G161" s="235"/>
      <c r="H161" s="272" t="str">
        <f>'10thMAY'!J161</f>
        <v/>
      </c>
      <c r="I161" s="281">
        <v>1.0</v>
      </c>
      <c r="J161" s="282">
        <v>0.25</v>
      </c>
      <c r="K161" s="283"/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9.75</v>
      </c>
      <c r="N161" s="191"/>
      <c r="O161" s="247"/>
    </row>
    <row r="162">
      <c r="A162" s="12" t="s">
        <v>188</v>
      </c>
      <c r="B162" s="12" t="s">
        <v>35</v>
      </c>
      <c r="C162" s="271" t="str">
        <f>'10thMAY'!E162</f>
        <v/>
      </c>
      <c r="D162" s="227">
        <v>9.0</v>
      </c>
      <c r="E162" s="247"/>
      <c r="F162" s="235" t="s">
        <v>35</v>
      </c>
      <c r="G162" s="235"/>
      <c r="H162" s="272">
        <f>'10thMAY'!J162</f>
        <v>2</v>
      </c>
      <c r="I162" s="281">
        <v>1.0</v>
      </c>
      <c r="J162" s="282">
        <v>0.5</v>
      </c>
      <c r="K162" s="283"/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10.5</v>
      </c>
      <c r="N162" s="191"/>
      <c r="O162" s="247"/>
    </row>
    <row r="163">
      <c r="A163" s="12" t="s">
        <v>189</v>
      </c>
      <c r="B163" s="12" t="s">
        <v>17</v>
      </c>
      <c r="C163" s="271" t="str">
        <f>'10thMAY'!E163</f>
        <v/>
      </c>
      <c r="D163" s="227">
        <v>3.0</v>
      </c>
      <c r="E163" s="280"/>
      <c r="F163" s="235" t="s">
        <v>17</v>
      </c>
      <c r="G163" s="235"/>
      <c r="H163" s="272">
        <f>'10thMAY'!J163</f>
        <v>0.5</v>
      </c>
      <c r="I163" s="281">
        <v>1.0</v>
      </c>
      <c r="J163" s="282">
        <v>1.0</v>
      </c>
      <c r="K163" s="283"/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2.5</v>
      </c>
      <c r="N163" s="191"/>
      <c r="O163" s="247"/>
    </row>
    <row r="164">
      <c r="A164" s="12" t="s">
        <v>190</v>
      </c>
      <c r="B164" s="12" t="s">
        <v>17</v>
      </c>
      <c r="C164" s="271" t="str">
        <f>'10thMAY'!E164</f>
        <v/>
      </c>
      <c r="D164" s="191"/>
      <c r="E164" s="247"/>
      <c r="F164" s="235" t="s">
        <v>17</v>
      </c>
      <c r="G164" s="235"/>
      <c r="H164" s="272" t="str">
        <f>'10thMAY'!J164</f>
        <v/>
      </c>
      <c r="I164" s="281">
        <v>1.0</v>
      </c>
      <c r="J164" s="284"/>
      <c r="K164" s="283"/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'10thMAY'!E165</f>
        <v/>
      </c>
      <c r="D165" s="227">
        <v>2.8</v>
      </c>
      <c r="E165" s="247"/>
      <c r="F165" s="235" t="s">
        <v>35</v>
      </c>
      <c r="G165" s="235"/>
      <c r="H165" s="272" t="str">
        <f>'10thMAY'!J165</f>
        <v/>
      </c>
      <c r="I165" s="281">
        <v>1.0</v>
      </c>
      <c r="J165" s="284"/>
      <c r="K165" s="283"/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2.8</v>
      </c>
      <c r="N165" s="191"/>
      <c r="O165" s="247"/>
    </row>
    <row r="166">
      <c r="A166" s="12" t="s">
        <v>192</v>
      </c>
      <c r="B166" s="12" t="s">
        <v>35</v>
      </c>
      <c r="C166" s="271" t="str">
        <f>'10thMAY'!E166</f>
        <v/>
      </c>
      <c r="D166" s="227">
        <v>3.7</v>
      </c>
      <c r="E166" s="247"/>
      <c r="F166" s="235" t="s">
        <v>35</v>
      </c>
      <c r="G166" s="285"/>
      <c r="H166" s="272" t="str">
        <f>'10thMAY'!J166</f>
        <v/>
      </c>
      <c r="I166" s="281">
        <v>1.0</v>
      </c>
      <c r="J166" s="282">
        <v>1.0</v>
      </c>
      <c r="K166" s="283"/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2.7</v>
      </c>
      <c r="N166" s="191"/>
      <c r="O166" s="247"/>
    </row>
    <row r="167">
      <c r="A167" s="12" t="s">
        <v>193</v>
      </c>
      <c r="B167" s="12" t="s">
        <v>35</v>
      </c>
      <c r="C167" s="271" t="str">
        <f>'10thMAY'!E167</f>
        <v/>
      </c>
      <c r="D167" s="227">
        <v>26.0</v>
      </c>
      <c r="E167" s="247"/>
      <c r="F167" s="235" t="s">
        <v>35</v>
      </c>
      <c r="G167" s="235"/>
      <c r="H167" s="272" t="str">
        <f>'10thMAY'!J167</f>
        <v/>
      </c>
      <c r="I167" s="281">
        <v>1.0</v>
      </c>
      <c r="J167" s="282">
        <v>0.469</v>
      </c>
      <c r="K167" s="283"/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25.531</v>
      </c>
      <c r="N167" s="191"/>
      <c r="O167" s="247"/>
    </row>
    <row r="168">
      <c r="A168" s="12" t="s">
        <v>194</v>
      </c>
      <c r="B168" s="12" t="s">
        <v>17</v>
      </c>
      <c r="C168" s="271" t="str">
        <f>'10thMAY'!E168</f>
        <v/>
      </c>
      <c r="D168" s="227">
        <v>7.0</v>
      </c>
      <c r="E168" s="247"/>
      <c r="F168" s="235" t="s">
        <v>17</v>
      </c>
      <c r="G168" s="235"/>
      <c r="H168" s="272">
        <f>'10thMAY'!J168</f>
        <v>1</v>
      </c>
      <c r="I168" s="281">
        <v>1.0</v>
      </c>
      <c r="J168" s="282">
        <v>1.0</v>
      </c>
      <c r="K168" s="283"/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7</v>
      </c>
      <c r="N168" s="191"/>
      <c r="O168" s="247"/>
    </row>
    <row r="169">
      <c r="A169" s="12" t="s">
        <v>195</v>
      </c>
      <c r="B169" s="12" t="s">
        <v>35</v>
      </c>
      <c r="C169" s="271" t="str">
        <f>'10thMAY'!E169</f>
        <v/>
      </c>
      <c r="D169" s="191"/>
      <c r="E169" s="247"/>
      <c r="F169" s="235" t="s">
        <v>35</v>
      </c>
      <c r="G169" s="235"/>
      <c r="H169" s="272">
        <f>'10thMAY'!J169</f>
        <v>1.563</v>
      </c>
      <c r="I169" s="281">
        <v>1.0</v>
      </c>
      <c r="J169" s="282">
        <v>0.87</v>
      </c>
      <c r="K169" s="283"/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0.693</v>
      </c>
      <c r="N169" s="191"/>
      <c r="O169" s="247"/>
    </row>
    <row r="170">
      <c r="A170" s="12" t="s">
        <v>196</v>
      </c>
      <c r="B170" s="12" t="s">
        <v>35</v>
      </c>
      <c r="C170" s="271" t="str">
        <f>'10thMAY'!E170</f>
        <v/>
      </c>
      <c r="D170" s="227">
        <v>2.8</v>
      </c>
      <c r="E170" s="247"/>
      <c r="F170" s="235" t="s">
        <v>35</v>
      </c>
      <c r="G170" s="235"/>
      <c r="H170" s="272">
        <f>'10thMAY'!J170</f>
        <v>0.074</v>
      </c>
      <c r="I170" s="281">
        <v>1.0</v>
      </c>
      <c r="J170" s="282"/>
      <c r="K170" s="283"/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2.874</v>
      </c>
      <c r="N170" s="191"/>
      <c r="O170" s="247"/>
    </row>
    <row r="171">
      <c r="A171" s="12" t="s">
        <v>197</v>
      </c>
      <c r="B171" s="12" t="s">
        <v>35</v>
      </c>
      <c r="C171" s="271" t="str">
        <f>'10thMAY'!E171</f>
        <v/>
      </c>
      <c r="D171" s="227">
        <v>2.8</v>
      </c>
      <c r="E171" s="247"/>
      <c r="F171" s="235" t="s">
        <v>35</v>
      </c>
      <c r="G171" s="285"/>
      <c r="H171" s="272">
        <f>'10thMAY'!J171</f>
        <v>0.471</v>
      </c>
      <c r="I171" s="281">
        <v>1.0</v>
      </c>
      <c r="J171" s="282"/>
      <c r="K171" s="283"/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3.271</v>
      </c>
      <c r="N171" s="191"/>
      <c r="O171" s="247"/>
    </row>
    <row r="172">
      <c r="A172" s="12" t="s">
        <v>198</v>
      </c>
      <c r="B172" s="12" t="s">
        <v>35</v>
      </c>
      <c r="C172" s="271" t="str">
        <f>'10thMAY'!E172</f>
        <v/>
      </c>
      <c r="D172" s="227">
        <v>4.0</v>
      </c>
      <c r="E172" s="247"/>
      <c r="F172" s="235" t="s">
        <v>35</v>
      </c>
      <c r="G172" s="235"/>
      <c r="H172" s="272">
        <f>'10thMAY'!J172</f>
        <v>0.607</v>
      </c>
      <c r="I172" s="281">
        <v>1.0</v>
      </c>
      <c r="J172" s="282">
        <v>0.5</v>
      </c>
      <c r="K172" s="283"/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4.107</v>
      </c>
      <c r="N172" s="191"/>
      <c r="O172" s="247"/>
    </row>
    <row r="173">
      <c r="A173" s="12" t="s">
        <v>199</v>
      </c>
      <c r="B173" s="12" t="s">
        <v>35</v>
      </c>
      <c r="C173" s="271" t="str">
        <f>'10thMAY'!E173</f>
        <v/>
      </c>
      <c r="D173" s="227">
        <v>3.4</v>
      </c>
      <c r="E173" s="247"/>
      <c r="F173" s="235" t="s">
        <v>35</v>
      </c>
      <c r="G173" s="235"/>
      <c r="H173" s="272">
        <f>'10thMAY'!J173</f>
        <v>0.01</v>
      </c>
      <c r="I173" s="281">
        <v>1.0</v>
      </c>
      <c r="J173" s="282">
        <v>0.141</v>
      </c>
      <c r="K173" s="283"/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3.269</v>
      </c>
      <c r="N173" s="191"/>
      <c r="O173" s="247"/>
    </row>
    <row r="174">
      <c r="A174" s="12" t="s">
        <v>200</v>
      </c>
      <c r="B174" s="12" t="s">
        <v>35</v>
      </c>
      <c r="C174" s="271" t="str">
        <f>'10thMAY'!E174</f>
        <v/>
      </c>
      <c r="D174" s="227">
        <v>3.4</v>
      </c>
      <c r="E174" s="247"/>
      <c r="F174" s="235" t="s">
        <v>35</v>
      </c>
      <c r="G174" s="235"/>
      <c r="H174" s="272">
        <f>'10thMAY'!J174</f>
        <v>0.382</v>
      </c>
      <c r="I174" s="281">
        <v>1.0</v>
      </c>
      <c r="J174" s="282">
        <v>0.15</v>
      </c>
      <c r="K174" s="283"/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3.632</v>
      </c>
      <c r="N174" s="191"/>
      <c r="O174" s="247"/>
    </row>
    <row r="175">
      <c r="A175" s="12" t="s">
        <v>201</v>
      </c>
      <c r="B175" s="12" t="s">
        <v>202</v>
      </c>
      <c r="C175" s="271" t="str">
        <f>'10thMAY'!E175</f>
        <v/>
      </c>
      <c r="D175" s="191"/>
      <c r="E175" s="247"/>
      <c r="F175" s="235" t="s">
        <v>202</v>
      </c>
      <c r="G175" s="235"/>
      <c r="H175" s="272" t="str">
        <f>'10thMAY'!J175</f>
        <v/>
      </c>
      <c r="I175" s="281">
        <v>1.0</v>
      </c>
      <c r="J175" s="284"/>
      <c r="K175" s="283"/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'10thMAY'!E176</f>
        <v/>
      </c>
      <c r="D176" s="227">
        <v>2.0</v>
      </c>
      <c r="E176" s="247"/>
      <c r="F176" s="235" t="s">
        <v>202</v>
      </c>
      <c r="G176" s="235"/>
      <c r="H176" s="272" t="str">
        <f>'10thMAY'!J176</f>
        <v/>
      </c>
      <c r="I176" s="281">
        <v>1.0</v>
      </c>
      <c r="J176" s="282"/>
      <c r="K176" s="283"/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2</v>
      </c>
      <c r="N176" s="191"/>
      <c r="O176" s="247"/>
    </row>
    <row r="177">
      <c r="A177" s="12" t="s">
        <v>205</v>
      </c>
      <c r="B177" s="12" t="s">
        <v>202</v>
      </c>
      <c r="C177" s="271" t="str">
        <f>'10thMAY'!E177</f>
        <v/>
      </c>
      <c r="D177" s="227">
        <v>7.0</v>
      </c>
      <c r="E177" s="247"/>
      <c r="F177" s="235" t="s">
        <v>202</v>
      </c>
      <c r="G177" s="235"/>
      <c r="H177" s="272" t="str">
        <f>'10thMAY'!J177</f>
        <v/>
      </c>
      <c r="I177" s="281">
        <v>1.0</v>
      </c>
      <c r="J177" s="284"/>
      <c r="K177" s="283"/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7</v>
      </c>
      <c r="N177" s="191"/>
      <c r="O177" s="247"/>
    </row>
    <row r="178">
      <c r="A178" s="12" t="s">
        <v>206</v>
      </c>
      <c r="B178" s="12" t="s">
        <v>207</v>
      </c>
      <c r="C178" s="271" t="str">
        <f>'10thMAY'!E178</f>
        <v/>
      </c>
      <c r="D178" s="227">
        <v>3.0</v>
      </c>
      <c r="E178" s="247"/>
      <c r="F178" s="235" t="s">
        <v>17</v>
      </c>
      <c r="G178" s="235"/>
      <c r="H178" s="272">
        <f>'10thMAY'!J178</f>
        <v>3</v>
      </c>
      <c r="I178" s="281">
        <v>1.0</v>
      </c>
      <c r="J178" s="282">
        <v>19.0</v>
      </c>
      <c r="K178" s="283"/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74</v>
      </c>
      <c r="N178" s="191"/>
      <c r="O178" s="247"/>
    </row>
    <row r="179">
      <c r="A179" s="12" t="s">
        <v>209</v>
      </c>
      <c r="B179" s="12" t="s">
        <v>17</v>
      </c>
      <c r="C179" s="271" t="str">
        <f>'10thMAY'!E179</f>
        <v/>
      </c>
      <c r="D179" s="191"/>
      <c r="E179" s="247"/>
      <c r="F179" s="235" t="s">
        <v>17</v>
      </c>
      <c r="G179" s="235"/>
      <c r="H179" s="272" t="str">
        <f>'10thMAY'!J179</f>
        <v/>
      </c>
      <c r="I179" s="281">
        <v>1.0</v>
      </c>
      <c r="J179" s="284"/>
      <c r="K179" s="283"/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'10thMAY'!E180</f>
        <v/>
      </c>
      <c r="D180" s="227">
        <v>2.0</v>
      </c>
      <c r="E180" s="247"/>
      <c r="F180" s="235" t="s">
        <v>202</v>
      </c>
      <c r="G180" s="285"/>
      <c r="H180" s="272" t="str">
        <f>'10thMAY'!J180</f>
        <v/>
      </c>
      <c r="I180" s="281">
        <v>1.0</v>
      </c>
      <c r="J180" s="282"/>
      <c r="K180" s="283"/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2</v>
      </c>
      <c r="N180" s="191"/>
      <c r="O180" s="247"/>
    </row>
    <row r="181">
      <c r="A181" s="12" t="s">
        <v>211</v>
      </c>
      <c r="B181" s="12" t="s">
        <v>202</v>
      </c>
      <c r="C181" s="271" t="str">
        <f>'10thMAY'!E181</f>
        <v/>
      </c>
      <c r="D181" s="227">
        <v>1.0</v>
      </c>
      <c r="E181" s="247"/>
      <c r="F181" s="235" t="s">
        <v>202</v>
      </c>
      <c r="G181" s="235"/>
      <c r="H181" s="272" t="str">
        <f>'10thMAY'!J181</f>
        <v/>
      </c>
      <c r="I181" s="281">
        <v>1.0</v>
      </c>
      <c r="J181" s="282"/>
      <c r="K181" s="283"/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1</v>
      </c>
      <c r="N181" s="191"/>
      <c r="O181" s="247"/>
    </row>
    <row r="182">
      <c r="A182" s="12" t="s">
        <v>212</v>
      </c>
      <c r="B182" s="12" t="s">
        <v>202</v>
      </c>
      <c r="C182" s="271" t="str">
        <f>'10thMAY'!E182</f>
        <v/>
      </c>
      <c r="D182" s="191"/>
      <c r="E182" s="247"/>
      <c r="F182" s="235" t="s">
        <v>202</v>
      </c>
      <c r="G182" s="235"/>
      <c r="H182" s="272">
        <f>'10thMAY'!J182</f>
        <v>1</v>
      </c>
      <c r="I182" s="281">
        <v>1.0</v>
      </c>
      <c r="J182" s="282">
        <v>1.0</v>
      </c>
      <c r="K182" s="283"/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</v>
      </c>
      <c r="N182" s="191"/>
      <c r="O182" s="247"/>
    </row>
    <row r="183">
      <c r="A183" s="12" t="s">
        <v>213</v>
      </c>
      <c r="B183" s="12" t="s">
        <v>35</v>
      </c>
      <c r="C183" s="271" t="str">
        <f>'10thMAY'!E183</f>
        <v/>
      </c>
      <c r="D183" s="191"/>
      <c r="E183" s="247"/>
      <c r="F183" s="235" t="s">
        <v>35</v>
      </c>
      <c r="G183" s="235"/>
      <c r="H183" s="272" t="str">
        <f>'10thMAY'!J183</f>
        <v/>
      </c>
      <c r="I183" s="281">
        <v>1.0</v>
      </c>
      <c r="J183" s="284"/>
      <c r="K183" s="283"/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>
        <v>1.0</v>
      </c>
      <c r="D184" s="191"/>
      <c r="E184" s="280">
        <v>1.0</v>
      </c>
      <c r="F184" s="235" t="s">
        <v>35</v>
      </c>
      <c r="G184" s="285">
        <v>0.157</v>
      </c>
      <c r="H184" s="272" t="str">
        <f>'10thMAY'!J184</f>
        <v/>
      </c>
      <c r="I184" s="281">
        <v>1.0</v>
      </c>
      <c r="J184" s="282">
        <v>0.157</v>
      </c>
      <c r="K184" s="283"/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</v>
      </c>
      <c r="N184" s="191"/>
      <c r="O184" s="247"/>
    </row>
    <row r="185">
      <c r="A185" s="12" t="s">
        <v>215</v>
      </c>
      <c r="B185" s="12" t="s">
        <v>35</v>
      </c>
      <c r="C185" s="271" t="str">
        <f>'10thMAY'!E185</f>
        <v/>
      </c>
      <c r="D185" s="227">
        <v>1.5</v>
      </c>
      <c r="E185" s="247"/>
      <c r="F185" s="235" t="s">
        <v>35</v>
      </c>
      <c r="G185" s="235"/>
      <c r="H185" s="272" t="str">
        <f>'10thMAY'!J185</f>
        <v/>
      </c>
      <c r="I185" s="281">
        <v>1.0</v>
      </c>
      <c r="J185" s="284"/>
      <c r="K185" s="283"/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1.5</v>
      </c>
      <c r="N185" s="191"/>
      <c r="O185" s="247"/>
    </row>
    <row r="186">
      <c r="A186" s="12" t="s">
        <v>216</v>
      </c>
      <c r="B186" s="12" t="s">
        <v>17</v>
      </c>
      <c r="C186" s="271" t="str">
        <f>'10thMAY'!E186</f>
        <v/>
      </c>
      <c r="D186" s="191"/>
      <c r="E186" s="247"/>
      <c r="F186" s="235" t="s">
        <v>17</v>
      </c>
      <c r="G186" s="235"/>
      <c r="H186" s="272">
        <f>'10thMAY'!J186</f>
        <v>1.5</v>
      </c>
      <c r="I186" s="281">
        <v>1.0</v>
      </c>
      <c r="J186" s="282"/>
      <c r="K186" s="283"/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1.5</v>
      </c>
      <c r="N186" s="191"/>
      <c r="O186" s="247"/>
    </row>
    <row r="187">
      <c r="A187" s="12" t="s">
        <v>217</v>
      </c>
      <c r="B187" s="12" t="s">
        <v>35</v>
      </c>
      <c r="C187" s="271" t="str">
        <f>'10thMAY'!E187</f>
        <v/>
      </c>
      <c r="D187" s="227">
        <v>0.2</v>
      </c>
      <c r="E187" s="247"/>
      <c r="F187" s="235" t="s">
        <v>35</v>
      </c>
      <c r="G187" s="235"/>
      <c r="H187" s="272" t="str">
        <f>'10thMAY'!J187</f>
        <v/>
      </c>
      <c r="I187" s="281">
        <v>1.0</v>
      </c>
      <c r="J187" s="282">
        <v>0.1</v>
      </c>
      <c r="K187" s="283"/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0.1</v>
      </c>
      <c r="N187" s="191"/>
      <c r="O187" s="247"/>
    </row>
    <row r="188">
      <c r="A188" s="12" t="s">
        <v>218</v>
      </c>
      <c r="B188" s="12" t="s">
        <v>17</v>
      </c>
      <c r="C188" s="271" t="str">
        <f>'10thMAY'!E188</f>
        <v/>
      </c>
      <c r="D188" s="227">
        <v>2.0</v>
      </c>
      <c r="E188" s="247"/>
      <c r="F188" s="235" t="s">
        <v>17</v>
      </c>
      <c r="G188" s="235"/>
      <c r="H188" s="272">
        <f>'10thMAY'!J188</f>
        <v>3</v>
      </c>
      <c r="I188" s="281">
        <v>1.0</v>
      </c>
      <c r="J188" s="282">
        <v>3.0</v>
      </c>
      <c r="K188" s="283"/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2</v>
      </c>
      <c r="N188" s="191"/>
      <c r="O188" s="247"/>
    </row>
    <row r="189">
      <c r="A189" s="12" t="s">
        <v>220</v>
      </c>
      <c r="B189" s="12" t="s">
        <v>35</v>
      </c>
      <c r="C189" s="271" t="str">
        <f>'10thMAY'!E189</f>
        <v/>
      </c>
      <c r="D189" s="191"/>
      <c r="E189" s="247"/>
      <c r="F189" s="235" t="s">
        <v>35</v>
      </c>
      <c r="G189" s="235"/>
      <c r="H189" s="272" t="str">
        <f>'10thMAY'!J189</f>
        <v/>
      </c>
      <c r="I189" s="281">
        <v>1.0</v>
      </c>
      <c r="J189" s="284"/>
      <c r="K189" s="283"/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'10thMAY'!E190</f>
        <v/>
      </c>
      <c r="D190" s="227">
        <v>18.0</v>
      </c>
      <c r="E190" s="247"/>
      <c r="F190" s="235" t="s">
        <v>17</v>
      </c>
      <c r="G190" s="235"/>
      <c r="H190" s="272">
        <f>'10thMAY'!J190</f>
        <v>1</v>
      </c>
      <c r="I190" s="281">
        <v>1.0</v>
      </c>
      <c r="J190" s="282">
        <v>2.5</v>
      </c>
      <c r="K190" s="283"/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16.5</v>
      </c>
      <c r="N190" s="191"/>
      <c r="O190" s="247"/>
    </row>
    <row r="191">
      <c r="A191" s="12" t="s">
        <v>222</v>
      </c>
      <c r="B191" s="12" t="s">
        <v>17</v>
      </c>
      <c r="C191" s="271" t="str">
        <f>'10thMAY'!E191</f>
        <v/>
      </c>
      <c r="D191" s="191"/>
      <c r="E191" s="247"/>
      <c r="F191" s="235" t="s">
        <v>17</v>
      </c>
      <c r="G191" s="235"/>
      <c r="H191" s="272" t="str">
        <f>'10thMAY'!J191</f>
        <v/>
      </c>
      <c r="I191" s="281">
        <v>1.0</v>
      </c>
      <c r="J191" s="284"/>
      <c r="K191" s="283"/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'10thMAY'!E192</f>
        <v/>
      </c>
      <c r="D192" s="227">
        <v>8.0</v>
      </c>
      <c r="E192" s="247"/>
      <c r="F192" s="235" t="s">
        <v>17</v>
      </c>
      <c r="G192" s="235"/>
      <c r="H192" s="272" t="str">
        <f>'10thMAY'!J192</f>
        <v/>
      </c>
      <c r="I192" s="281">
        <v>1.0</v>
      </c>
      <c r="J192" s="282">
        <v>1.0</v>
      </c>
      <c r="K192" s="283"/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7</v>
      </c>
      <c r="N192" s="191"/>
      <c r="O192" s="247"/>
    </row>
    <row r="193">
      <c r="A193" s="12" t="s">
        <v>224</v>
      </c>
      <c r="B193" s="12" t="s">
        <v>202</v>
      </c>
      <c r="C193" s="271" t="str">
        <f>'10thMAY'!E193</f>
        <v/>
      </c>
      <c r="D193" s="227">
        <v>2.0</v>
      </c>
      <c r="E193" s="247"/>
      <c r="F193" s="235" t="s">
        <v>202</v>
      </c>
      <c r="G193" s="235"/>
      <c r="H193" s="272">
        <f>'10thMAY'!J193</f>
        <v>1</v>
      </c>
      <c r="I193" s="281">
        <v>1.0</v>
      </c>
      <c r="J193" s="282">
        <v>0.5</v>
      </c>
      <c r="K193" s="283"/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2.5</v>
      </c>
      <c r="N193" s="191"/>
      <c r="O193" s="247"/>
    </row>
    <row r="194">
      <c r="A194" s="12" t="s">
        <v>225</v>
      </c>
      <c r="B194" s="12" t="s">
        <v>35</v>
      </c>
      <c r="C194" s="271" t="str">
        <f>'10thMAY'!E194</f>
        <v/>
      </c>
      <c r="D194" s="191"/>
      <c r="E194" s="247"/>
      <c r="F194" s="235" t="s">
        <v>35</v>
      </c>
      <c r="G194" s="285">
        <v>1.0</v>
      </c>
      <c r="H194" s="272">
        <f>'10thMAY'!J194</f>
        <v>0.179</v>
      </c>
      <c r="I194" s="281">
        <v>1.0</v>
      </c>
      <c r="J194" s="282">
        <v>0.707</v>
      </c>
      <c r="K194" s="283"/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0.472</v>
      </c>
      <c r="N194" s="191"/>
      <c r="O194" s="247"/>
    </row>
    <row r="195">
      <c r="A195" s="12" t="s">
        <v>227</v>
      </c>
      <c r="B195" s="12" t="s">
        <v>35</v>
      </c>
      <c r="C195" s="271" t="str">
        <f>'10thMAY'!E195</f>
        <v/>
      </c>
      <c r="D195" s="227">
        <v>1.0</v>
      </c>
      <c r="E195" s="247"/>
      <c r="F195" s="235" t="s">
        <v>35</v>
      </c>
      <c r="G195" s="285"/>
      <c r="H195" s="272">
        <f>'10thMAY'!J195</f>
        <v>0.605</v>
      </c>
      <c r="I195" s="281">
        <v>1.0</v>
      </c>
      <c r="J195" s="282">
        <v>0.151</v>
      </c>
      <c r="K195" s="283"/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1.454</v>
      </c>
      <c r="N195" s="191"/>
      <c r="O195" s="247"/>
    </row>
    <row r="196">
      <c r="A196" s="12" t="s">
        <v>228</v>
      </c>
      <c r="B196" s="12" t="s">
        <v>155</v>
      </c>
      <c r="C196" s="271" t="str">
        <f>'10thMAY'!E196</f>
        <v/>
      </c>
      <c r="D196" s="227">
        <v>1.0</v>
      </c>
      <c r="E196" s="247"/>
      <c r="F196" s="235" t="s">
        <v>35</v>
      </c>
      <c r="G196" s="235"/>
      <c r="H196" s="272">
        <f>'10thMAY'!J196</f>
        <v>0.0249</v>
      </c>
      <c r="I196" s="281">
        <v>1.0</v>
      </c>
      <c r="J196" s="282">
        <v>0.028</v>
      </c>
      <c r="K196" s="283"/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0.4969</v>
      </c>
      <c r="N196" s="191"/>
      <c r="O196" s="247"/>
    </row>
    <row r="197">
      <c r="A197" s="12" t="s">
        <v>229</v>
      </c>
      <c r="B197" s="12" t="s">
        <v>17</v>
      </c>
      <c r="C197" s="271" t="str">
        <f>'10thMAY'!E197</f>
        <v/>
      </c>
      <c r="D197" s="227">
        <v>1.0</v>
      </c>
      <c r="E197" s="247"/>
      <c r="F197" s="235" t="s">
        <v>17</v>
      </c>
      <c r="G197" s="235"/>
      <c r="H197" s="272">
        <f>'10thMAY'!J197</f>
        <v>4</v>
      </c>
      <c r="I197" s="281">
        <v>1.0</v>
      </c>
      <c r="J197" s="282"/>
      <c r="K197" s="283"/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5</v>
      </c>
      <c r="N197" s="191"/>
      <c r="O197" s="247"/>
    </row>
    <row r="198">
      <c r="A198" s="12" t="s">
        <v>231</v>
      </c>
      <c r="B198" s="12" t="s">
        <v>35</v>
      </c>
      <c r="C198" s="271" t="str">
        <f>'10thMAY'!E198</f>
        <v/>
      </c>
      <c r="D198" s="227">
        <v>1.0</v>
      </c>
      <c r="E198" s="247"/>
      <c r="F198" s="235" t="s">
        <v>35</v>
      </c>
      <c r="G198" s="235"/>
      <c r="H198" s="272">
        <f>'10thMAY'!J198</f>
        <v>0.915</v>
      </c>
      <c r="I198" s="281">
        <v>1.0</v>
      </c>
      <c r="J198" s="282"/>
      <c r="K198" s="283"/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1.915</v>
      </c>
      <c r="N198" s="191"/>
      <c r="O198" s="247"/>
    </row>
    <row r="199">
      <c r="A199" s="12" t="s">
        <v>232</v>
      </c>
      <c r="B199" s="12" t="s">
        <v>202</v>
      </c>
      <c r="C199" s="271" t="str">
        <f>'10thMAY'!E199</f>
        <v/>
      </c>
      <c r="D199" s="227">
        <v>1.0</v>
      </c>
      <c r="E199" s="247"/>
      <c r="F199" s="235" t="s">
        <v>202</v>
      </c>
      <c r="G199" s="285"/>
      <c r="H199" s="272" t="str">
        <f>'10thMAY'!J199</f>
        <v/>
      </c>
      <c r="I199" s="281">
        <v>1.0</v>
      </c>
      <c r="J199" s="282">
        <v>0.5</v>
      </c>
      <c r="K199" s="283"/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0.5</v>
      </c>
      <c r="N199" s="191"/>
      <c r="O199" s="247"/>
    </row>
    <row r="200">
      <c r="A200" s="12" t="s">
        <v>233</v>
      </c>
      <c r="B200" s="12" t="s">
        <v>17</v>
      </c>
      <c r="C200" s="271" t="str">
        <f>'10thMAY'!E200</f>
        <v/>
      </c>
      <c r="D200" s="227">
        <v>2.0</v>
      </c>
      <c r="E200" s="280"/>
      <c r="F200" s="235" t="s">
        <v>234</v>
      </c>
      <c r="G200" s="285"/>
      <c r="H200" s="272">
        <f>'10thMAY'!J200</f>
        <v>2</v>
      </c>
      <c r="I200" s="281">
        <v>1.0</v>
      </c>
      <c r="J200" s="282">
        <v>1.5</v>
      </c>
      <c r="K200" s="283"/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2.5</v>
      </c>
      <c r="N200" s="191"/>
      <c r="O200" s="247"/>
    </row>
    <row r="201">
      <c r="A201" s="25" t="s">
        <v>235</v>
      </c>
      <c r="B201" s="26" t="s">
        <v>202</v>
      </c>
      <c r="C201" s="271" t="str">
        <f>'10thMAY'!E201</f>
        <v/>
      </c>
      <c r="D201" s="227"/>
      <c r="E201" s="247"/>
      <c r="F201" s="235" t="s">
        <v>202</v>
      </c>
      <c r="G201" s="235"/>
      <c r="H201" s="272">
        <f>'10thMAY'!J201</f>
        <v>1</v>
      </c>
      <c r="I201" s="281">
        <v>1.0</v>
      </c>
      <c r="J201" s="282">
        <v>0.5</v>
      </c>
      <c r="K201" s="283"/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0.5</v>
      </c>
      <c r="N201" s="191"/>
      <c r="O201" s="247"/>
    </row>
    <row r="202">
      <c r="A202" s="25" t="s">
        <v>236</v>
      </c>
      <c r="B202" s="26" t="s">
        <v>237</v>
      </c>
      <c r="C202" s="271" t="str">
        <f>'10thMAY'!E202</f>
        <v/>
      </c>
      <c r="D202" s="227">
        <v>1.0</v>
      </c>
      <c r="E202" s="247"/>
      <c r="F202" s="235" t="s">
        <v>35</v>
      </c>
      <c r="G202" s="235"/>
      <c r="H202" s="272" t="str">
        <f>'10thMAY'!J202</f>
        <v/>
      </c>
      <c r="I202" s="281">
        <v>1.0</v>
      </c>
      <c r="J202" s="282">
        <v>1.0</v>
      </c>
      <c r="K202" s="283"/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</v>
      </c>
      <c r="N202" s="191"/>
      <c r="O202" s="247"/>
    </row>
    <row r="203">
      <c r="A203" s="25" t="s">
        <v>238</v>
      </c>
      <c r="B203" s="26" t="s">
        <v>202</v>
      </c>
      <c r="C203" s="271" t="str">
        <f>'10thMAY'!E203</f>
        <v/>
      </c>
      <c r="D203" s="227"/>
      <c r="E203" s="247"/>
      <c r="F203" s="235" t="s">
        <v>202</v>
      </c>
      <c r="G203" s="235"/>
      <c r="H203" s="272">
        <f>'10thMAY'!J203</f>
        <v>1</v>
      </c>
      <c r="I203" s="281">
        <v>1.0</v>
      </c>
      <c r="J203" s="282"/>
      <c r="K203" s="283"/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1</v>
      </c>
      <c r="N203" s="191"/>
      <c r="O203" s="247"/>
    </row>
    <row r="204">
      <c r="A204" s="25" t="s">
        <v>239</v>
      </c>
      <c r="B204" s="26" t="s">
        <v>35</v>
      </c>
      <c r="C204" s="271" t="str">
        <f>'10thMAY'!E204</f>
        <v/>
      </c>
      <c r="D204" s="191"/>
      <c r="E204" s="247"/>
      <c r="F204" s="235" t="s">
        <v>35</v>
      </c>
      <c r="G204" s="235"/>
      <c r="H204" s="272" t="str">
        <f>'10thMAY'!J204</f>
        <v/>
      </c>
      <c r="I204" s="281">
        <v>1.0</v>
      </c>
      <c r="J204" s="284"/>
      <c r="K204" s="283"/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'10thMAY'!E205</f>
        <v/>
      </c>
      <c r="D205" s="227"/>
      <c r="E205" s="247"/>
      <c r="F205" s="235" t="s">
        <v>17</v>
      </c>
      <c r="G205" s="285">
        <v>6.0</v>
      </c>
      <c r="H205" s="272" t="str">
        <f>'10thMAY'!J205</f>
        <v/>
      </c>
      <c r="I205" s="281">
        <v>1.0</v>
      </c>
      <c r="J205" s="282">
        <v>3.0</v>
      </c>
      <c r="K205" s="283"/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3</v>
      </c>
      <c r="N205" s="191"/>
      <c r="O205" s="247"/>
    </row>
    <row r="206">
      <c r="A206" s="12" t="s">
        <v>242</v>
      </c>
      <c r="B206" s="12" t="s">
        <v>35</v>
      </c>
      <c r="C206" s="271" t="str">
        <f>'10thMAY'!E206</f>
        <v/>
      </c>
      <c r="D206" s="227">
        <v>200.0</v>
      </c>
      <c r="E206" s="247"/>
      <c r="F206" s="235" t="s">
        <v>35</v>
      </c>
      <c r="G206" s="235"/>
      <c r="H206" s="272">
        <f>'10thMAY'!J206</f>
        <v>80</v>
      </c>
      <c r="I206" s="281">
        <v>1.0</v>
      </c>
      <c r="J206" s="282">
        <v>90.0</v>
      </c>
      <c r="K206" s="283"/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190</v>
      </c>
      <c r="N206" s="191"/>
      <c r="O206" s="247"/>
    </row>
    <row r="207">
      <c r="A207" s="12" t="s">
        <v>243</v>
      </c>
      <c r="B207" s="12" t="s">
        <v>241</v>
      </c>
      <c r="C207" s="271" t="str">
        <f>'10thMAY'!E207</f>
        <v/>
      </c>
      <c r="D207" s="227">
        <v>27.0</v>
      </c>
      <c r="E207" s="280">
        <v>5.0</v>
      </c>
      <c r="F207" s="235" t="s">
        <v>17</v>
      </c>
      <c r="G207" s="285"/>
      <c r="H207" s="272" t="str">
        <f>'10thMAY'!J207</f>
        <v/>
      </c>
      <c r="I207" s="281">
        <v>1.0</v>
      </c>
      <c r="J207" s="282"/>
      <c r="K207" s="283"/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22</v>
      </c>
      <c r="N207" s="191"/>
      <c r="O207" s="247"/>
    </row>
    <row r="208">
      <c r="A208" s="10" t="s">
        <v>245</v>
      </c>
      <c r="B208" s="11"/>
      <c r="C208" s="271" t="str">
        <f>'10thMAY'!E208</f>
        <v/>
      </c>
      <c r="D208" s="191"/>
      <c r="E208" s="247"/>
      <c r="F208" s="235"/>
      <c r="G208" s="235"/>
      <c r="H208" s="272" t="str">
        <f>'10thMAY'!J208</f>
        <v/>
      </c>
      <c r="I208" s="281">
        <v>1.0</v>
      </c>
      <c r="J208" s="284"/>
      <c r="K208" s="283"/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'10thMAY'!E209</f>
        <v/>
      </c>
      <c r="D209" s="227"/>
      <c r="E209" s="247"/>
      <c r="F209" s="235" t="s">
        <v>155</v>
      </c>
      <c r="G209" s="285"/>
      <c r="H209" s="272" t="str">
        <f>'10thMAY'!J209</f>
        <v/>
      </c>
      <c r="I209" s="281">
        <v>1.0</v>
      </c>
      <c r="J209" s="282"/>
      <c r="K209" s="283"/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</v>
      </c>
      <c r="N209" s="191"/>
      <c r="O209" s="247"/>
    </row>
    <row r="210">
      <c r="A210" s="12" t="s">
        <v>247</v>
      </c>
      <c r="B210" s="13" t="s">
        <v>59</v>
      </c>
      <c r="C210" s="271" t="str">
        <f>'10thMAY'!E210</f>
        <v/>
      </c>
      <c r="D210" s="227">
        <v>2.0</v>
      </c>
      <c r="E210" s="280">
        <v>1.0</v>
      </c>
      <c r="F210" s="235" t="s">
        <v>35</v>
      </c>
      <c r="G210" s="235"/>
      <c r="H210" s="272" t="str">
        <f>'10thMAY'!J210</f>
        <v/>
      </c>
      <c r="I210" s="281">
        <v>1.0</v>
      </c>
      <c r="J210" s="282"/>
      <c r="K210" s="283"/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0.5</v>
      </c>
      <c r="N210" s="191"/>
      <c r="O210" s="247"/>
    </row>
    <row r="211">
      <c r="A211" s="12" t="s">
        <v>248</v>
      </c>
      <c r="B211" s="13" t="s">
        <v>59</v>
      </c>
      <c r="C211" s="271">
        <f>'10thMAY'!E211</f>
        <v>1</v>
      </c>
      <c r="D211" s="227">
        <v>3.0</v>
      </c>
      <c r="E211" s="280">
        <v>1.0</v>
      </c>
      <c r="F211" s="235" t="s">
        <v>35</v>
      </c>
      <c r="G211" s="235"/>
      <c r="H211" s="272" t="str">
        <f>'10thMAY'!J211</f>
        <v/>
      </c>
      <c r="I211" s="281">
        <v>1.0</v>
      </c>
      <c r="J211" s="284"/>
      <c r="K211" s="283"/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1.35</v>
      </c>
      <c r="N211" s="191"/>
      <c r="O211" s="247"/>
    </row>
    <row r="212">
      <c r="A212" s="12" t="s">
        <v>250</v>
      </c>
      <c r="B212" s="13" t="s">
        <v>59</v>
      </c>
      <c r="C212" s="271" t="str">
        <f>'10thMAY'!E212</f>
        <v/>
      </c>
      <c r="D212" s="191"/>
      <c r="E212" s="280"/>
      <c r="F212" s="235" t="s">
        <v>35</v>
      </c>
      <c r="G212" s="235"/>
      <c r="H212" s="272" t="str">
        <f>'10thMAY'!J212</f>
        <v/>
      </c>
      <c r="I212" s="281">
        <v>1.0</v>
      </c>
      <c r="J212" s="284"/>
      <c r="K212" s="283"/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</v>
      </c>
      <c r="N212" s="191"/>
      <c r="O212" s="247"/>
    </row>
    <row r="213">
      <c r="A213" s="12" t="s">
        <v>251</v>
      </c>
      <c r="B213" s="13" t="s">
        <v>34</v>
      </c>
      <c r="C213" s="271" t="str">
        <f>'10thMAY'!E213</f>
        <v/>
      </c>
      <c r="D213" s="191"/>
      <c r="E213" s="247"/>
      <c r="F213" s="235" t="s">
        <v>35</v>
      </c>
      <c r="G213" s="235"/>
      <c r="H213" s="272" t="str">
        <f>'10thMAY'!J213</f>
        <v/>
      </c>
      <c r="I213" s="281">
        <v>1.0</v>
      </c>
      <c r="J213" s="284"/>
      <c r="K213" s="283"/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'10thMAY'!E214</f>
        <v/>
      </c>
      <c r="D214" s="191"/>
      <c r="E214" s="247"/>
      <c r="F214" s="235"/>
      <c r="G214" s="235"/>
      <c r="H214" s="272" t="str">
        <f>'10thMAY'!J214</f>
        <v/>
      </c>
      <c r="I214" s="281">
        <v>1.0</v>
      </c>
      <c r="J214" s="284"/>
      <c r="K214" s="283"/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'10thMAY'!E215</f>
        <v/>
      </c>
      <c r="D215" s="191"/>
      <c r="E215" s="247"/>
      <c r="F215" s="235" t="s">
        <v>254</v>
      </c>
      <c r="G215" s="235"/>
      <c r="H215" s="272" t="str">
        <f>'10thMAY'!J215</f>
        <v/>
      </c>
      <c r="I215" s="281">
        <v>1.0</v>
      </c>
      <c r="J215" s="284"/>
      <c r="K215" s="283"/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'10thMAY'!E216</f>
        <v/>
      </c>
      <c r="D216" s="191"/>
      <c r="E216" s="247"/>
      <c r="F216" s="235" t="s">
        <v>234</v>
      </c>
      <c r="G216" s="235"/>
      <c r="H216" s="272" t="str">
        <f>'10thMAY'!J216</f>
        <v/>
      </c>
      <c r="I216" s="281">
        <v>1.0</v>
      </c>
      <c r="J216" s="284"/>
      <c r="K216" s="283"/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'10thMAY'!E217</f>
        <v/>
      </c>
      <c r="D217" s="227"/>
      <c r="E217" s="247"/>
      <c r="F217" s="235" t="s">
        <v>17</v>
      </c>
      <c r="G217" s="235"/>
      <c r="H217" s="272">
        <f>'10thMAY'!J217</f>
        <v>17</v>
      </c>
      <c r="I217" s="281">
        <v>1.0</v>
      </c>
      <c r="J217" s="282">
        <v>7.0</v>
      </c>
      <c r="K217" s="283"/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10</v>
      </c>
      <c r="N217" s="191"/>
      <c r="O217" s="247"/>
    </row>
    <row r="218">
      <c r="A218" s="12" t="s">
        <v>260</v>
      </c>
      <c r="B218" s="12" t="s">
        <v>261</v>
      </c>
      <c r="C218" s="271" t="str">
        <f>'10thMAY'!E218</f>
        <v/>
      </c>
      <c r="D218" s="191"/>
      <c r="E218" s="247"/>
      <c r="F218" s="235" t="s">
        <v>35</v>
      </c>
      <c r="G218" s="235"/>
      <c r="H218" s="272">
        <f>'10thMAY'!J218</f>
        <v>3.164</v>
      </c>
      <c r="I218" s="281">
        <v>1.0</v>
      </c>
      <c r="J218" s="282">
        <v>1.497</v>
      </c>
      <c r="K218" s="283"/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1.667</v>
      </c>
      <c r="N218" s="191"/>
      <c r="O218" s="247"/>
    </row>
    <row r="219">
      <c r="A219" s="12" t="s">
        <v>263</v>
      </c>
      <c r="B219" s="12" t="s">
        <v>17</v>
      </c>
      <c r="C219" s="271" t="str">
        <f>'10thMAY'!E219</f>
        <v/>
      </c>
      <c r="D219" s="227">
        <v>50.0</v>
      </c>
      <c r="E219" s="247"/>
      <c r="F219" s="235" t="s">
        <v>17</v>
      </c>
      <c r="G219" s="235"/>
      <c r="H219" s="272">
        <f>'10thMAY'!J219</f>
        <v>38</v>
      </c>
      <c r="I219" s="281">
        <v>1.0</v>
      </c>
      <c r="J219" s="282">
        <v>27.0</v>
      </c>
      <c r="K219" s="283"/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61</v>
      </c>
      <c r="N219" s="191"/>
      <c r="O219" s="247"/>
    </row>
    <row r="220">
      <c r="A220" s="12" t="s">
        <v>264</v>
      </c>
      <c r="B220" s="12" t="s">
        <v>261</v>
      </c>
      <c r="C220" s="271" t="str">
        <f>'10thMAY'!E220</f>
        <v/>
      </c>
      <c r="D220" s="191"/>
      <c r="E220" s="247"/>
      <c r="F220" s="235" t="s">
        <v>35</v>
      </c>
      <c r="G220" s="235"/>
      <c r="H220" s="272">
        <f>'10thMAY'!J220</f>
        <v>1.219</v>
      </c>
      <c r="I220" s="281">
        <v>1.0</v>
      </c>
      <c r="J220" s="282">
        <v>0.441</v>
      </c>
      <c r="K220" s="283"/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0.778</v>
      </c>
      <c r="N220" s="191"/>
      <c r="O220" s="247"/>
    </row>
    <row r="221">
      <c r="A221" s="12" t="s">
        <v>265</v>
      </c>
      <c r="B221" s="12" t="s">
        <v>40</v>
      </c>
      <c r="C221" s="271" t="str">
        <f>'10thMAY'!E221</f>
        <v/>
      </c>
      <c r="D221" s="227">
        <v>4.0</v>
      </c>
      <c r="E221" s="247"/>
      <c r="F221" s="235" t="s">
        <v>17</v>
      </c>
      <c r="G221" s="235"/>
      <c r="H221" s="272">
        <f>'10thMAY'!J221</f>
        <v>10</v>
      </c>
      <c r="I221" s="281">
        <v>1.0</v>
      </c>
      <c r="J221" s="282">
        <v>14.0</v>
      </c>
      <c r="K221" s="283"/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96</v>
      </c>
      <c r="N221" s="191"/>
      <c r="O221" s="247"/>
    </row>
    <row r="222">
      <c r="A222" s="12" t="s">
        <v>266</v>
      </c>
      <c r="B222" s="12" t="s">
        <v>267</v>
      </c>
      <c r="C222" s="271" t="str">
        <f>'10thMAY'!E222</f>
        <v/>
      </c>
      <c r="D222" s="227">
        <v>1.0</v>
      </c>
      <c r="E222" s="247"/>
      <c r="F222" s="235" t="s">
        <v>17</v>
      </c>
      <c r="G222" s="235"/>
      <c r="H222" s="272">
        <f>'10thMAY'!J222</f>
        <v>39</v>
      </c>
      <c r="I222" s="281">
        <v>1.0</v>
      </c>
      <c r="J222" s="282">
        <v>43.0</v>
      </c>
      <c r="K222" s="283"/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46</v>
      </c>
      <c r="N222" s="191"/>
      <c r="O222" s="247"/>
    </row>
    <row r="223">
      <c r="A223" s="12" t="s">
        <v>268</v>
      </c>
      <c r="B223" s="12" t="s">
        <v>40</v>
      </c>
      <c r="C223" s="271" t="str">
        <f>'10thMAY'!E223</f>
        <v/>
      </c>
      <c r="D223" s="227">
        <v>2.0</v>
      </c>
      <c r="E223" s="247"/>
      <c r="F223" s="235" t="s">
        <v>17</v>
      </c>
      <c r="G223" s="235"/>
      <c r="H223" s="272">
        <f>'10thMAY'!J223</f>
        <v>9</v>
      </c>
      <c r="I223" s="281">
        <v>1.0</v>
      </c>
      <c r="J223" s="282">
        <v>13.0</v>
      </c>
      <c r="K223" s="283"/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46</v>
      </c>
      <c r="N223" s="191"/>
      <c r="O223" s="247"/>
    </row>
    <row r="224">
      <c r="A224" s="12" t="s">
        <v>269</v>
      </c>
      <c r="B224" s="294" t="s">
        <v>40</v>
      </c>
      <c r="C224" s="271" t="str">
        <f>'10thMAY'!E224</f>
        <v/>
      </c>
      <c r="D224" s="227">
        <v>1.0</v>
      </c>
      <c r="E224" s="227">
        <v>1.0</v>
      </c>
      <c r="F224" s="191" t="s">
        <v>17</v>
      </c>
      <c r="G224" s="191"/>
      <c r="H224" s="272">
        <f>'10thMAY'!J224</f>
        <v>28</v>
      </c>
      <c r="I224" s="281">
        <v>1.0</v>
      </c>
      <c r="J224" s="227">
        <v>11.0</v>
      </c>
      <c r="K224" s="283"/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17</v>
      </c>
      <c r="N224" s="191"/>
      <c r="O224" s="247"/>
    </row>
    <row r="225">
      <c r="A225" s="12" t="s">
        <v>270</v>
      </c>
      <c r="B225" s="294" t="s">
        <v>40</v>
      </c>
      <c r="C225" s="271" t="str">
        <f>'10thMAY'!E225</f>
        <v/>
      </c>
      <c r="D225" s="191"/>
      <c r="E225" s="191"/>
      <c r="F225" s="191" t="s">
        <v>17</v>
      </c>
      <c r="G225" s="191"/>
      <c r="H225" s="272">
        <f>'10thMAY'!J225</f>
        <v>56</v>
      </c>
      <c r="I225" s="281">
        <v>1.0</v>
      </c>
      <c r="J225" s="227">
        <v>9.0</v>
      </c>
      <c r="K225" s="283"/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47</v>
      </c>
      <c r="N225" s="191"/>
      <c r="O225" s="247"/>
    </row>
    <row r="226">
      <c r="A226" s="12" t="s">
        <v>271</v>
      </c>
      <c r="B226" s="294" t="s">
        <v>40</v>
      </c>
      <c r="C226" s="271" t="str">
        <f>'10thMAY'!E226</f>
        <v/>
      </c>
      <c r="D226" s="227">
        <v>1.0</v>
      </c>
      <c r="E226" s="191"/>
      <c r="F226" s="191" t="s">
        <v>17</v>
      </c>
      <c r="G226" s="227">
        <v>46.0</v>
      </c>
      <c r="H226" s="272">
        <f>'10thMAY'!J226</f>
        <v>17</v>
      </c>
      <c r="I226" s="281">
        <v>1.0</v>
      </c>
      <c r="J226" s="227">
        <v>21.0</v>
      </c>
      <c r="K226" s="283"/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92</v>
      </c>
      <c r="N226" s="191"/>
      <c r="O226" s="247"/>
    </row>
    <row r="227">
      <c r="A227" s="12" t="s">
        <v>272</v>
      </c>
      <c r="B227" s="294" t="s">
        <v>40</v>
      </c>
      <c r="C227" s="271" t="str">
        <f>'10thMAY'!E227</f>
        <v/>
      </c>
      <c r="D227" s="297">
        <v>18.0</v>
      </c>
      <c r="E227" s="296"/>
      <c r="F227" s="296" t="s">
        <v>17</v>
      </c>
      <c r="G227" s="296"/>
      <c r="H227" s="272">
        <f>'10thMAY'!J227</f>
        <v>2</v>
      </c>
      <c r="I227" s="281">
        <v>1.0</v>
      </c>
      <c r="J227" s="297">
        <v>9.0</v>
      </c>
      <c r="K227" s="283"/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11</v>
      </c>
      <c r="N227" s="296"/>
      <c r="O227" s="299"/>
    </row>
    <row r="228">
      <c r="A228" s="23"/>
      <c r="B228" s="11"/>
      <c r="C228" s="271" t="str">
        <f>'10thMAY'!E228</f>
        <v/>
      </c>
      <c r="D228" s="11"/>
      <c r="E228" s="11"/>
      <c r="F228" s="11"/>
      <c r="G228" s="11"/>
      <c r="H228" s="272" t="str">
        <f>'10thMAY'!J228</f>
        <v/>
      </c>
      <c r="I228" s="28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'10thMAY'!E229</f>
        <v/>
      </c>
      <c r="D229" s="11"/>
      <c r="E229" s="11"/>
      <c r="F229" s="11"/>
      <c r="G229" s="11"/>
      <c r="H229" s="272" t="str">
        <f>'10thMAY'!J229</f>
        <v/>
      </c>
      <c r="I229" s="281"/>
      <c r="J229" s="11"/>
      <c r="K229" s="11"/>
      <c r="L229" s="11"/>
      <c r="M229" s="11"/>
      <c r="N229" s="11"/>
      <c r="O229" s="11"/>
    </row>
    <row r="230">
      <c r="A230" s="11"/>
      <c r="B230" s="11"/>
      <c r="C230" s="271" t="str">
        <f>'10thMAY'!E230</f>
        <v/>
      </c>
      <c r="D230" s="11"/>
      <c r="E230" s="11"/>
      <c r="F230" s="11"/>
      <c r="G230" s="11"/>
      <c r="H230" s="272" t="str">
        <f>'10thMAY'!J230</f>
        <v/>
      </c>
      <c r="I230" s="281"/>
      <c r="J230" s="11"/>
      <c r="K230" s="11"/>
      <c r="L230" s="11"/>
      <c r="M230" s="11"/>
      <c r="N230" s="11"/>
      <c r="O230" s="11"/>
    </row>
    <row r="231">
      <c r="A231" s="11"/>
      <c r="B231" s="11"/>
      <c r="C231" s="271" t="str">
        <f>'10thMAY'!E231</f>
        <v/>
      </c>
      <c r="D231" s="11"/>
      <c r="E231" s="11"/>
      <c r="F231" s="11"/>
      <c r="G231" s="11"/>
      <c r="H231" s="272" t="str">
        <f>'10thMAY'!J231</f>
        <v/>
      </c>
      <c r="I231" s="281"/>
      <c r="J231" s="11"/>
      <c r="K231" s="11"/>
      <c r="L231" s="11"/>
      <c r="M231" s="11"/>
      <c r="N231" s="11"/>
      <c r="O231" s="11"/>
    </row>
    <row r="232">
      <c r="A232" s="11"/>
      <c r="B232" s="11"/>
      <c r="C232" s="271" t="str">
        <f>'10thMAY'!E232</f>
        <v/>
      </c>
      <c r="D232" s="11"/>
      <c r="E232" s="11"/>
      <c r="F232" s="11"/>
      <c r="G232" s="11"/>
      <c r="H232" s="272" t="str">
        <f>'10thMAY'!J232</f>
        <v/>
      </c>
      <c r="I232" s="281"/>
      <c r="J232" s="11"/>
      <c r="K232" s="11"/>
      <c r="L232" s="11"/>
      <c r="M232" s="11"/>
      <c r="N232" s="11"/>
      <c r="O232" s="11"/>
    </row>
    <row r="233">
      <c r="A233" s="11"/>
      <c r="B233" s="11"/>
      <c r="C233" s="271" t="str">
        <f>'10thMAY'!E233</f>
        <v/>
      </c>
      <c r="D233" s="11"/>
      <c r="E233" s="11"/>
      <c r="F233" s="11"/>
      <c r="G233" s="11"/>
      <c r="H233" s="272" t="str">
        <f>'10thMAY'!J233</f>
        <v/>
      </c>
      <c r="I233" s="281"/>
      <c r="J233" s="11"/>
      <c r="K233" s="11"/>
      <c r="L233" s="11"/>
      <c r="M233" s="11"/>
      <c r="N233" s="11"/>
      <c r="O233" s="11"/>
    </row>
    <row r="234">
      <c r="A234" s="11"/>
      <c r="B234" s="11"/>
      <c r="C234" s="271" t="str">
        <f>'10thMAY'!E234</f>
        <v/>
      </c>
      <c r="D234" s="11"/>
      <c r="E234" s="11"/>
      <c r="F234" s="11"/>
      <c r="G234" s="11"/>
      <c r="H234" s="272" t="str">
        <f>'10thMAY'!J234</f>
        <v/>
      </c>
      <c r="I234" s="281"/>
      <c r="J234" s="11"/>
      <c r="K234" s="11"/>
      <c r="L234" s="11"/>
      <c r="M234" s="11"/>
      <c r="N234" s="11"/>
      <c r="O234" s="11"/>
    </row>
    <row r="235">
      <c r="A235" s="11"/>
      <c r="B235" s="11"/>
      <c r="C235" s="271" t="str">
        <f>'10thMAY'!E235</f>
        <v/>
      </c>
      <c r="D235" s="11"/>
      <c r="E235" s="11"/>
      <c r="F235" s="11"/>
      <c r="G235" s="11"/>
      <c r="H235" s="272" t="str">
        <f>'10thMAY'!J235</f>
        <v/>
      </c>
      <c r="I235" s="281"/>
      <c r="J235" s="11"/>
      <c r="K235" s="11"/>
      <c r="L235" s="11"/>
      <c r="M235" s="11"/>
      <c r="N235" s="11"/>
      <c r="O235" s="11"/>
    </row>
    <row r="236">
      <c r="A236" s="11"/>
      <c r="B236" s="11"/>
      <c r="C236" s="271" t="str">
        <f>'10thMAY'!E236</f>
        <v/>
      </c>
      <c r="D236" s="11"/>
      <c r="E236" s="11"/>
      <c r="F236" s="11"/>
      <c r="G236" s="11"/>
      <c r="H236" s="272" t="str">
        <f>'10thMAY'!J236</f>
        <v/>
      </c>
      <c r="I236" s="281"/>
      <c r="J236" s="11"/>
      <c r="K236" s="11"/>
      <c r="L236" s="11"/>
      <c r="M236" s="11"/>
      <c r="N236" s="11"/>
      <c r="O236" s="11"/>
    </row>
    <row r="237">
      <c r="A237" s="11"/>
      <c r="B237" s="11"/>
      <c r="C237" s="271" t="str">
        <f>'10thMAY'!E237</f>
        <v/>
      </c>
      <c r="D237" s="11"/>
      <c r="E237" s="11"/>
      <c r="F237" s="11"/>
      <c r="G237" s="11"/>
      <c r="H237" s="272" t="str">
        <f>'10thMAY'!J237</f>
        <v/>
      </c>
      <c r="I237" s="281"/>
      <c r="J237" s="11"/>
      <c r="K237" s="11"/>
      <c r="L237" s="11"/>
      <c r="M237" s="11"/>
      <c r="N237" s="11"/>
      <c r="O237" s="11"/>
    </row>
    <row r="238">
      <c r="A238" s="11"/>
      <c r="B238" s="11"/>
      <c r="C238" s="271" t="str">
        <f>'10thMAY'!E238</f>
        <v/>
      </c>
      <c r="D238" s="11"/>
      <c r="E238" s="11"/>
      <c r="F238" s="11"/>
      <c r="G238" s="11"/>
      <c r="H238" s="272" t="str">
        <f>'10thMAY'!J238</f>
        <v/>
      </c>
      <c r="I238" s="281"/>
      <c r="J238" s="11"/>
      <c r="K238" s="11"/>
      <c r="L238" s="11"/>
      <c r="M238" s="11"/>
      <c r="N238" s="11"/>
      <c r="O238" s="11"/>
    </row>
    <row r="239">
      <c r="A239" s="11"/>
      <c r="B239" s="11"/>
      <c r="C239" s="271" t="str">
        <f>'10thMAY'!E239</f>
        <v/>
      </c>
      <c r="D239" s="11"/>
      <c r="E239" s="11"/>
      <c r="F239" s="11"/>
      <c r="G239" s="11"/>
      <c r="H239" s="272" t="str">
        <f>'10thMAY'!J239</f>
        <v/>
      </c>
      <c r="I239" s="281"/>
      <c r="J239" s="11"/>
      <c r="K239" s="11"/>
      <c r="L239" s="11"/>
      <c r="M239" s="11"/>
      <c r="N239" s="11"/>
      <c r="O239" s="11"/>
    </row>
    <row r="240">
      <c r="A240" s="11"/>
      <c r="B240" s="11"/>
      <c r="C240" s="271" t="str">
        <f>'10thMAY'!E240</f>
        <v/>
      </c>
      <c r="D240" s="11"/>
      <c r="E240" s="11"/>
      <c r="F240" s="11"/>
      <c r="G240" s="11"/>
      <c r="H240" s="272" t="str">
        <f>'10thMAY'!J240</f>
        <v/>
      </c>
      <c r="I240" s="281"/>
      <c r="J240" s="11"/>
      <c r="K240" s="11"/>
      <c r="L240" s="11"/>
      <c r="M240" s="11"/>
      <c r="N240" s="11"/>
      <c r="O240" s="11"/>
    </row>
    <row r="241">
      <c r="A241" s="11"/>
      <c r="B241" s="11"/>
      <c r="C241" s="271" t="str">
        <f>'10thMAY'!E241</f>
        <v/>
      </c>
      <c r="D241" s="11"/>
      <c r="E241" s="11"/>
      <c r="F241" s="11"/>
      <c r="G241" s="11"/>
      <c r="H241" s="272" t="str">
        <f>'10thMAY'!J241</f>
        <v/>
      </c>
      <c r="I241" s="281"/>
      <c r="J241" s="11"/>
      <c r="K241" s="11"/>
      <c r="L241" s="11"/>
      <c r="M241" s="11"/>
      <c r="N241" s="11"/>
      <c r="O241" s="11"/>
    </row>
    <row r="242">
      <c r="A242" s="11"/>
      <c r="B242" s="11"/>
      <c r="C242" s="271" t="str">
        <f>'10thMAY'!E242</f>
        <v/>
      </c>
      <c r="D242" s="11"/>
      <c r="E242" s="11"/>
      <c r="F242" s="11"/>
      <c r="G242" s="11"/>
      <c r="H242" s="272" t="str">
        <f>'10thMAY'!J242</f>
        <v/>
      </c>
      <c r="I242" s="281"/>
      <c r="J242" s="11"/>
      <c r="K242" s="11"/>
      <c r="L242" s="11"/>
      <c r="M242" s="11"/>
      <c r="N242" s="11"/>
      <c r="O242" s="11"/>
    </row>
    <row r="243">
      <c r="A243" s="11"/>
      <c r="B243" s="11"/>
      <c r="C243" s="271" t="str">
        <f>'10thMAY'!E243</f>
        <v/>
      </c>
      <c r="D243" s="11"/>
      <c r="E243" s="11"/>
      <c r="F243" s="11"/>
      <c r="G243" s="11"/>
      <c r="H243" s="272" t="str">
        <f>'10thMAY'!J243</f>
        <v/>
      </c>
      <c r="I243" s="281"/>
      <c r="J243" s="11"/>
      <c r="K243" s="11"/>
      <c r="L243" s="11"/>
      <c r="M243" s="11"/>
      <c r="N243" s="11"/>
      <c r="O243" s="11"/>
    </row>
    <row r="244">
      <c r="A244" s="11"/>
      <c r="B244" s="11"/>
      <c r="C244" s="271" t="str">
        <f>'10thMAY'!E244</f>
        <v/>
      </c>
      <c r="D244" s="11"/>
      <c r="E244" s="11"/>
      <c r="F244" s="11"/>
      <c r="G244" s="11"/>
      <c r="H244" s="272" t="str">
        <f>'10thMAY'!J244</f>
        <v/>
      </c>
      <c r="I244" s="281"/>
      <c r="J244" s="11"/>
      <c r="K244" s="11"/>
      <c r="L244" s="11"/>
      <c r="M244" s="11"/>
      <c r="N244" s="11"/>
      <c r="O244" s="11"/>
    </row>
    <row r="245">
      <c r="A245" s="11"/>
      <c r="B245" s="11"/>
      <c r="C245" s="271" t="str">
        <f>'10thMAY'!E245</f>
        <v/>
      </c>
      <c r="D245" s="11"/>
      <c r="E245" s="11"/>
      <c r="F245" s="11"/>
      <c r="G245" s="11"/>
      <c r="H245" s="272" t="str">
        <f>'10thMAY'!J245</f>
        <v/>
      </c>
      <c r="I245" s="281"/>
      <c r="J245" s="11"/>
      <c r="K245" s="11"/>
      <c r="L245" s="11"/>
      <c r="M245" s="11"/>
      <c r="N245" s="11"/>
      <c r="O245" s="11"/>
    </row>
    <row r="246">
      <c r="A246" s="11"/>
      <c r="B246" s="11"/>
      <c r="C246" s="271" t="str">
        <f>'10thMAY'!E246</f>
        <v/>
      </c>
      <c r="D246" s="11"/>
      <c r="E246" s="11"/>
      <c r="F246" s="11"/>
      <c r="G246" s="11"/>
      <c r="H246" s="272" t="str">
        <f>'10thMAY'!J246</f>
        <v/>
      </c>
      <c r="I246" s="281"/>
      <c r="J246" s="11"/>
      <c r="K246" s="11"/>
      <c r="L246" s="11"/>
      <c r="M246" s="11"/>
      <c r="N246" s="11"/>
      <c r="O246" s="11"/>
    </row>
    <row r="247">
      <c r="A247" s="11"/>
      <c r="B247" s="11"/>
      <c r="C247" s="271" t="str">
        <f>'10thMAY'!E247</f>
        <v/>
      </c>
      <c r="D247" s="11"/>
      <c r="E247" s="11"/>
      <c r="F247" s="11"/>
      <c r="G247" s="11"/>
      <c r="H247" s="272" t="str">
        <f>'10thMAY'!J247</f>
        <v/>
      </c>
      <c r="I247" s="281"/>
      <c r="J247" s="11"/>
      <c r="K247" s="11"/>
      <c r="L247" s="11"/>
      <c r="M247" s="11"/>
      <c r="N247" s="11"/>
      <c r="O247" s="11"/>
    </row>
    <row r="248">
      <c r="A248" s="11"/>
      <c r="B248" s="11"/>
      <c r="C248" s="271" t="str">
        <f>'10thMAY'!E248</f>
        <v/>
      </c>
      <c r="D248" s="11"/>
      <c r="E248" s="11"/>
      <c r="F248" s="11"/>
      <c r="G248" s="11"/>
      <c r="H248" s="272" t="str">
        <f>'10thMAY'!J248</f>
        <v/>
      </c>
      <c r="I248" s="281"/>
      <c r="J248" s="11"/>
      <c r="K248" s="11"/>
      <c r="L248" s="11"/>
      <c r="M248" s="11"/>
      <c r="N248" s="11"/>
      <c r="O248" s="11"/>
    </row>
    <row r="249">
      <c r="A249" s="11"/>
      <c r="B249" s="11"/>
      <c r="C249" s="271" t="str">
        <f>'10thMAY'!E249</f>
        <v/>
      </c>
      <c r="D249" s="11"/>
      <c r="E249" s="11"/>
      <c r="F249" s="11"/>
      <c r="G249" s="11"/>
      <c r="H249" s="272" t="str">
        <f>'10thMAY'!J249</f>
        <v/>
      </c>
      <c r="I249" s="281"/>
      <c r="J249" s="11"/>
      <c r="K249" s="11"/>
      <c r="L249" s="11"/>
      <c r="M249" s="11"/>
      <c r="N249" s="11"/>
      <c r="O249" s="11"/>
    </row>
    <row r="250">
      <c r="A250" s="11"/>
      <c r="B250" s="11"/>
      <c r="C250" s="271" t="str">
        <f>'10thMAY'!E250</f>
        <v/>
      </c>
      <c r="D250" s="11"/>
      <c r="E250" s="11"/>
      <c r="F250" s="11"/>
      <c r="G250" s="11"/>
      <c r="H250" s="272" t="str">
        <f>'10thMAY'!J250</f>
        <v/>
      </c>
      <c r="I250" s="281"/>
      <c r="J250" s="11"/>
      <c r="K250" s="11"/>
      <c r="L250" s="11"/>
      <c r="M250" s="11"/>
      <c r="N250" s="11"/>
      <c r="O250" s="11"/>
    </row>
    <row r="251">
      <c r="A251" s="11"/>
      <c r="B251" s="11"/>
      <c r="C251" s="271" t="str">
        <f>'10thMAY'!E251</f>
        <v/>
      </c>
      <c r="D251" s="11"/>
      <c r="E251" s="11"/>
      <c r="F251" s="11"/>
      <c r="G251" s="11"/>
      <c r="H251" s="272" t="str">
        <f>'10thMAY'!J251</f>
        <v/>
      </c>
      <c r="I251" s="281"/>
      <c r="J251" s="11"/>
      <c r="K251" s="11"/>
      <c r="L251" s="11"/>
      <c r="M251" s="11"/>
      <c r="N251" s="11"/>
      <c r="O251" s="11"/>
    </row>
    <row r="252">
      <c r="A252" s="11"/>
      <c r="B252" s="11"/>
      <c r="C252" s="271" t="str">
        <f>'10thMAY'!E252</f>
        <v/>
      </c>
      <c r="D252" s="11"/>
      <c r="E252" s="11"/>
      <c r="F252" s="11"/>
      <c r="G252" s="11"/>
      <c r="H252" s="272" t="str">
        <f>'10thMAY'!J252</f>
        <v/>
      </c>
      <c r="I252" s="281"/>
      <c r="J252" s="11"/>
      <c r="K252" s="11"/>
      <c r="L252" s="11"/>
      <c r="M252" s="11"/>
      <c r="N252" s="11"/>
      <c r="O252" s="11"/>
    </row>
    <row r="253">
      <c r="A253" s="11"/>
      <c r="B253" s="11"/>
      <c r="C253" s="271" t="str">
        <f>'10thMAY'!E253</f>
        <v/>
      </c>
      <c r="D253" s="11"/>
      <c r="E253" s="11"/>
      <c r="F253" s="11"/>
      <c r="G253" s="11"/>
      <c r="H253" s="272" t="str">
        <f>'10thMAY'!J253</f>
        <v/>
      </c>
      <c r="I253" s="281"/>
      <c r="J253" s="11"/>
      <c r="K253" s="11"/>
      <c r="L253" s="11"/>
      <c r="M253" s="11"/>
      <c r="N253" s="11"/>
      <c r="O253" s="11"/>
    </row>
    <row r="254">
      <c r="A254" s="11"/>
      <c r="B254" s="11"/>
      <c r="C254" s="271" t="str">
        <f>'10thMAY'!E254</f>
        <v/>
      </c>
      <c r="D254" s="11"/>
      <c r="E254" s="11"/>
      <c r="F254" s="11"/>
      <c r="G254" s="11"/>
      <c r="H254" s="272" t="str">
        <f>'10thMAY'!J254</f>
        <v/>
      </c>
      <c r="I254" s="281"/>
      <c r="J254" s="11"/>
      <c r="K254" s="11"/>
      <c r="L254" s="11"/>
      <c r="M254" s="11"/>
      <c r="N254" s="11"/>
      <c r="O254" s="11"/>
    </row>
    <row r="255">
      <c r="A255" s="11"/>
      <c r="B255" s="11"/>
      <c r="C255" s="271" t="str">
        <f>'10thMAY'!E255</f>
        <v/>
      </c>
      <c r="D255" s="11"/>
      <c r="E255" s="11"/>
      <c r="F255" s="11"/>
      <c r="G255" s="11"/>
      <c r="H255" s="272" t="str">
        <f>'10thMAY'!J255</f>
        <v/>
      </c>
      <c r="I255" s="281"/>
      <c r="J255" s="11"/>
      <c r="K255" s="11"/>
      <c r="L255" s="11"/>
      <c r="M255" s="11"/>
      <c r="N255" s="11"/>
      <c r="O255" s="11"/>
    </row>
    <row r="256">
      <c r="A256" s="11"/>
      <c r="B256" s="11"/>
      <c r="C256" s="271" t="str">
        <f>'10thMAY'!E256</f>
        <v/>
      </c>
      <c r="D256" s="11"/>
      <c r="E256" s="11"/>
      <c r="F256" s="11"/>
      <c r="G256" s="11"/>
      <c r="H256" s="272" t="str">
        <f>'10thMAY'!J256</f>
        <v/>
      </c>
      <c r="I256" s="281"/>
      <c r="J256" s="11"/>
      <c r="K256" s="11"/>
      <c r="L256" s="11"/>
      <c r="M256" s="11"/>
      <c r="N256" s="11"/>
      <c r="O256" s="11"/>
    </row>
    <row r="257">
      <c r="A257" s="11"/>
      <c r="B257" s="11"/>
      <c r="C257" s="271" t="str">
        <f>'10thMAY'!E257</f>
        <v/>
      </c>
      <c r="D257" s="11"/>
      <c r="E257" s="11"/>
      <c r="F257" s="11"/>
      <c r="G257" s="11"/>
      <c r="H257" s="272" t="str">
        <f>'10thMAY'!J257</f>
        <v/>
      </c>
      <c r="I257" s="28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272" t="str">
        <f>'10thMAY'!J258</f>
        <v/>
      </c>
      <c r="I258" s="28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272" t="str">
        <f>'10thMAY'!J259</f>
        <v/>
      </c>
      <c r="I259" s="28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272" t="str">
        <f>'10thMAY'!J260</f>
        <v/>
      </c>
      <c r="I260" s="28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272" t="str">
        <f>'10thMAY'!J261</f>
        <v/>
      </c>
      <c r="I261" s="28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272" t="str">
        <f>'10thMAY'!J262</f>
        <v/>
      </c>
      <c r="I262" s="28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272" t="str">
        <f>'10thMAY'!J263</f>
        <v/>
      </c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272" t="str">
        <f>'10thMAY'!J264</f>
        <v/>
      </c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11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11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11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11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11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11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11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11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11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11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11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11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11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11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11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11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11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11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11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11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11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11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11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11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11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11"/>
      <c r="B292" s="235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11"/>
      <c r="B293" s="235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11"/>
      <c r="B294" s="235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11"/>
      <c r="B295" s="235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11"/>
      <c r="B296" s="235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11"/>
      <c r="B297" s="235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11"/>
      <c r="B298" s="235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11"/>
      <c r="B299" s="235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11"/>
      <c r="B300" s="235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11"/>
      <c r="B301" s="235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11"/>
      <c r="B302" s="235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11"/>
      <c r="B303" s="235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11"/>
      <c r="B304" s="235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11"/>
      <c r="B305" s="235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11"/>
      <c r="B306" s="235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11"/>
      <c r="B307" s="235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11"/>
      <c r="B308" s="235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11"/>
      <c r="B309" s="235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11"/>
      <c r="B310" s="235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11"/>
      <c r="B311" s="235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11"/>
      <c r="B312" s="235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11"/>
      <c r="B313" s="235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11"/>
      <c r="B314" s="235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11"/>
      <c r="B315" s="235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11"/>
      <c r="B316" s="235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11"/>
      <c r="B317" s="235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11"/>
      <c r="B318" s="235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11"/>
      <c r="B319" s="235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11"/>
      <c r="B320" s="235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11"/>
      <c r="B321" s="235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11"/>
      <c r="B322" s="235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11"/>
      <c r="B323" s="235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11"/>
      <c r="B324" s="235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11"/>
      <c r="B325" s="235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11"/>
      <c r="B326" s="235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11"/>
      <c r="B327" s="235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11"/>
      <c r="B328" s="235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11"/>
      <c r="B329" s="235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11"/>
      <c r="B330" s="235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11"/>
      <c r="B331" s="235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11"/>
      <c r="B332" s="235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11"/>
      <c r="B333" s="235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11"/>
      <c r="B334" s="235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11"/>
      <c r="B335" s="235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11"/>
      <c r="B336" s="235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A337" s="300"/>
    </row>
    <row r="338">
      <c r="A338" s="300"/>
    </row>
    <row r="339">
      <c r="A339" s="300"/>
    </row>
    <row r="340">
      <c r="A340" s="300"/>
    </row>
    <row r="341">
      <c r="A341" s="300"/>
    </row>
    <row r="342">
      <c r="A342" s="300"/>
    </row>
    <row r="343">
      <c r="A343" s="300"/>
    </row>
    <row r="344">
      <c r="A344" s="300"/>
    </row>
    <row r="345">
      <c r="A345" s="300"/>
    </row>
    <row r="346">
      <c r="A346" s="300"/>
    </row>
    <row r="347">
      <c r="A347" s="300"/>
    </row>
    <row r="348">
      <c r="A348" s="300"/>
    </row>
    <row r="349">
      <c r="A349" s="300"/>
    </row>
    <row r="350">
      <c r="A350" s="300"/>
    </row>
    <row r="351">
      <c r="A351" s="300"/>
    </row>
    <row r="352">
      <c r="A352" s="300"/>
    </row>
    <row r="353">
      <c r="A353" s="300"/>
    </row>
    <row r="354">
      <c r="A354" s="300"/>
    </row>
    <row r="355">
      <c r="A355" s="300"/>
    </row>
    <row r="356">
      <c r="A356" s="300"/>
    </row>
    <row r="357">
      <c r="A357" s="300"/>
    </row>
    <row r="358">
      <c r="A358" s="300"/>
    </row>
    <row r="359">
      <c r="A359" s="300"/>
    </row>
    <row r="360">
      <c r="A360" s="300"/>
    </row>
    <row r="361">
      <c r="A361" s="300"/>
    </row>
    <row r="362">
      <c r="A362" s="300"/>
    </row>
    <row r="363">
      <c r="A363" s="300"/>
    </row>
    <row r="364">
      <c r="A364" s="300"/>
    </row>
    <row r="365">
      <c r="A365" s="300"/>
    </row>
    <row r="366">
      <c r="A366" s="300"/>
    </row>
    <row r="367">
      <c r="A367" s="300"/>
    </row>
    <row r="368">
      <c r="A368" s="300"/>
    </row>
    <row r="369">
      <c r="A369" s="300"/>
    </row>
    <row r="370">
      <c r="A370" s="300"/>
    </row>
    <row r="371">
      <c r="A371" s="300"/>
    </row>
    <row r="372">
      <c r="A372" s="300"/>
    </row>
    <row r="373">
      <c r="A373" s="300"/>
    </row>
    <row r="374">
      <c r="A374" s="300"/>
    </row>
    <row r="375">
      <c r="A375" s="300"/>
    </row>
    <row r="376">
      <c r="A376" s="300"/>
    </row>
    <row r="377">
      <c r="A377" s="300"/>
    </row>
    <row r="378">
      <c r="A378" s="300"/>
    </row>
    <row r="379">
      <c r="A379" s="300"/>
    </row>
    <row r="380">
      <c r="A380" s="300"/>
    </row>
    <row r="381">
      <c r="A381" s="300"/>
    </row>
    <row r="382">
      <c r="A382" s="300"/>
    </row>
    <row r="383">
      <c r="A383" s="300"/>
    </row>
    <row r="384">
      <c r="A384" s="300"/>
    </row>
    <row r="385">
      <c r="A385" s="300"/>
    </row>
    <row r="386">
      <c r="A386" s="300"/>
    </row>
    <row r="387">
      <c r="A387" s="300"/>
    </row>
    <row r="388">
      <c r="A388" s="300"/>
    </row>
    <row r="389">
      <c r="A389" s="300"/>
    </row>
    <row r="390">
      <c r="A390" s="300"/>
    </row>
    <row r="391">
      <c r="A391" s="300"/>
    </row>
    <row r="392">
      <c r="A392" s="300"/>
    </row>
    <row r="393">
      <c r="A393" s="300"/>
    </row>
    <row r="394">
      <c r="A394" s="300"/>
    </row>
    <row r="395">
      <c r="A395" s="300"/>
    </row>
    <row r="396">
      <c r="A396" s="300"/>
    </row>
    <row r="397">
      <c r="A397" s="300"/>
    </row>
    <row r="398">
      <c r="A398" s="300"/>
    </row>
    <row r="399">
      <c r="A399" s="300"/>
    </row>
    <row r="400">
      <c r="A400" s="300"/>
    </row>
    <row r="401">
      <c r="A401" s="300"/>
    </row>
    <row r="402">
      <c r="A402" s="300"/>
    </row>
    <row r="403">
      <c r="A403" s="300"/>
    </row>
    <row r="404">
      <c r="A404" s="300"/>
    </row>
    <row r="405">
      <c r="A405" s="300"/>
    </row>
    <row r="406">
      <c r="A406" s="300"/>
    </row>
    <row r="407">
      <c r="A407" s="300"/>
    </row>
    <row r="408">
      <c r="A408" s="300"/>
    </row>
    <row r="409">
      <c r="A409" s="300"/>
    </row>
    <row r="410">
      <c r="A410" s="300"/>
    </row>
    <row r="411">
      <c r="A411" s="300"/>
    </row>
    <row r="412">
      <c r="A412" s="300"/>
    </row>
    <row r="413">
      <c r="A413" s="300"/>
    </row>
    <row r="414">
      <c r="A414" s="300"/>
    </row>
    <row r="415">
      <c r="A415" s="300"/>
    </row>
    <row r="416">
      <c r="A416" s="300"/>
    </row>
    <row r="417">
      <c r="A417" s="300"/>
    </row>
    <row r="418">
      <c r="A418" s="300"/>
    </row>
    <row r="419">
      <c r="A419" s="300"/>
    </row>
    <row r="420">
      <c r="A420" s="300"/>
    </row>
    <row r="421">
      <c r="A421" s="300"/>
    </row>
    <row r="422">
      <c r="A422" s="300"/>
    </row>
    <row r="423">
      <c r="A423" s="300"/>
    </row>
    <row r="424">
      <c r="A424" s="300"/>
    </row>
    <row r="425">
      <c r="A425" s="300"/>
    </row>
    <row r="426">
      <c r="A426" s="300"/>
    </row>
    <row r="427">
      <c r="A427" s="300"/>
    </row>
    <row r="428">
      <c r="A428" s="300"/>
    </row>
    <row r="429">
      <c r="A429" s="300"/>
    </row>
    <row r="430">
      <c r="A430" s="300"/>
    </row>
    <row r="431">
      <c r="A431" s="300"/>
    </row>
    <row r="432">
      <c r="A432" s="300"/>
    </row>
    <row r="433">
      <c r="A433" s="300"/>
    </row>
    <row r="434">
      <c r="A434" s="300"/>
    </row>
    <row r="435">
      <c r="A435" s="300"/>
    </row>
    <row r="436">
      <c r="A436" s="300"/>
    </row>
    <row r="437">
      <c r="A437" s="300"/>
    </row>
    <row r="438">
      <c r="A438" s="300"/>
    </row>
    <row r="439">
      <c r="A439" s="300"/>
    </row>
    <row r="440">
      <c r="A440" s="300"/>
    </row>
    <row r="441">
      <c r="A441" s="300"/>
    </row>
    <row r="442">
      <c r="A442" s="300"/>
    </row>
    <row r="443">
      <c r="A443" s="300"/>
    </row>
    <row r="444">
      <c r="A444" s="300"/>
    </row>
    <row r="445">
      <c r="A445" s="300"/>
    </row>
    <row r="446">
      <c r="A446" s="300"/>
    </row>
    <row r="447">
      <c r="A447" s="300"/>
    </row>
    <row r="448">
      <c r="A448" s="300"/>
    </row>
    <row r="449">
      <c r="A449" s="300"/>
    </row>
    <row r="450">
      <c r="A450" s="300"/>
    </row>
    <row r="451">
      <c r="A451" s="300"/>
    </row>
    <row r="452">
      <c r="A452" s="300"/>
    </row>
    <row r="453">
      <c r="A453" s="300"/>
    </row>
    <row r="454">
      <c r="A454" s="300"/>
    </row>
    <row r="455">
      <c r="A455" s="300"/>
    </row>
    <row r="456">
      <c r="A456" s="300"/>
    </row>
    <row r="457">
      <c r="A457" s="300"/>
    </row>
    <row r="458">
      <c r="A458" s="300"/>
    </row>
    <row r="459">
      <c r="A459" s="300"/>
    </row>
    <row r="460">
      <c r="A460" s="300"/>
    </row>
    <row r="461">
      <c r="A461" s="300"/>
    </row>
    <row r="462">
      <c r="A462" s="300"/>
    </row>
    <row r="463">
      <c r="A463" s="300"/>
    </row>
    <row r="464">
      <c r="A464" s="300"/>
    </row>
    <row r="465">
      <c r="A465" s="300"/>
    </row>
    <row r="466">
      <c r="A466" s="300"/>
    </row>
    <row r="467">
      <c r="A467" s="300"/>
    </row>
    <row r="468">
      <c r="A468" s="300"/>
    </row>
    <row r="469">
      <c r="A469" s="300"/>
    </row>
    <row r="470">
      <c r="A470" s="300"/>
    </row>
    <row r="471">
      <c r="A471" s="300"/>
    </row>
    <row r="472">
      <c r="A472" s="300"/>
    </row>
    <row r="473">
      <c r="A473" s="300"/>
    </row>
    <row r="474">
      <c r="A474" s="300"/>
    </row>
    <row r="475">
      <c r="A475" s="300"/>
    </row>
    <row r="476">
      <c r="A476" s="300"/>
    </row>
    <row r="477">
      <c r="A477" s="300"/>
    </row>
    <row r="478">
      <c r="A478" s="300"/>
    </row>
    <row r="479">
      <c r="A479" s="300"/>
    </row>
    <row r="480">
      <c r="A480" s="300"/>
    </row>
    <row r="481">
      <c r="A481" s="300"/>
    </row>
    <row r="482">
      <c r="A482" s="300"/>
    </row>
    <row r="483">
      <c r="A483" s="300"/>
    </row>
    <row r="484">
      <c r="A484" s="300"/>
    </row>
    <row r="485">
      <c r="A485" s="300"/>
    </row>
    <row r="486">
      <c r="A486" s="300"/>
    </row>
    <row r="487">
      <c r="A487" s="300"/>
    </row>
    <row r="488">
      <c r="A488" s="300"/>
    </row>
    <row r="489">
      <c r="A489" s="300"/>
    </row>
    <row r="490">
      <c r="A490" s="300"/>
    </row>
    <row r="491">
      <c r="A491" s="300"/>
    </row>
    <row r="492">
      <c r="A492" s="300"/>
    </row>
    <row r="493">
      <c r="A493" s="300"/>
    </row>
    <row r="494">
      <c r="A494" s="300"/>
    </row>
    <row r="495">
      <c r="A495" s="300"/>
    </row>
    <row r="496">
      <c r="A496" s="300"/>
    </row>
    <row r="497">
      <c r="A497" s="300"/>
    </row>
    <row r="498">
      <c r="A498" s="300"/>
    </row>
    <row r="499">
      <c r="A499" s="300"/>
    </row>
    <row r="500">
      <c r="A500" s="300"/>
    </row>
    <row r="501">
      <c r="A501" s="300"/>
    </row>
    <row r="502">
      <c r="A502" s="300"/>
    </row>
    <row r="503">
      <c r="A503" s="300"/>
    </row>
    <row r="504">
      <c r="A504" s="300"/>
    </row>
    <row r="505">
      <c r="A505" s="300"/>
    </row>
    <row r="506">
      <c r="A506" s="300"/>
    </row>
    <row r="507">
      <c r="A507" s="300"/>
    </row>
    <row r="508">
      <c r="A508" s="300"/>
    </row>
    <row r="509">
      <c r="A509" s="300"/>
    </row>
    <row r="510">
      <c r="A510" s="300"/>
    </row>
    <row r="511">
      <c r="A511" s="300"/>
    </row>
    <row r="512">
      <c r="A512" s="300"/>
    </row>
    <row r="513">
      <c r="A513" s="300"/>
    </row>
    <row r="514">
      <c r="A514" s="300"/>
    </row>
    <row r="515">
      <c r="A515" s="300"/>
    </row>
    <row r="516">
      <c r="A516" s="300"/>
    </row>
    <row r="517">
      <c r="A517" s="300"/>
    </row>
    <row r="518">
      <c r="A518" s="300"/>
    </row>
    <row r="519">
      <c r="A519" s="300"/>
    </row>
    <row r="520">
      <c r="A520" s="300"/>
    </row>
    <row r="521">
      <c r="A521" s="300"/>
    </row>
    <row r="522">
      <c r="A522" s="300"/>
    </row>
    <row r="523">
      <c r="A523" s="300"/>
    </row>
    <row r="524">
      <c r="A524" s="300"/>
    </row>
    <row r="525">
      <c r="A525" s="300"/>
    </row>
    <row r="526">
      <c r="A526" s="300"/>
    </row>
    <row r="527">
      <c r="A527" s="300"/>
    </row>
    <row r="528">
      <c r="A528" s="300"/>
    </row>
    <row r="529">
      <c r="A529" s="300"/>
    </row>
    <row r="530">
      <c r="A530" s="300"/>
    </row>
    <row r="531">
      <c r="A531" s="300"/>
    </row>
    <row r="532">
      <c r="A532" s="300"/>
    </row>
    <row r="533">
      <c r="A533" s="300"/>
    </row>
    <row r="534">
      <c r="A534" s="300"/>
    </row>
    <row r="535">
      <c r="A535" s="300"/>
    </row>
    <row r="536">
      <c r="A536" s="300"/>
    </row>
    <row r="537">
      <c r="A537" s="300"/>
    </row>
    <row r="538">
      <c r="A538" s="300"/>
    </row>
    <row r="539">
      <c r="A539" s="300"/>
    </row>
    <row r="540">
      <c r="A540" s="300"/>
    </row>
    <row r="541">
      <c r="A541" s="300"/>
    </row>
    <row r="542">
      <c r="A542" s="300"/>
    </row>
    <row r="543">
      <c r="A543" s="300"/>
    </row>
    <row r="544">
      <c r="A544" s="300"/>
    </row>
    <row r="545">
      <c r="A545" s="300"/>
    </row>
    <row r="546">
      <c r="A546" s="300"/>
    </row>
    <row r="547">
      <c r="A547" s="300"/>
    </row>
    <row r="548">
      <c r="A548" s="300"/>
    </row>
    <row r="549">
      <c r="A549" s="300"/>
    </row>
    <row r="550">
      <c r="A550" s="300"/>
    </row>
    <row r="551">
      <c r="A551" s="300"/>
    </row>
    <row r="552">
      <c r="A552" s="300"/>
    </row>
    <row r="553">
      <c r="A553" s="300"/>
    </row>
    <row r="554">
      <c r="A554" s="300"/>
    </row>
    <row r="555">
      <c r="A555" s="300"/>
    </row>
    <row r="556">
      <c r="A556" s="300"/>
    </row>
    <row r="557">
      <c r="A557" s="300"/>
    </row>
    <row r="558">
      <c r="A558" s="300"/>
    </row>
    <row r="559">
      <c r="A559" s="300"/>
    </row>
    <row r="560">
      <c r="A560" s="300"/>
    </row>
    <row r="561">
      <c r="A561" s="300"/>
    </row>
    <row r="562">
      <c r="A562" s="300"/>
    </row>
    <row r="563">
      <c r="A563" s="300"/>
    </row>
    <row r="564">
      <c r="A564" s="300"/>
    </row>
    <row r="565">
      <c r="A565" s="300"/>
    </row>
    <row r="566">
      <c r="A566" s="300"/>
    </row>
    <row r="567">
      <c r="A567" s="300"/>
    </row>
    <row r="568">
      <c r="A568" s="300"/>
    </row>
    <row r="569">
      <c r="A569" s="300"/>
    </row>
    <row r="570">
      <c r="A570" s="300"/>
    </row>
    <row r="571">
      <c r="A571" s="300"/>
    </row>
    <row r="572">
      <c r="A572" s="300"/>
    </row>
    <row r="573">
      <c r="A573" s="300"/>
    </row>
    <row r="574">
      <c r="A574" s="300"/>
    </row>
    <row r="575">
      <c r="A575" s="300"/>
    </row>
    <row r="576">
      <c r="A576" s="300"/>
    </row>
    <row r="577">
      <c r="A577" s="300"/>
    </row>
    <row r="578">
      <c r="A578" s="300"/>
    </row>
    <row r="579">
      <c r="A579" s="300"/>
    </row>
    <row r="580">
      <c r="A580" s="300"/>
    </row>
    <row r="581">
      <c r="A581" s="300"/>
    </row>
    <row r="582">
      <c r="A582" s="300"/>
    </row>
    <row r="583">
      <c r="A583" s="300"/>
    </row>
    <row r="584">
      <c r="A584" s="300"/>
    </row>
    <row r="585">
      <c r="A585" s="300"/>
    </row>
    <row r="586">
      <c r="A586" s="300"/>
    </row>
    <row r="587">
      <c r="A587" s="300"/>
    </row>
    <row r="588">
      <c r="A588" s="300"/>
    </row>
    <row r="589">
      <c r="A589" s="300"/>
    </row>
    <row r="590">
      <c r="A590" s="300"/>
    </row>
    <row r="591">
      <c r="A591" s="300"/>
    </row>
    <row r="592">
      <c r="A592" s="300"/>
    </row>
    <row r="593">
      <c r="A593" s="300"/>
    </row>
    <row r="594">
      <c r="A594" s="300"/>
    </row>
    <row r="595">
      <c r="A595" s="300"/>
    </row>
    <row r="596">
      <c r="A596" s="300"/>
    </row>
    <row r="597">
      <c r="A597" s="300"/>
    </row>
    <row r="598">
      <c r="A598" s="300"/>
    </row>
    <row r="599">
      <c r="A599" s="300"/>
    </row>
    <row r="600">
      <c r="A600" s="300"/>
    </row>
    <row r="601">
      <c r="A601" s="300"/>
    </row>
    <row r="602">
      <c r="A602" s="300"/>
    </row>
    <row r="603">
      <c r="A603" s="300"/>
    </row>
    <row r="604">
      <c r="A604" s="300"/>
    </row>
    <row r="605">
      <c r="A605" s="300"/>
    </row>
    <row r="606">
      <c r="A606" s="300"/>
    </row>
    <row r="607">
      <c r="A607" s="300"/>
    </row>
    <row r="608">
      <c r="A608" s="300"/>
    </row>
    <row r="609">
      <c r="A609" s="300"/>
    </row>
    <row r="610">
      <c r="A610" s="300"/>
    </row>
    <row r="611">
      <c r="A611" s="300"/>
    </row>
    <row r="612">
      <c r="A612" s="300"/>
    </row>
    <row r="613">
      <c r="A613" s="300"/>
    </row>
    <row r="614">
      <c r="A614" s="300"/>
    </row>
    <row r="615">
      <c r="A615" s="300"/>
    </row>
    <row r="616">
      <c r="A616" s="300"/>
    </row>
    <row r="617">
      <c r="A617" s="300"/>
    </row>
    <row r="618">
      <c r="A618" s="300"/>
    </row>
    <row r="619">
      <c r="A619" s="300"/>
    </row>
    <row r="620">
      <c r="A620" s="300"/>
    </row>
    <row r="621">
      <c r="A621" s="300"/>
    </row>
    <row r="622">
      <c r="A622" s="300"/>
    </row>
    <row r="623">
      <c r="A623" s="300"/>
    </row>
    <row r="624">
      <c r="A624" s="300"/>
    </row>
    <row r="625">
      <c r="A625" s="300"/>
    </row>
    <row r="626">
      <c r="A626" s="300"/>
    </row>
    <row r="627">
      <c r="A627" s="300"/>
    </row>
    <row r="628">
      <c r="A628" s="300"/>
    </row>
    <row r="629">
      <c r="A629" s="300"/>
    </row>
    <row r="630">
      <c r="A630" s="300"/>
    </row>
    <row r="631">
      <c r="A631" s="300"/>
    </row>
    <row r="632">
      <c r="A632" s="300"/>
    </row>
    <row r="633">
      <c r="A633" s="300"/>
    </row>
    <row r="634">
      <c r="A634" s="300"/>
    </row>
    <row r="635">
      <c r="A635" s="300"/>
    </row>
    <row r="636">
      <c r="A636" s="300"/>
    </row>
    <row r="637">
      <c r="A637" s="300"/>
    </row>
    <row r="638">
      <c r="A638" s="300"/>
    </row>
    <row r="639">
      <c r="A639" s="300"/>
    </row>
    <row r="640">
      <c r="A640" s="300"/>
    </row>
    <row r="641">
      <c r="A641" s="300"/>
    </row>
    <row r="642">
      <c r="A642" s="300"/>
    </row>
    <row r="643">
      <c r="A643" s="300"/>
    </row>
    <row r="644">
      <c r="A644" s="300"/>
    </row>
    <row r="645">
      <c r="A645" s="300"/>
    </row>
    <row r="646">
      <c r="A646" s="300"/>
    </row>
    <row r="647">
      <c r="A647" s="300"/>
    </row>
    <row r="648">
      <c r="A648" s="300"/>
    </row>
    <row r="649">
      <c r="A649" s="300"/>
    </row>
    <row r="650">
      <c r="A650" s="300"/>
    </row>
    <row r="651">
      <c r="A651" s="300"/>
    </row>
    <row r="652">
      <c r="A652" s="300"/>
    </row>
    <row r="653">
      <c r="A653" s="300"/>
    </row>
    <row r="654">
      <c r="A654" s="300"/>
    </row>
    <row r="655">
      <c r="A655" s="300"/>
    </row>
    <row r="656">
      <c r="A656" s="300"/>
    </row>
    <row r="657">
      <c r="A657" s="300"/>
    </row>
    <row r="658">
      <c r="A658" s="300"/>
    </row>
    <row r="659">
      <c r="A659" s="300"/>
    </row>
    <row r="660">
      <c r="A660" s="300"/>
    </row>
    <row r="661">
      <c r="A661" s="300"/>
    </row>
    <row r="662">
      <c r="A662" s="300"/>
    </row>
    <row r="663">
      <c r="A663" s="300"/>
    </row>
    <row r="664">
      <c r="A664" s="300"/>
    </row>
    <row r="665">
      <c r="A665" s="300"/>
    </row>
    <row r="666">
      <c r="A666" s="300"/>
    </row>
    <row r="667">
      <c r="A667" s="300"/>
    </row>
    <row r="668">
      <c r="A668" s="300"/>
    </row>
    <row r="669">
      <c r="A669" s="300"/>
    </row>
    <row r="670">
      <c r="A670" s="300"/>
    </row>
    <row r="671">
      <c r="A671" s="300"/>
    </row>
    <row r="672">
      <c r="A672" s="300"/>
    </row>
    <row r="673">
      <c r="A673" s="300"/>
    </row>
    <row r="674">
      <c r="A674" s="300"/>
    </row>
    <row r="675">
      <c r="A675" s="300"/>
    </row>
    <row r="676">
      <c r="A676" s="300"/>
    </row>
    <row r="677">
      <c r="A677" s="300"/>
    </row>
    <row r="678">
      <c r="A678" s="300"/>
    </row>
    <row r="679">
      <c r="A679" s="300"/>
    </row>
    <row r="680">
      <c r="A680" s="300"/>
    </row>
    <row r="681">
      <c r="A681" s="300"/>
    </row>
    <row r="682">
      <c r="A682" s="300"/>
    </row>
    <row r="683">
      <c r="A683" s="300"/>
    </row>
    <row r="684">
      <c r="A684" s="300"/>
    </row>
    <row r="685">
      <c r="A685" s="300"/>
    </row>
    <row r="686">
      <c r="A686" s="300"/>
    </row>
    <row r="687">
      <c r="A687" s="300"/>
    </row>
    <row r="688">
      <c r="A688" s="300"/>
    </row>
    <row r="689">
      <c r="A689" s="300"/>
    </row>
    <row r="690">
      <c r="A690" s="300"/>
    </row>
    <row r="691">
      <c r="A691" s="300"/>
    </row>
    <row r="692">
      <c r="A692" s="300"/>
    </row>
    <row r="693">
      <c r="A693" s="300"/>
    </row>
    <row r="694">
      <c r="A694" s="300"/>
    </row>
    <row r="695">
      <c r="A695" s="300"/>
    </row>
    <row r="696">
      <c r="A696" s="300"/>
    </row>
    <row r="697">
      <c r="A697" s="300"/>
    </row>
    <row r="698">
      <c r="A698" s="300"/>
    </row>
    <row r="699">
      <c r="A699" s="300"/>
    </row>
    <row r="700">
      <c r="A700" s="300"/>
    </row>
    <row r="701">
      <c r="A701" s="300"/>
    </row>
    <row r="702">
      <c r="A702" s="300"/>
    </row>
    <row r="703">
      <c r="A703" s="300"/>
    </row>
    <row r="704">
      <c r="A704" s="300"/>
    </row>
    <row r="705">
      <c r="A705" s="300"/>
    </row>
    <row r="706">
      <c r="A706" s="300"/>
    </row>
    <row r="707">
      <c r="A707" s="300"/>
    </row>
    <row r="708">
      <c r="A708" s="300"/>
    </row>
    <row r="709">
      <c r="A709" s="300"/>
    </row>
    <row r="710">
      <c r="A710" s="300"/>
    </row>
    <row r="711">
      <c r="A711" s="300"/>
    </row>
    <row r="712">
      <c r="A712" s="300"/>
    </row>
    <row r="713">
      <c r="A713" s="300"/>
    </row>
    <row r="714">
      <c r="A714" s="300"/>
    </row>
    <row r="715">
      <c r="A715" s="300"/>
    </row>
    <row r="716">
      <c r="A716" s="300"/>
    </row>
    <row r="717">
      <c r="A717" s="300"/>
    </row>
    <row r="718">
      <c r="A718" s="300"/>
    </row>
    <row r="719">
      <c r="A719" s="300"/>
    </row>
    <row r="720">
      <c r="A720" s="300"/>
    </row>
    <row r="721">
      <c r="A721" s="300"/>
    </row>
    <row r="722">
      <c r="A722" s="300"/>
    </row>
    <row r="723">
      <c r="A723" s="300"/>
    </row>
    <row r="724">
      <c r="A724" s="300"/>
    </row>
    <row r="725">
      <c r="A725" s="300"/>
    </row>
    <row r="726">
      <c r="A726" s="300"/>
    </row>
    <row r="727">
      <c r="A727" s="300"/>
    </row>
    <row r="728">
      <c r="A728" s="300"/>
    </row>
    <row r="729">
      <c r="A729" s="300"/>
    </row>
    <row r="730">
      <c r="A730" s="300"/>
    </row>
    <row r="731">
      <c r="A731" s="300"/>
    </row>
    <row r="732">
      <c r="A732" s="300"/>
    </row>
    <row r="733">
      <c r="A733" s="300"/>
    </row>
    <row r="734">
      <c r="A734" s="300"/>
    </row>
    <row r="735">
      <c r="A735" s="300"/>
    </row>
    <row r="736">
      <c r="A736" s="300"/>
    </row>
    <row r="737">
      <c r="A737" s="300"/>
    </row>
    <row r="738">
      <c r="A738" s="300"/>
    </row>
    <row r="739">
      <c r="A739" s="300"/>
    </row>
    <row r="740">
      <c r="A740" s="300"/>
    </row>
    <row r="741">
      <c r="A741" s="300"/>
    </row>
    <row r="742">
      <c r="A742" s="300"/>
    </row>
    <row r="743">
      <c r="A743" s="300"/>
    </row>
    <row r="744">
      <c r="A744" s="300"/>
    </row>
    <row r="745">
      <c r="A745" s="300"/>
    </row>
    <row r="746">
      <c r="A746" s="300"/>
    </row>
    <row r="747">
      <c r="A747" s="300"/>
    </row>
    <row r="748">
      <c r="A748" s="300"/>
    </row>
    <row r="749">
      <c r="A749" s="300"/>
    </row>
    <row r="750">
      <c r="A750" s="300"/>
    </row>
    <row r="751">
      <c r="A751" s="300"/>
    </row>
    <row r="752">
      <c r="A752" s="300"/>
    </row>
    <row r="753">
      <c r="A753" s="300"/>
    </row>
    <row r="754">
      <c r="A754" s="300"/>
    </row>
    <row r="755">
      <c r="A755" s="300"/>
    </row>
    <row r="756">
      <c r="A756" s="300"/>
    </row>
    <row r="757">
      <c r="A757" s="300"/>
    </row>
    <row r="758">
      <c r="A758" s="300"/>
    </row>
    <row r="759">
      <c r="A759" s="300"/>
    </row>
    <row r="760">
      <c r="A760" s="300"/>
    </row>
    <row r="761">
      <c r="A761" s="300"/>
    </row>
    <row r="762">
      <c r="A762" s="300"/>
    </row>
    <row r="763">
      <c r="A763" s="300"/>
    </row>
    <row r="764">
      <c r="A764" s="300"/>
    </row>
    <row r="765">
      <c r="A765" s="300"/>
    </row>
    <row r="766">
      <c r="A766" s="300"/>
    </row>
    <row r="767">
      <c r="A767" s="300"/>
    </row>
    <row r="768">
      <c r="A768" s="300"/>
    </row>
    <row r="769">
      <c r="A769" s="300"/>
    </row>
    <row r="770">
      <c r="A770" s="300"/>
    </row>
    <row r="771">
      <c r="A771" s="300"/>
    </row>
    <row r="772">
      <c r="A772" s="300"/>
    </row>
    <row r="773">
      <c r="A773" s="300"/>
    </row>
    <row r="774">
      <c r="A774" s="300"/>
    </row>
    <row r="775">
      <c r="A775" s="300"/>
    </row>
    <row r="776">
      <c r="A776" s="300"/>
    </row>
    <row r="777">
      <c r="A777" s="300"/>
    </row>
    <row r="778">
      <c r="A778" s="300"/>
    </row>
    <row r="779">
      <c r="A779" s="300"/>
    </row>
    <row r="780">
      <c r="A780" s="300"/>
    </row>
    <row r="781">
      <c r="A781" s="300"/>
    </row>
    <row r="782">
      <c r="A782" s="300"/>
    </row>
    <row r="783">
      <c r="A783" s="300"/>
    </row>
    <row r="784">
      <c r="A784" s="300"/>
    </row>
    <row r="785">
      <c r="A785" s="300"/>
    </row>
    <row r="786">
      <c r="A786" s="300"/>
    </row>
    <row r="787">
      <c r="A787" s="300"/>
    </row>
    <row r="788">
      <c r="A788" s="300"/>
    </row>
    <row r="789">
      <c r="A789" s="300"/>
    </row>
    <row r="790">
      <c r="A790" s="300"/>
    </row>
    <row r="791">
      <c r="A791" s="300"/>
    </row>
    <row r="792">
      <c r="A792" s="300"/>
    </row>
    <row r="793">
      <c r="A793" s="300"/>
    </row>
    <row r="794">
      <c r="A794" s="300"/>
    </row>
    <row r="795">
      <c r="A795" s="300"/>
    </row>
    <row r="796">
      <c r="A796" s="300"/>
    </row>
    <row r="797">
      <c r="A797" s="300"/>
    </row>
    <row r="798">
      <c r="A798" s="300"/>
    </row>
    <row r="799">
      <c r="A799" s="300"/>
    </row>
    <row r="800">
      <c r="A800" s="300"/>
    </row>
    <row r="801">
      <c r="A801" s="300"/>
    </row>
    <row r="802">
      <c r="A802" s="300"/>
    </row>
    <row r="803">
      <c r="A803" s="300"/>
    </row>
    <row r="804">
      <c r="A804" s="300"/>
    </row>
    <row r="805">
      <c r="A805" s="300"/>
    </row>
    <row r="806">
      <c r="A806" s="300"/>
    </row>
    <row r="807">
      <c r="A807" s="300"/>
    </row>
    <row r="808">
      <c r="A808" s="300"/>
    </row>
    <row r="809">
      <c r="A809" s="300"/>
    </row>
    <row r="810">
      <c r="A810" s="300"/>
    </row>
    <row r="811">
      <c r="A811" s="300"/>
    </row>
    <row r="812">
      <c r="A812" s="300"/>
    </row>
    <row r="813">
      <c r="A813" s="300"/>
    </row>
    <row r="814">
      <c r="A814" s="300"/>
    </row>
    <row r="815">
      <c r="A815" s="300"/>
    </row>
    <row r="816">
      <c r="A816" s="300"/>
    </row>
    <row r="817">
      <c r="A817" s="300"/>
    </row>
    <row r="818">
      <c r="A818" s="300"/>
    </row>
    <row r="819">
      <c r="A819" s="300"/>
    </row>
    <row r="820">
      <c r="A820" s="300"/>
    </row>
    <row r="821">
      <c r="A821" s="300"/>
    </row>
    <row r="822">
      <c r="A822" s="300"/>
    </row>
    <row r="823">
      <c r="A823" s="300"/>
    </row>
    <row r="824">
      <c r="A824" s="300"/>
    </row>
    <row r="825">
      <c r="A825" s="300"/>
    </row>
    <row r="826">
      <c r="A826" s="300"/>
    </row>
    <row r="827">
      <c r="A827" s="300"/>
    </row>
    <row r="828">
      <c r="A828" s="300"/>
    </row>
    <row r="829">
      <c r="A829" s="300"/>
    </row>
    <row r="830">
      <c r="A830" s="300"/>
    </row>
    <row r="831">
      <c r="A831" s="300"/>
    </row>
    <row r="832">
      <c r="A832" s="300"/>
    </row>
    <row r="833">
      <c r="A833" s="300"/>
    </row>
    <row r="834">
      <c r="A834" s="300"/>
    </row>
    <row r="835">
      <c r="A835" s="300"/>
    </row>
    <row r="836">
      <c r="A836" s="300"/>
    </row>
    <row r="837">
      <c r="A837" s="300"/>
    </row>
    <row r="838">
      <c r="A838" s="300"/>
    </row>
    <row r="839">
      <c r="A839" s="300"/>
    </row>
    <row r="840">
      <c r="A840" s="300"/>
    </row>
    <row r="841">
      <c r="A841" s="300"/>
    </row>
    <row r="842">
      <c r="A842" s="300"/>
    </row>
    <row r="843">
      <c r="A843" s="300"/>
    </row>
    <row r="844">
      <c r="A844" s="300"/>
    </row>
    <row r="845">
      <c r="A845" s="300"/>
    </row>
    <row r="846">
      <c r="A846" s="300"/>
    </row>
    <row r="847">
      <c r="A847" s="300"/>
    </row>
    <row r="848">
      <c r="A848" s="300"/>
    </row>
    <row r="849">
      <c r="A849" s="300"/>
    </row>
    <row r="850">
      <c r="A850" s="300"/>
    </row>
    <row r="851">
      <c r="A851" s="300"/>
    </row>
    <row r="852">
      <c r="A852" s="300"/>
    </row>
    <row r="853">
      <c r="A853" s="300"/>
    </row>
    <row r="854">
      <c r="A854" s="300"/>
    </row>
    <row r="855">
      <c r="A855" s="300"/>
    </row>
    <row r="856">
      <c r="A856" s="300"/>
    </row>
    <row r="857">
      <c r="A857" s="300"/>
    </row>
    <row r="858">
      <c r="A858" s="300"/>
    </row>
    <row r="859">
      <c r="A859" s="300"/>
    </row>
    <row r="860">
      <c r="A860" s="300"/>
    </row>
    <row r="861">
      <c r="A861" s="300"/>
    </row>
    <row r="862">
      <c r="A862" s="300"/>
    </row>
    <row r="863">
      <c r="A863" s="300"/>
    </row>
    <row r="864">
      <c r="A864" s="300"/>
    </row>
    <row r="865">
      <c r="A865" s="300"/>
    </row>
    <row r="866">
      <c r="A866" s="300"/>
    </row>
    <row r="867">
      <c r="A867" s="300"/>
    </row>
    <row r="868">
      <c r="A868" s="300"/>
    </row>
    <row r="869">
      <c r="A869" s="300"/>
    </row>
    <row r="870">
      <c r="A870" s="300"/>
    </row>
    <row r="871">
      <c r="A871" s="300"/>
    </row>
    <row r="872">
      <c r="A872" s="300"/>
    </row>
    <row r="873">
      <c r="A873" s="300"/>
    </row>
    <row r="874">
      <c r="A874" s="300"/>
    </row>
    <row r="875">
      <c r="A875" s="300"/>
    </row>
    <row r="876">
      <c r="A876" s="300"/>
    </row>
    <row r="877">
      <c r="A877" s="300"/>
    </row>
    <row r="878">
      <c r="A878" s="300"/>
    </row>
    <row r="879">
      <c r="A879" s="300"/>
    </row>
    <row r="880">
      <c r="A880" s="300"/>
    </row>
    <row r="881">
      <c r="A881" s="300"/>
    </row>
    <row r="882">
      <c r="A882" s="300"/>
    </row>
    <row r="883">
      <c r="A883" s="300"/>
    </row>
    <row r="884">
      <c r="A884" s="300"/>
    </row>
    <row r="885">
      <c r="A885" s="300"/>
    </row>
    <row r="886">
      <c r="A886" s="300"/>
    </row>
    <row r="887">
      <c r="A887" s="300"/>
    </row>
    <row r="888">
      <c r="A888" s="300"/>
    </row>
    <row r="889">
      <c r="A889" s="300"/>
    </row>
    <row r="890">
      <c r="A890" s="300"/>
    </row>
    <row r="891">
      <c r="A891" s="300"/>
    </row>
    <row r="892">
      <c r="A892" s="300"/>
    </row>
    <row r="893">
      <c r="A893" s="300"/>
    </row>
    <row r="894">
      <c r="A894" s="300"/>
    </row>
    <row r="895">
      <c r="A895" s="300"/>
    </row>
    <row r="896">
      <c r="A896" s="300"/>
    </row>
    <row r="897">
      <c r="A897" s="300"/>
    </row>
    <row r="898">
      <c r="A898" s="300"/>
    </row>
    <row r="899">
      <c r="A899" s="300"/>
    </row>
    <row r="900">
      <c r="A900" s="300"/>
    </row>
    <row r="901">
      <c r="A901" s="300"/>
    </row>
    <row r="902">
      <c r="A902" s="300"/>
    </row>
    <row r="903">
      <c r="A903" s="300"/>
    </row>
    <row r="904">
      <c r="A904" s="300"/>
    </row>
    <row r="905">
      <c r="A905" s="300"/>
    </row>
    <row r="906">
      <c r="A906" s="300"/>
    </row>
    <row r="907">
      <c r="A907" s="300"/>
    </row>
    <row r="908">
      <c r="A908" s="300"/>
    </row>
    <row r="909">
      <c r="A909" s="300"/>
    </row>
    <row r="910">
      <c r="A910" s="300"/>
    </row>
    <row r="911">
      <c r="A911" s="300"/>
    </row>
    <row r="912">
      <c r="A912" s="300"/>
    </row>
    <row r="913">
      <c r="A913" s="300"/>
    </row>
    <row r="914">
      <c r="A914" s="300"/>
    </row>
    <row r="915">
      <c r="A915" s="300"/>
    </row>
    <row r="916">
      <c r="A916" s="300"/>
    </row>
    <row r="917">
      <c r="A917" s="300"/>
    </row>
    <row r="918">
      <c r="A918" s="300"/>
    </row>
    <row r="919">
      <c r="A919" s="300"/>
    </row>
    <row r="920">
      <c r="A920" s="300"/>
    </row>
    <row r="921">
      <c r="A921" s="300"/>
    </row>
    <row r="922">
      <c r="A922" s="300"/>
    </row>
    <row r="923">
      <c r="A923" s="300"/>
    </row>
    <row r="924">
      <c r="A924" s="300"/>
    </row>
    <row r="925">
      <c r="A925" s="300"/>
    </row>
    <row r="926">
      <c r="A926" s="300"/>
    </row>
    <row r="927">
      <c r="A927" s="300"/>
    </row>
    <row r="928">
      <c r="A928" s="300"/>
    </row>
    <row r="929">
      <c r="A929" s="300"/>
    </row>
    <row r="930">
      <c r="A930" s="300"/>
    </row>
    <row r="931">
      <c r="A931" s="300"/>
    </row>
    <row r="932">
      <c r="A932" s="300"/>
    </row>
    <row r="933">
      <c r="A933" s="300"/>
    </row>
    <row r="934">
      <c r="A934" s="300"/>
    </row>
    <row r="935">
      <c r="A935" s="300"/>
    </row>
    <row r="936">
      <c r="A936" s="300"/>
    </row>
    <row r="937">
      <c r="A937" s="300"/>
    </row>
    <row r="938">
      <c r="A938" s="300"/>
    </row>
    <row r="939">
      <c r="A939" s="300"/>
    </row>
    <row r="940">
      <c r="A940" s="300"/>
    </row>
    <row r="941">
      <c r="A941" s="300"/>
    </row>
    <row r="942">
      <c r="A942" s="300"/>
    </row>
    <row r="943">
      <c r="A943" s="300"/>
    </row>
    <row r="944">
      <c r="A944" s="300"/>
    </row>
    <row r="945">
      <c r="A945" s="300"/>
    </row>
    <row r="946">
      <c r="A946" s="300"/>
    </row>
    <row r="947">
      <c r="A947" s="300"/>
    </row>
    <row r="948">
      <c r="A948" s="300"/>
    </row>
    <row r="949">
      <c r="A949" s="300"/>
    </row>
    <row r="950">
      <c r="A950" s="300"/>
    </row>
    <row r="951">
      <c r="A951" s="300"/>
    </row>
    <row r="952">
      <c r="A952" s="300"/>
    </row>
    <row r="953">
      <c r="A953" s="300"/>
    </row>
    <row r="954">
      <c r="A954" s="300"/>
    </row>
    <row r="955">
      <c r="A955" s="300"/>
    </row>
    <row r="956">
      <c r="A956" s="300"/>
    </row>
    <row r="957">
      <c r="A957" s="300"/>
    </row>
    <row r="958">
      <c r="A958" s="300"/>
    </row>
    <row r="959">
      <c r="A959" s="300"/>
    </row>
    <row r="960">
      <c r="A960" s="300"/>
    </row>
    <row r="961">
      <c r="A961" s="300"/>
    </row>
    <row r="962">
      <c r="A962" s="300"/>
    </row>
    <row r="963">
      <c r="A963" s="300"/>
    </row>
    <row r="964">
      <c r="A964" s="300"/>
    </row>
    <row r="965">
      <c r="A965" s="300"/>
    </row>
    <row r="966">
      <c r="A966" s="300"/>
    </row>
    <row r="967">
      <c r="A967" s="300"/>
    </row>
    <row r="968">
      <c r="A968" s="300"/>
    </row>
    <row r="969">
      <c r="A969" s="300"/>
    </row>
    <row r="970">
      <c r="A970" s="300"/>
    </row>
    <row r="971">
      <c r="A971" s="300"/>
    </row>
    <row r="972">
      <c r="A972" s="300"/>
    </row>
    <row r="973">
      <c r="A973" s="300"/>
    </row>
    <row r="974">
      <c r="A974" s="300"/>
    </row>
    <row r="975">
      <c r="A975" s="300"/>
    </row>
    <row r="976">
      <c r="A976" s="300"/>
    </row>
    <row r="977">
      <c r="A977" s="300"/>
    </row>
    <row r="978">
      <c r="A978" s="300"/>
    </row>
    <row r="979">
      <c r="A979" s="300"/>
    </row>
    <row r="980">
      <c r="A980" s="300"/>
    </row>
    <row r="981">
      <c r="A981" s="300"/>
    </row>
    <row r="982">
      <c r="A982" s="300"/>
    </row>
    <row r="983">
      <c r="A983" s="300"/>
    </row>
    <row r="984">
      <c r="A984" s="300"/>
    </row>
    <row r="985">
      <c r="A985" s="300"/>
    </row>
    <row r="986">
      <c r="A986" s="300"/>
    </row>
    <row r="987">
      <c r="A987" s="300"/>
    </row>
    <row r="988">
      <c r="A988" s="300"/>
    </row>
    <row r="989">
      <c r="A989" s="300"/>
    </row>
    <row r="990">
      <c r="A990" s="300"/>
    </row>
    <row r="991">
      <c r="A991" s="300"/>
    </row>
    <row r="992">
      <c r="A992" s="300"/>
    </row>
    <row r="993">
      <c r="A993" s="300"/>
    </row>
    <row r="994">
      <c r="A994" s="300"/>
    </row>
    <row r="995">
      <c r="A995" s="300"/>
    </row>
    <row r="996">
      <c r="A996" s="300"/>
    </row>
    <row r="997">
      <c r="A997" s="300"/>
    </row>
    <row r="998">
      <c r="A998" s="300"/>
    </row>
    <row r="999">
      <c r="A999" s="300"/>
    </row>
    <row r="1000">
      <c r="A1000" s="300"/>
    </row>
    <row r="1001">
      <c r="A1001" s="300"/>
    </row>
    <row r="1002">
      <c r="A1002" s="300"/>
    </row>
    <row r="1003">
      <c r="A1003" s="300"/>
    </row>
  </sheetData>
  <mergeCells count="4">
    <mergeCell ref="A1:O1"/>
    <mergeCell ref="B2:E2"/>
    <mergeCell ref="F2:K2"/>
    <mergeCell ref="L2:O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25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253"/>
      <c r="B2" s="25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260" t="s">
        <v>754</v>
      </c>
      <c r="B3" s="232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266" t="s">
        <v>570</v>
      </c>
      <c r="B4" s="235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260" t="s">
        <v>397</v>
      </c>
      <c r="B5" s="235" t="s">
        <v>402</v>
      </c>
      <c r="C5" s="271">
        <f>'9thMAY'!E5</f>
        <v>24</v>
      </c>
      <c r="D5" s="272">
        <v>22.0</v>
      </c>
      <c r="E5" s="273">
        <v>14.0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96</v>
      </c>
      <c r="N5" s="268"/>
      <c r="O5" s="269"/>
    </row>
    <row r="6">
      <c r="A6" s="260" t="s">
        <v>401</v>
      </c>
      <c r="B6" s="235" t="s">
        <v>402</v>
      </c>
      <c r="C6" s="271">
        <f>'9thMAY'!E6</f>
        <v>3</v>
      </c>
      <c r="D6" s="272">
        <v>5.0</v>
      </c>
      <c r="E6" s="273"/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16</v>
      </c>
      <c r="N6" s="268"/>
      <c r="O6" s="269"/>
    </row>
    <row r="7">
      <c r="A7" s="260" t="s">
        <v>404</v>
      </c>
      <c r="B7" s="235" t="s">
        <v>402</v>
      </c>
      <c r="C7" s="271">
        <f>'9thMAY'!E7</f>
        <v>7</v>
      </c>
      <c r="D7" s="272">
        <v>6.0</v>
      </c>
      <c r="E7" s="273">
        <v>3.0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50</v>
      </c>
      <c r="N7" s="268"/>
      <c r="O7" s="269"/>
    </row>
    <row r="8">
      <c r="A8" s="260" t="s">
        <v>406</v>
      </c>
      <c r="B8" s="235" t="s">
        <v>402</v>
      </c>
      <c r="C8" s="271">
        <f>'9thMAY'!E8</f>
        <v>2</v>
      </c>
      <c r="D8" s="272">
        <v>10.0</v>
      </c>
      <c r="E8" s="273">
        <v>1.0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11</v>
      </c>
      <c r="N8" s="268"/>
      <c r="O8" s="269"/>
    </row>
    <row r="9">
      <c r="A9" s="260" t="s">
        <v>409</v>
      </c>
      <c r="B9" s="235" t="s">
        <v>402</v>
      </c>
      <c r="C9" s="271" t="str">
        <f>'9thMAY'!E9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260" t="s">
        <v>411</v>
      </c>
      <c r="B10" s="235" t="s">
        <v>402</v>
      </c>
      <c r="C10" s="271">
        <f>'9thMAY'!E10</f>
        <v>6</v>
      </c>
      <c r="D10" s="268"/>
      <c r="E10" s="273">
        <v>5.0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8</v>
      </c>
      <c r="N10" s="268"/>
      <c r="O10" s="269"/>
    </row>
    <row r="11">
      <c r="A11" s="260" t="s">
        <v>413</v>
      </c>
      <c r="B11" s="235" t="s">
        <v>402</v>
      </c>
      <c r="C11" s="271">
        <f>'9thMAY'!E11</f>
        <v>5</v>
      </c>
      <c r="D11" s="272">
        <v>20.0</v>
      </c>
      <c r="E11" s="273">
        <v>1.0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24</v>
      </c>
      <c r="N11" s="268"/>
      <c r="O11" s="269"/>
    </row>
    <row r="12">
      <c r="A12" s="260" t="s">
        <v>414</v>
      </c>
      <c r="B12" s="235" t="s">
        <v>402</v>
      </c>
      <c r="C12" s="271" t="str">
        <f>'9thMAY'!E12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260" t="s">
        <v>416</v>
      </c>
      <c r="B13" s="235" t="s">
        <v>402</v>
      </c>
      <c r="C13" s="271">
        <f>'9thMAY'!E13</f>
        <v>4</v>
      </c>
      <c r="D13" s="272">
        <v>10.0</v>
      </c>
      <c r="E13" s="273">
        <v>2.0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108</v>
      </c>
      <c r="N13" s="268"/>
      <c r="O13" s="269"/>
    </row>
    <row r="14">
      <c r="A14" s="260" t="s">
        <v>418</v>
      </c>
      <c r="B14" s="235" t="s">
        <v>402</v>
      </c>
      <c r="C14" s="271">
        <f>'9thMAY'!E14</f>
        <v>1</v>
      </c>
      <c r="D14" s="272">
        <v>10.0</v>
      </c>
      <c r="E14" s="273">
        <v>1.0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10</v>
      </c>
      <c r="N14" s="268"/>
      <c r="O14" s="269"/>
    </row>
    <row r="15">
      <c r="A15" s="260" t="s">
        <v>420</v>
      </c>
      <c r="B15" s="235" t="s">
        <v>402</v>
      </c>
      <c r="C15" s="271">
        <f>'9thMAY'!E15</f>
        <v>2.2</v>
      </c>
      <c r="D15" s="268"/>
      <c r="E15" s="273"/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8.8</v>
      </c>
      <c r="N15" s="268"/>
      <c r="O15" s="269"/>
    </row>
    <row r="16">
      <c r="A16" s="260" t="s">
        <v>422</v>
      </c>
      <c r="B16" s="235" t="s">
        <v>402</v>
      </c>
      <c r="C16" s="271">
        <f>'9thMAY'!E16</f>
        <v>6</v>
      </c>
      <c r="D16" s="272"/>
      <c r="E16" s="273">
        <v>5.0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4</v>
      </c>
      <c r="N16" s="268"/>
      <c r="O16" s="269"/>
    </row>
    <row r="17">
      <c r="A17" s="260" t="s">
        <v>423</v>
      </c>
      <c r="B17" s="235" t="s">
        <v>402</v>
      </c>
      <c r="C17" s="271">
        <f>'9thMAY'!E17</f>
        <v>6</v>
      </c>
      <c r="D17" s="272">
        <v>10.0</v>
      </c>
      <c r="E17" s="273">
        <v>7.0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18</v>
      </c>
      <c r="N17" s="268"/>
      <c r="O17" s="269"/>
    </row>
    <row r="18">
      <c r="A18" s="260" t="s">
        <v>425</v>
      </c>
      <c r="B18" s="235" t="s">
        <v>402</v>
      </c>
      <c r="C18" s="271">
        <f>'9thMAY'!E18</f>
        <v>3</v>
      </c>
      <c r="D18" s="272">
        <v>4.0</v>
      </c>
      <c r="E18" s="273">
        <v>2.0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10</v>
      </c>
      <c r="N18" s="268"/>
      <c r="O18" s="269"/>
    </row>
    <row r="19">
      <c r="A19" s="260" t="s">
        <v>426</v>
      </c>
      <c r="B19" s="235" t="s">
        <v>402</v>
      </c>
      <c r="C19" s="271">
        <f>'9thMAY'!E19</f>
        <v>3</v>
      </c>
      <c r="D19" s="272">
        <v>4.0</v>
      </c>
      <c r="E19" s="273">
        <v>3.0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4</v>
      </c>
      <c r="N19" s="268"/>
      <c r="O19" s="269"/>
    </row>
    <row r="20">
      <c r="A20" s="260" t="s">
        <v>428</v>
      </c>
      <c r="B20" s="235" t="s">
        <v>402</v>
      </c>
      <c r="C20" s="271">
        <f>'9thMAY'!E20</f>
        <v>6</v>
      </c>
      <c r="D20" s="268"/>
      <c r="E20" s="273">
        <v>3.0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3</v>
      </c>
      <c r="N20" s="268"/>
      <c r="O20" s="269"/>
    </row>
    <row r="21">
      <c r="A21" s="260" t="s">
        <v>429</v>
      </c>
      <c r="B21" s="235" t="s">
        <v>402</v>
      </c>
      <c r="C21" s="271">
        <f>'9thMAY'!E21</f>
        <v>6</v>
      </c>
      <c r="D21" s="272"/>
      <c r="E21" s="273"/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24</v>
      </c>
      <c r="N21" s="268"/>
      <c r="O21" s="269"/>
    </row>
    <row r="22">
      <c r="A22" s="260" t="s">
        <v>431</v>
      </c>
      <c r="B22" s="235" t="s">
        <v>402</v>
      </c>
      <c r="C22" s="271" t="str">
        <f>'9thMAY'!E22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60" t="s">
        <v>432</v>
      </c>
      <c r="B23" s="235" t="s">
        <v>402</v>
      </c>
      <c r="C23" s="271">
        <f>'9thMAY'!E23</f>
        <v>1.1</v>
      </c>
      <c r="D23" s="272">
        <v>5.0</v>
      </c>
      <c r="E23" s="273">
        <v>5.0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2.2</v>
      </c>
      <c r="N23" s="268"/>
      <c r="O23" s="269"/>
    </row>
    <row r="24">
      <c r="A24" s="260" t="s">
        <v>433</v>
      </c>
      <c r="B24" s="235" t="s">
        <v>402</v>
      </c>
      <c r="C24" s="271">
        <f>'9thMAY'!E24</f>
        <v>10</v>
      </c>
      <c r="D24" s="272">
        <v>11.0</v>
      </c>
      <c r="E24" s="273">
        <v>1.0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20</v>
      </c>
      <c r="N24" s="268"/>
      <c r="O24" s="269"/>
    </row>
    <row r="25">
      <c r="A25" s="260" t="s">
        <v>435</v>
      </c>
      <c r="B25" s="235" t="s">
        <v>402</v>
      </c>
      <c r="C25" s="271">
        <v>11.0</v>
      </c>
      <c r="D25" s="272"/>
      <c r="E25" s="273">
        <v>10.0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1</v>
      </c>
      <c r="N25" s="268"/>
      <c r="O25" s="269"/>
    </row>
    <row r="26">
      <c r="A26" s="260" t="s">
        <v>438</v>
      </c>
      <c r="B26" s="235" t="s">
        <v>402</v>
      </c>
      <c r="C26" s="271">
        <f>'9thMAY'!E26</f>
        <v>3</v>
      </c>
      <c r="D26" s="268"/>
      <c r="E26" s="273">
        <v>3.0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0</v>
      </c>
      <c r="N26" s="268"/>
      <c r="O26" s="269"/>
    </row>
    <row r="27">
      <c r="A27" s="260" t="s">
        <v>439</v>
      </c>
      <c r="B27" s="235" t="s">
        <v>402</v>
      </c>
      <c r="C27" s="271" t="str">
        <f>'9thMAY'!E27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260" t="s">
        <v>440</v>
      </c>
      <c r="B28" s="235" t="s">
        <v>402</v>
      </c>
      <c r="C28" s="271" t="str">
        <f>'9thMAY'!E28</f>
        <v/>
      </c>
      <c r="D28" s="272">
        <v>9.0</v>
      </c>
      <c r="E28" s="273">
        <v>6.0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3</v>
      </c>
      <c r="N28" s="268"/>
      <c r="O28" s="269"/>
    </row>
    <row r="29">
      <c r="A29" s="260" t="s">
        <v>441</v>
      </c>
      <c r="B29" s="235" t="s">
        <v>402</v>
      </c>
      <c r="C29" s="271">
        <f>'9thMAY'!E29</f>
        <v>6.1</v>
      </c>
      <c r="D29" s="272">
        <v>11.0</v>
      </c>
      <c r="E29" s="273"/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34.2</v>
      </c>
      <c r="N29" s="268"/>
      <c r="O29" s="269"/>
    </row>
    <row r="30">
      <c r="A30" s="260" t="s">
        <v>442</v>
      </c>
      <c r="B30" s="235" t="s">
        <v>402</v>
      </c>
      <c r="C30" s="271">
        <f>'9thMAY'!E30</f>
        <v>3</v>
      </c>
      <c r="D30" s="268"/>
      <c r="E30" s="273"/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3</v>
      </c>
      <c r="N30" s="268"/>
      <c r="O30" s="269"/>
    </row>
    <row r="31">
      <c r="A31" s="260" t="s">
        <v>444</v>
      </c>
      <c r="B31" s="235" t="s">
        <v>402</v>
      </c>
      <c r="C31" s="271">
        <f>'9thMAY'!E31</f>
        <v>5</v>
      </c>
      <c r="D31" s="268"/>
      <c r="E31" s="273">
        <v>5.0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0</v>
      </c>
      <c r="N31" s="268"/>
      <c r="O31" s="269"/>
    </row>
    <row r="32">
      <c r="A32" s="260" t="s">
        <v>445</v>
      </c>
      <c r="B32" s="235" t="s">
        <v>402</v>
      </c>
      <c r="C32" s="271">
        <f>'9thMAY'!E32</f>
        <v>7</v>
      </c>
      <c r="D32" s="268"/>
      <c r="E32" s="273">
        <v>5.0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8</v>
      </c>
      <c r="N32" s="268"/>
      <c r="O32" s="269"/>
    </row>
    <row r="33">
      <c r="A33" s="260" t="s">
        <v>446</v>
      </c>
      <c r="B33" s="235" t="s">
        <v>402</v>
      </c>
      <c r="C33" s="271">
        <f>'9thMAY'!E33</f>
        <v>1</v>
      </c>
      <c r="D33" s="268"/>
      <c r="E33" s="273"/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1</v>
      </c>
      <c r="N33" s="268"/>
      <c r="O33" s="269"/>
    </row>
    <row r="34">
      <c r="A34" s="260" t="s">
        <v>447</v>
      </c>
      <c r="B34" s="235" t="s">
        <v>402</v>
      </c>
      <c r="C34" s="271">
        <f>'9thMAY'!E34</f>
        <v>4</v>
      </c>
      <c r="D34" s="272">
        <v>8.0</v>
      </c>
      <c r="E34" s="273">
        <v>3.0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9</v>
      </c>
      <c r="N34" s="268"/>
      <c r="O34" s="269"/>
    </row>
    <row r="35">
      <c r="A35" s="260" t="s">
        <v>449</v>
      </c>
      <c r="B35" s="235" t="s">
        <v>402</v>
      </c>
      <c r="C35" s="271">
        <f>'9thMAY'!E35</f>
        <v>5</v>
      </c>
      <c r="D35" s="272"/>
      <c r="E35" s="273">
        <v>5.0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268"/>
      <c r="O35" s="269"/>
    </row>
    <row r="36">
      <c r="A36" s="260" t="s">
        <v>451</v>
      </c>
      <c r="B36" s="235" t="s">
        <v>402</v>
      </c>
      <c r="C36" s="271">
        <f>'9thMAY'!E36</f>
        <v>8</v>
      </c>
      <c r="D36" s="272">
        <v>5.0</v>
      </c>
      <c r="E36" s="273">
        <v>10.0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6</v>
      </c>
      <c r="N36" s="268"/>
      <c r="O36" s="269"/>
    </row>
    <row r="37">
      <c r="A37" s="275" t="s">
        <v>452</v>
      </c>
      <c r="B37" s="235" t="s">
        <v>402</v>
      </c>
      <c r="C37" s="271">
        <f>'9thMAY'!E37</f>
        <v>6</v>
      </c>
      <c r="D37" s="268"/>
      <c r="E37" s="273">
        <v>3.0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12</v>
      </c>
      <c r="N37" s="268"/>
      <c r="O37" s="269"/>
    </row>
    <row r="38">
      <c r="A38" s="275" t="s">
        <v>454</v>
      </c>
      <c r="B38" s="235" t="s">
        <v>402</v>
      </c>
      <c r="C38" s="271">
        <f>'9thMAY'!E38</f>
        <v>4</v>
      </c>
      <c r="D38" s="268"/>
      <c r="E38" s="273">
        <v>4.0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76" t="s">
        <v>455</v>
      </c>
      <c r="B39" s="235" t="s">
        <v>402</v>
      </c>
      <c r="C39" s="271">
        <f>'9thMAY'!E39</f>
        <v>6.2</v>
      </c>
      <c r="D39" s="272">
        <v>1.0</v>
      </c>
      <c r="E39" s="273">
        <v>7.0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0.8</v>
      </c>
      <c r="N39" s="268"/>
      <c r="O39" s="269"/>
    </row>
    <row r="40">
      <c r="A40" s="276" t="s">
        <v>456</v>
      </c>
      <c r="B40" s="235" t="s">
        <v>402</v>
      </c>
      <c r="C40" s="271">
        <f>'9thMAY'!E40</f>
        <v>3</v>
      </c>
      <c r="D40" s="272"/>
      <c r="E40" s="273"/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3</v>
      </c>
      <c r="N40" s="268"/>
      <c r="O40" s="269"/>
    </row>
    <row r="41">
      <c r="A41" s="276" t="s">
        <v>457</v>
      </c>
      <c r="B41" s="235" t="s">
        <v>402</v>
      </c>
      <c r="C41" s="271" t="str">
        <f>'9thMAY'!E41</f>
        <v/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277" t="s">
        <v>762</v>
      </c>
      <c r="B42" s="235"/>
      <c r="C42" s="271" t="str">
        <f>'9thMAY'!E42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'9thMAY'!E43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'9thMAY'!E44</f>
        <v/>
      </c>
      <c r="D44" s="227"/>
      <c r="E44" s="280"/>
      <c r="F44" s="235" t="s">
        <v>14</v>
      </c>
      <c r="G44" s="235"/>
      <c r="H44" s="272">
        <f>'9thMAY'!J44</f>
        <v>0.25</v>
      </c>
      <c r="I44" s="281">
        <v>1.0</v>
      </c>
      <c r="J44" s="282"/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0.25</v>
      </c>
      <c r="N44" s="191"/>
      <c r="O44" s="247"/>
    </row>
    <row r="45">
      <c r="A45" s="12" t="s">
        <v>16</v>
      </c>
      <c r="B45" s="13" t="s">
        <v>17</v>
      </c>
      <c r="C45" s="271" t="str">
        <f>'9thMAY'!E45</f>
        <v/>
      </c>
      <c r="D45" s="227">
        <v>4.0</v>
      </c>
      <c r="E45" s="280"/>
      <c r="F45" s="235" t="s">
        <v>17</v>
      </c>
      <c r="G45" s="235"/>
      <c r="H45" s="272">
        <f>'9thMAY'!J45</f>
        <v>12</v>
      </c>
      <c r="I45" s="281">
        <v>1.0</v>
      </c>
      <c r="J45" s="282">
        <v>7.0</v>
      </c>
      <c r="K45" s="283"/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9</v>
      </c>
      <c r="N45" s="191"/>
      <c r="O45" s="247"/>
    </row>
    <row r="46">
      <c r="A46" s="15" t="s">
        <v>19</v>
      </c>
      <c r="B46" s="13" t="s">
        <v>17</v>
      </c>
      <c r="C46" s="271" t="str">
        <f>'9thMAY'!E46</f>
        <v/>
      </c>
      <c r="D46" s="227">
        <v>5.0</v>
      </c>
      <c r="E46" s="280"/>
      <c r="F46" s="235" t="s">
        <v>17</v>
      </c>
      <c r="G46" s="235"/>
      <c r="H46" s="272">
        <f>'9thMAY'!J46</f>
        <v>4</v>
      </c>
      <c r="I46" s="281">
        <v>1.0</v>
      </c>
      <c r="J46" s="282">
        <v>7.0</v>
      </c>
      <c r="K46" s="283"/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2</v>
      </c>
      <c r="N46" s="191"/>
      <c r="O46" s="247"/>
    </row>
    <row r="47">
      <c r="A47" s="12" t="s">
        <v>20</v>
      </c>
      <c r="B47" s="13" t="s">
        <v>17</v>
      </c>
      <c r="C47" s="271" t="str">
        <f>'9thMAY'!E47</f>
        <v/>
      </c>
      <c r="D47" s="191"/>
      <c r="E47" s="280"/>
      <c r="F47" s="235" t="s">
        <v>17</v>
      </c>
      <c r="G47" s="285">
        <v>1.0</v>
      </c>
      <c r="H47" s="272">
        <f>'9thMAY'!J47</f>
        <v>12</v>
      </c>
      <c r="I47" s="281">
        <v>1.0</v>
      </c>
      <c r="J47" s="282">
        <v>13.0</v>
      </c>
      <c r="K47" s="283"/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0</v>
      </c>
      <c r="N47" s="191"/>
      <c r="O47" s="247"/>
    </row>
    <row r="48">
      <c r="A48" s="12" t="s">
        <v>21</v>
      </c>
      <c r="B48" s="13" t="s">
        <v>17</v>
      </c>
      <c r="C48" s="271" t="str">
        <f>'9thMAY'!E48</f>
        <v/>
      </c>
      <c r="D48" s="227">
        <v>5.0</v>
      </c>
      <c r="E48" s="280"/>
      <c r="F48" s="235" t="s">
        <v>17</v>
      </c>
      <c r="G48" s="235"/>
      <c r="H48" s="272">
        <f>'9thMAY'!J48</f>
        <v>2.25</v>
      </c>
      <c r="I48" s="281">
        <v>1.0</v>
      </c>
      <c r="J48" s="282">
        <v>5.0</v>
      </c>
      <c r="K48" s="283"/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2.25</v>
      </c>
      <c r="N48" s="191"/>
      <c r="O48" s="247"/>
    </row>
    <row r="49">
      <c r="A49" s="12" t="s">
        <v>22</v>
      </c>
      <c r="B49" s="13" t="s">
        <v>17</v>
      </c>
      <c r="C49" s="271" t="str">
        <f>'9thMAY'!E49</f>
        <v/>
      </c>
      <c r="D49" s="191"/>
      <c r="E49" s="247"/>
      <c r="F49" s="235" t="s">
        <v>17</v>
      </c>
      <c r="G49" s="235"/>
      <c r="H49" s="272" t="str">
        <f>'9thMAY'!J49</f>
        <v/>
      </c>
      <c r="I49" s="281">
        <v>1.0</v>
      </c>
      <c r="J49" s="284"/>
      <c r="K49" s="283"/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'9thMAY'!E50</f>
        <v/>
      </c>
      <c r="D50" s="227"/>
      <c r="E50" s="247"/>
      <c r="F50" s="235" t="s">
        <v>25</v>
      </c>
      <c r="G50" s="235"/>
      <c r="H50" s="272">
        <f>'9thMAY'!J50</f>
        <v>0.673</v>
      </c>
      <c r="I50" s="281">
        <v>1.0</v>
      </c>
      <c r="J50" s="282">
        <v>0.615</v>
      </c>
      <c r="K50" s="283"/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0.058</v>
      </c>
      <c r="N50" s="191"/>
      <c r="O50" s="247"/>
    </row>
    <row r="51">
      <c r="A51" s="12" t="s">
        <v>27</v>
      </c>
      <c r="B51" s="12" t="s">
        <v>24</v>
      </c>
      <c r="C51" s="271" t="str">
        <f>'9thMAY'!E51</f>
        <v/>
      </c>
      <c r="D51" s="191"/>
      <c r="E51" s="247"/>
      <c r="F51" s="235" t="s">
        <v>24</v>
      </c>
      <c r="G51" s="235"/>
      <c r="H51" s="272" t="str">
        <f>'9thMAY'!J51</f>
        <v/>
      </c>
      <c r="I51" s="281">
        <v>1.0</v>
      </c>
      <c r="J51" s="284"/>
      <c r="K51" s="283"/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'9thMAY'!E52</f>
        <v/>
      </c>
      <c r="D52" s="227">
        <v>1.0</v>
      </c>
      <c r="E52" s="280"/>
      <c r="F52" s="235" t="s">
        <v>14</v>
      </c>
      <c r="G52" s="285"/>
      <c r="H52" s="272" t="str">
        <f>'9thMAY'!J52</f>
        <v/>
      </c>
      <c r="I52" s="281">
        <v>1.0</v>
      </c>
      <c r="J52" s="284"/>
      <c r="K52" s="283"/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0.473</v>
      </c>
      <c r="N52" s="191"/>
      <c r="O52" s="247"/>
    </row>
    <row r="53">
      <c r="A53" s="286" t="s">
        <v>30</v>
      </c>
      <c r="B53" s="12" t="s">
        <v>24</v>
      </c>
      <c r="C53" s="271" t="str">
        <f>'9thMAY'!E53</f>
        <v/>
      </c>
      <c r="D53" s="227"/>
      <c r="E53" s="280"/>
      <c r="F53" s="235" t="s">
        <v>35</v>
      </c>
      <c r="G53" s="235"/>
      <c r="H53" s="272">
        <f>'9thMAY'!J53</f>
        <v>0.455</v>
      </c>
      <c r="I53" s="281">
        <v>1.0</v>
      </c>
      <c r="J53" s="282">
        <v>0.364</v>
      </c>
      <c r="K53" s="283"/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0.091</v>
      </c>
      <c r="N53" s="191"/>
      <c r="O53" s="247"/>
    </row>
    <row r="54">
      <c r="A54" s="12" t="s">
        <v>33</v>
      </c>
      <c r="B54" s="12" t="s">
        <v>34</v>
      </c>
      <c r="C54" s="271" t="str">
        <f>'9thMAY'!E54</f>
        <v/>
      </c>
      <c r="D54" s="227">
        <v>2.0</v>
      </c>
      <c r="E54" s="247"/>
      <c r="F54" s="235" t="s">
        <v>35</v>
      </c>
      <c r="G54" s="235"/>
      <c r="H54" s="272" t="str">
        <f>'9thMAY'!J54</f>
        <v/>
      </c>
      <c r="I54" s="281">
        <v>1.0</v>
      </c>
      <c r="J54" s="284"/>
      <c r="K54" s="283"/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0.8</v>
      </c>
      <c r="N54" s="191"/>
      <c r="O54" s="247"/>
    </row>
    <row r="55">
      <c r="A55" s="12" t="s">
        <v>37</v>
      </c>
      <c r="B55" s="12" t="s">
        <v>17</v>
      </c>
      <c r="C55" s="271" t="str">
        <f>'9thMAY'!E55</f>
        <v/>
      </c>
      <c r="D55" s="191"/>
      <c r="E55" s="247"/>
      <c r="F55" s="235" t="s">
        <v>752</v>
      </c>
      <c r="G55" s="235"/>
      <c r="H55" s="272" t="str">
        <f>'9thMAY'!J55</f>
        <v/>
      </c>
      <c r="I55" s="281">
        <v>1.0</v>
      </c>
      <c r="J55" s="284"/>
      <c r="K55" s="283"/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>
        <f>'9thMAY'!E56</f>
        <v>1</v>
      </c>
      <c r="D56" s="191"/>
      <c r="E56" s="247"/>
      <c r="F56" s="235" t="s">
        <v>17</v>
      </c>
      <c r="G56" s="235"/>
      <c r="H56" s="272">
        <f>'9thMAY'!J56</f>
        <v>12</v>
      </c>
      <c r="I56" s="281">
        <v>1.0</v>
      </c>
      <c r="J56" s="282">
        <v>73.0</v>
      </c>
      <c r="K56" s="283"/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39</v>
      </c>
      <c r="N56" s="191"/>
      <c r="O56" s="247"/>
    </row>
    <row r="57">
      <c r="A57" s="12" t="s">
        <v>42</v>
      </c>
      <c r="B57" s="12" t="s">
        <v>24</v>
      </c>
      <c r="C57" s="271" t="str">
        <f>'9thMAY'!E57</f>
        <v/>
      </c>
      <c r="D57" s="227">
        <v>1.0</v>
      </c>
      <c r="E57" s="280"/>
      <c r="F57" s="235" t="s">
        <v>35</v>
      </c>
      <c r="G57" s="235"/>
      <c r="H57" s="272">
        <f>'9thMAY'!J57</f>
        <v>0.277</v>
      </c>
      <c r="I57" s="281">
        <v>1.0</v>
      </c>
      <c r="J57" s="282">
        <v>0.198</v>
      </c>
      <c r="K57" s="283"/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0.476</v>
      </c>
      <c r="N57" s="191"/>
      <c r="O57" s="247"/>
    </row>
    <row r="58">
      <c r="A58" s="12" t="s">
        <v>44</v>
      </c>
      <c r="B58" s="12" t="s">
        <v>24</v>
      </c>
      <c r="C58" s="271" t="str">
        <f>'9thMAY'!E58</f>
        <v/>
      </c>
      <c r="D58" s="191"/>
      <c r="E58" s="247"/>
      <c r="F58" s="235" t="s">
        <v>25</v>
      </c>
      <c r="G58" s="235"/>
      <c r="H58" s="272">
        <f>'9thMAY'!J58</f>
        <v>0.63</v>
      </c>
      <c r="I58" s="281">
        <v>1.0</v>
      </c>
      <c r="J58" s="282">
        <v>0.529</v>
      </c>
      <c r="K58" s="283"/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0.101</v>
      </c>
      <c r="N58" s="191"/>
      <c r="O58" s="247"/>
    </row>
    <row r="59">
      <c r="A59" s="12" t="s">
        <v>45</v>
      </c>
      <c r="B59" s="12" t="s">
        <v>24</v>
      </c>
      <c r="C59" s="271" t="str">
        <f>'9thMAY'!E59</f>
        <v/>
      </c>
      <c r="D59" s="191"/>
      <c r="E59" s="247"/>
      <c r="F59" s="235" t="s">
        <v>25</v>
      </c>
      <c r="G59" s="235"/>
      <c r="H59" s="272">
        <f>'9thMAY'!J59</f>
        <v>0.901</v>
      </c>
      <c r="I59" s="281">
        <v>1.0</v>
      </c>
      <c r="J59" s="282">
        <v>0.888</v>
      </c>
      <c r="K59" s="283"/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0.013</v>
      </c>
      <c r="N59" s="191"/>
      <c r="O59" s="247"/>
    </row>
    <row r="60">
      <c r="A60" s="17" t="s">
        <v>46</v>
      </c>
      <c r="B60" s="12" t="s">
        <v>47</v>
      </c>
      <c r="C60" s="271" t="str">
        <f>'9thMAY'!E60</f>
        <v/>
      </c>
      <c r="D60" s="191"/>
      <c r="E60" s="247"/>
      <c r="F60" s="235" t="s">
        <v>51</v>
      </c>
      <c r="G60" s="235"/>
      <c r="H60" s="272" t="str">
        <f>'9thMAY'!J60</f>
        <v/>
      </c>
      <c r="I60" s="281">
        <v>1.0</v>
      </c>
      <c r="J60" s="284"/>
      <c r="K60" s="283"/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'9thMAY'!E61</f>
        <v/>
      </c>
      <c r="D61" s="191"/>
      <c r="E61" s="247"/>
      <c r="F61" s="235" t="s">
        <v>51</v>
      </c>
      <c r="G61" s="235"/>
      <c r="H61" s="272" t="str">
        <f>'9thMAY'!J61</f>
        <v/>
      </c>
      <c r="I61" s="281">
        <v>1.0</v>
      </c>
      <c r="J61" s="284"/>
      <c r="K61" s="283"/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'9thMAY'!E62</f>
        <v/>
      </c>
      <c r="D62" s="191"/>
      <c r="E62" s="247"/>
      <c r="F62" s="235" t="s">
        <v>51</v>
      </c>
      <c r="G62" s="235"/>
      <c r="H62" s="272">
        <f>'9thMAY'!J62</f>
        <v>0.473</v>
      </c>
      <c r="I62" s="281">
        <v>1.0</v>
      </c>
      <c r="J62" s="282">
        <v>0.425</v>
      </c>
      <c r="K62" s="283"/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0.048</v>
      </c>
      <c r="N62" s="191"/>
      <c r="O62" s="247"/>
    </row>
    <row r="63">
      <c r="A63" s="12" t="s">
        <v>53</v>
      </c>
      <c r="B63" s="12" t="s">
        <v>35</v>
      </c>
      <c r="C63" s="271" t="str">
        <f>'9thMAY'!E63</f>
        <v/>
      </c>
      <c r="D63" s="227">
        <v>1.0</v>
      </c>
      <c r="E63" s="247"/>
      <c r="F63" s="235" t="s">
        <v>35</v>
      </c>
      <c r="G63" s="285">
        <v>0.406</v>
      </c>
      <c r="H63" s="272">
        <f>'9thMAY'!J63</f>
        <v>0.406</v>
      </c>
      <c r="I63" s="281">
        <v>1.0</v>
      </c>
      <c r="J63" s="282">
        <v>1.583</v>
      </c>
      <c r="K63" s="283"/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0.229</v>
      </c>
      <c r="N63" s="191"/>
      <c r="O63" s="247"/>
    </row>
    <row r="64">
      <c r="A64" s="11" t="s">
        <v>55</v>
      </c>
      <c r="B64" s="11" t="s">
        <v>56</v>
      </c>
      <c r="C64" s="271" t="str">
        <f>'9thMAY'!E64</f>
        <v/>
      </c>
      <c r="D64" s="191"/>
      <c r="E64" s="247"/>
      <c r="F64" s="235" t="s">
        <v>14</v>
      </c>
      <c r="G64" s="235"/>
      <c r="H64" s="272" t="str">
        <f>'9thMAY'!J64</f>
        <v/>
      </c>
      <c r="I64" s="281">
        <v>1.0</v>
      </c>
      <c r="J64" s="284"/>
      <c r="K64" s="283"/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</v>
      </c>
      <c r="N64" s="191"/>
      <c r="O64" s="247"/>
    </row>
    <row r="65">
      <c r="A65" s="10" t="s">
        <v>57</v>
      </c>
      <c r="B65" s="11"/>
      <c r="C65" s="271" t="str">
        <f>'9thMAY'!E65</f>
        <v/>
      </c>
      <c r="D65" s="191"/>
      <c r="E65" s="247"/>
      <c r="F65" s="235"/>
      <c r="G65" s="235"/>
      <c r="H65" s="272" t="str">
        <f>'9thMAY'!J65</f>
        <v/>
      </c>
      <c r="I65" s="281">
        <v>1.0</v>
      </c>
      <c r="J65" s="284"/>
      <c r="K65" s="283"/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 t="str">
        <f>'9thMAY'!E66</f>
        <v/>
      </c>
      <c r="D66" s="227">
        <v>3.0</v>
      </c>
      <c r="E66" s="280">
        <v>2.0</v>
      </c>
      <c r="F66" s="235" t="s">
        <v>35</v>
      </c>
      <c r="G66" s="235"/>
      <c r="H66" s="272" t="str">
        <f>'9thMAY'!J66</f>
        <v/>
      </c>
      <c r="I66" s="281">
        <v>1.0</v>
      </c>
      <c r="J66" s="282">
        <v>0.925</v>
      </c>
      <c r="K66" s="283"/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1.075</v>
      </c>
      <c r="N66" s="191"/>
      <c r="O66" s="247"/>
    </row>
    <row r="67">
      <c r="A67" s="12" t="s">
        <v>61</v>
      </c>
      <c r="B67" s="12" t="s">
        <v>59</v>
      </c>
      <c r="C67" s="271"/>
      <c r="D67" s="191"/>
      <c r="E67" s="247"/>
      <c r="F67" s="235" t="s">
        <v>35</v>
      </c>
      <c r="G67" s="285">
        <v>1.0</v>
      </c>
      <c r="H67" s="272">
        <f>'9thMAY'!J67</f>
        <v>0.08</v>
      </c>
      <c r="I67" s="281">
        <v>1.0</v>
      </c>
      <c r="J67" s="282">
        <v>0.236</v>
      </c>
      <c r="K67" s="283"/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0.844</v>
      </c>
      <c r="N67" s="191"/>
      <c r="O67" s="247"/>
    </row>
    <row r="68">
      <c r="A68" s="12" t="s">
        <v>62</v>
      </c>
      <c r="B68" s="12" t="s">
        <v>35</v>
      </c>
      <c r="C68" s="271" t="str">
        <f>'9thMAY'!E68</f>
        <v/>
      </c>
      <c r="D68" s="227">
        <v>5.0</v>
      </c>
      <c r="E68" s="280"/>
      <c r="F68" s="235" t="s">
        <v>35</v>
      </c>
      <c r="G68" s="235"/>
      <c r="H68" s="272" t="str">
        <f>'9thMAY'!J68</f>
        <v/>
      </c>
      <c r="I68" s="281">
        <v>1.0</v>
      </c>
      <c r="J68" s="282">
        <v>4.0</v>
      </c>
      <c r="K68" s="283"/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1</v>
      </c>
      <c r="N68" s="191"/>
      <c r="O68" s="247"/>
    </row>
    <row r="69">
      <c r="A69" s="12" t="s">
        <v>64</v>
      </c>
      <c r="B69" s="12" t="s">
        <v>59</v>
      </c>
      <c r="C69" s="271" t="str">
        <f>'9thMAY'!E69</f>
        <v/>
      </c>
      <c r="D69" s="227">
        <v>1.0</v>
      </c>
      <c r="E69" s="247"/>
      <c r="F69" s="235" t="s">
        <v>35</v>
      </c>
      <c r="G69" s="235"/>
      <c r="H69" s="272">
        <f>'9thMAY'!J69</f>
        <v>0.321</v>
      </c>
      <c r="I69" s="281">
        <v>1.0</v>
      </c>
      <c r="J69" s="282">
        <v>0.03</v>
      </c>
      <c r="K69" s="283"/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0.691</v>
      </c>
      <c r="N69" s="191"/>
      <c r="O69" s="247"/>
    </row>
    <row r="70">
      <c r="A70" s="10" t="s">
        <v>65</v>
      </c>
      <c r="B70" s="11"/>
      <c r="C70" s="271" t="str">
        <f>'9thMAY'!E70</f>
        <v/>
      </c>
      <c r="D70" s="191"/>
      <c r="E70" s="247"/>
      <c r="F70" s="235"/>
      <c r="G70" s="235"/>
      <c r="H70" s="272" t="str">
        <f>'9thMAY'!J70</f>
        <v/>
      </c>
      <c r="I70" s="281">
        <v>1.0</v>
      </c>
      <c r="J70" s="284"/>
      <c r="K70" s="283"/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'9thMAY'!E71</f>
        <v/>
      </c>
      <c r="D71" s="191"/>
      <c r="E71" s="247"/>
      <c r="F71" s="235" t="s">
        <v>25</v>
      </c>
      <c r="G71" s="285">
        <v>7.0</v>
      </c>
      <c r="H71" s="272" t="str">
        <f>'9thMAY'!J71</f>
        <v/>
      </c>
      <c r="I71" s="281">
        <v>1.0</v>
      </c>
      <c r="J71" s="282"/>
      <c r="K71" s="283"/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7</v>
      </c>
      <c r="N71" s="191"/>
      <c r="O71" s="247"/>
    </row>
    <row r="72">
      <c r="A72" s="12" t="s">
        <v>68</v>
      </c>
      <c r="B72" s="12" t="s">
        <v>35</v>
      </c>
      <c r="C72" s="271" t="str">
        <f>'9thMAY'!E72</f>
        <v/>
      </c>
      <c r="D72" s="227">
        <v>0.5</v>
      </c>
      <c r="E72" s="247"/>
      <c r="F72" s="235" t="s">
        <v>35</v>
      </c>
      <c r="G72" s="235"/>
      <c r="H72" s="272" t="str">
        <f>'9thMAY'!J72</f>
        <v/>
      </c>
      <c r="I72" s="281">
        <v>1.0</v>
      </c>
      <c r="J72" s="282">
        <v>0.095</v>
      </c>
      <c r="K72" s="283"/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0.405</v>
      </c>
      <c r="N72" s="191"/>
      <c r="O72" s="247"/>
    </row>
    <row r="73">
      <c r="A73" s="12" t="s">
        <v>70</v>
      </c>
      <c r="B73" s="12" t="s">
        <v>35</v>
      </c>
      <c r="C73" s="271" t="str">
        <f>'9thMAY'!E73</f>
        <v/>
      </c>
      <c r="D73" s="191"/>
      <c r="E73" s="247"/>
      <c r="F73" s="235" t="s">
        <v>35</v>
      </c>
      <c r="G73" s="235"/>
      <c r="H73" s="272" t="str">
        <f>'9thMAY'!J73</f>
        <v/>
      </c>
      <c r="I73" s="281">
        <v>1.0</v>
      </c>
      <c r="J73" s="284"/>
      <c r="K73" s="283"/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'9thMAY'!E74</f>
        <v/>
      </c>
      <c r="D74" s="227">
        <v>1.0</v>
      </c>
      <c r="E74" s="247"/>
      <c r="F74" s="235" t="s">
        <v>25</v>
      </c>
      <c r="G74" s="235"/>
      <c r="H74" s="272">
        <f>'9thMAY'!J74</f>
        <v>0.509</v>
      </c>
      <c r="I74" s="281">
        <v>1.0</v>
      </c>
      <c r="J74" s="282">
        <v>0.589</v>
      </c>
      <c r="K74" s="283"/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0.92</v>
      </c>
      <c r="N74" s="191"/>
      <c r="O74" s="247"/>
    </row>
    <row r="75">
      <c r="A75" s="12" t="s">
        <v>74</v>
      </c>
      <c r="B75" s="12" t="s">
        <v>17</v>
      </c>
      <c r="C75" s="271" t="str">
        <f>'9thMAY'!E75</f>
        <v/>
      </c>
      <c r="D75" s="191"/>
      <c r="E75" s="247"/>
      <c r="F75" s="235" t="s">
        <v>25</v>
      </c>
      <c r="G75" s="235"/>
      <c r="H75" s="272" t="str">
        <f>'9thMAY'!J75</f>
        <v/>
      </c>
      <c r="I75" s="281">
        <v>1.0</v>
      </c>
      <c r="J75" s="284"/>
      <c r="K75" s="283"/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</v>
      </c>
      <c r="N75" s="191"/>
      <c r="O75" s="247"/>
    </row>
    <row r="76">
      <c r="A76" s="12" t="s">
        <v>76</v>
      </c>
      <c r="B76" s="12" t="s">
        <v>72</v>
      </c>
      <c r="C76" s="271" t="str">
        <f>'9thMAY'!E76</f>
        <v/>
      </c>
      <c r="D76" s="191"/>
      <c r="E76" s="247"/>
      <c r="F76" s="235" t="s">
        <v>35</v>
      </c>
      <c r="G76" s="235"/>
      <c r="H76" s="272">
        <f>'9thMAY'!J76</f>
        <v>1</v>
      </c>
      <c r="I76" s="281">
        <v>1.0</v>
      </c>
      <c r="J76" s="282">
        <v>1.0</v>
      </c>
      <c r="K76" s="283"/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'9thMAY'!E77</f>
        <v/>
      </c>
      <c r="D77" s="191"/>
      <c r="E77" s="247"/>
      <c r="F77" s="235" t="s">
        <v>25</v>
      </c>
      <c r="G77" s="235"/>
      <c r="H77" s="272" t="str">
        <f>'9thMAY'!J77</f>
        <v/>
      </c>
      <c r="I77" s="281">
        <v>1.0</v>
      </c>
      <c r="J77" s="284"/>
      <c r="K77" s="283"/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</v>
      </c>
      <c r="N77" s="191"/>
      <c r="O77" s="247"/>
    </row>
    <row r="78">
      <c r="A78" s="12" t="s">
        <v>80</v>
      </c>
      <c r="B78" s="12" t="s">
        <v>56</v>
      </c>
      <c r="C78" s="271" t="str">
        <f>'9thMAY'!E78</f>
        <v/>
      </c>
      <c r="D78" s="191"/>
      <c r="E78" s="247"/>
      <c r="F78" s="235" t="s">
        <v>35</v>
      </c>
      <c r="G78" s="235"/>
      <c r="H78" s="272" t="str">
        <f>'9thMAY'!J78</f>
        <v/>
      </c>
      <c r="I78" s="281">
        <v>1.0</v>
      </c>
      <c r="J78" s="284"/>
      <c r="K78" s="283"/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'9thMAY'!E79</f>
        <v/>
      </c>
      <c r="D79" s="191"/>
      <c r="E79" s="247"/>
      <c r="F79" s="235" t="s">
        <v>35</v>
      </c>
      <c r="G79" s="235"/>
      <c r="H79" s="272">
        <f>'9thMAY'!J79</f>
        <v>0.497</v>
      </c>
      <c r="I79" s="281">
        <v>1.0</v>
      </c>
      <c r="J79" s="282">
        <v>0.45</v>
      </c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0.047</v>
      </c>
      <c r="N79" s="191"/>
      <c r="O79" s="247"/>
    </row>
    <row r="80">
      <c r="A80" s="10" t="s">
        <v>85</v>
      </c>
      <c r="B80" s="11"/>
      <c r="C80" s="271" t="str">
        <f>'9thMAY'!E80</f>
        <v/>
      </c>
      <c r="D80" s="191"/>
      <c r="E80" s="247"/>
      <c r="F80" s="235"/>
      <c r="G80" s="235"/>
      <c r="H80" s="272" t="str">
        <f>'9thMAY'!J80</f>
        <v/>
      </c>
      <c r="I80" s="281">
        <v>1.0</v>
      </c>
      <c r="J80" s="284"/>
      <c r="K80" s="283"/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'9thMAY'!E81</f>
        <v/>
      </c>
      <c r="D81" s="227">
        <v>1.0</v>
      </c>
      <c r="E81" s="247"/>
      <c r="F81" s="235" t="s">
        <v>25</v>
      </c>
      <c r="G81" s="235"/>
      <c r="H81" s="272">
        <f>'9thMAY'!J81</f>
        <v>0.785</v>
      </c>
      <c r="I81" s="281">
        <v>1.0</v>
      </c>
      <c r="J81" s="282">
        <v>0.495</v>
      </c>
      <c r="K81" s="283"/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0.79</v>
      </c>
      <c r="N81" s="191"/>
      <c r="O81" s="247"/>
    </row>
    <row r="82">
      <c r="A82" s="12" t="s">
        <v>87</v>
      </c>
      <c r="B82" s="12" t="s">
        <v>83</v>
      </c>
      <c r="C82" s="271" t="str">
        <f>'9thMAY'!E82</f>
        <v/>
      </c>
      <c r="D82" s="227">
        <v>1.0</v>
      </c>
      <c r="E82" s="280"/>
      <c r="F82" s="235" t="s">
        <v>25</v>
      </c>
      <c r="G82" s="235"/>
      <c r="H82" s="272">
        <f>'9thMAY'!J82</f>
        <v>0.841</v>
      </c>
      <c r="I82" s="281">
        <v>1.0</v>
      </c>
      <c r="J82" s="282">
        <v>0.508</v>
      </c>
      <c r="K82" s="283"/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0.833</v>
      </c>
      <c r="N82" s="191"/>
      <c r="O82" s="247"/>
    </row>
    <row r="83">
      <c r="A83" s="12" t="s">
        <v>88</v>
      </c>
      <c r="B83" s="12" t="s">
        <v>83</v>
      </c>
      <c r="C83" s="271" t="str">
        <f>'9thMAY'!E83</f>
        <v/>
      </c>
      <c r="D83" s="191"/>
      <c r="E83" s="247"/>
      <c r="F83" s="235" t="s">
        <v>25</v>
      </c>
      <c r="G83" s="235"/>
      <c r="H83" s="272" t="str">
        <f>'9thMAY'!J83</f>
        <v/>
      </c>
      <c r="I83" s="281">
        <v>1.0</v>
      </c>
      <c r="J83" s="282"/>
      <c r="K83" s="283"/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</v>
      </c>
      <c r="N83" s="191"/>
      <c r="O83" s="247"/>
    </row>
    <row r="84">
      <c r="A84" s="12" t="s">
        <v>89</v>
      </c>
      <c r="B84" s="12" t="s">
        <v>83</v>
      </c>
      <c r="C84" s="271" t="str">
        <f>'9thMAY'!E84</f>
        <v/>
      </c>
      <c r="D84" s="227">
        <v>1.0</v>
      </c>
      <c r="E84" s="280"/>
      <c r="F84" s="235" t="s">
        <v>25</v>
      </c>
      <c r="G84" s="235"/>
      <c r="H84" s="272" t="str">
        <f>'9thMAY'!J84</f>
        <v/>
      </c>
      <c r="I84" s="281">
        <v>1.0</v>
      </c>
      <c r="J84" s="282">
        <v>0.128</v>
      </c>
      <c r="K84" s="283"/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0.382</v>
      </c>
      <c r="N84" s="191"/>
      <c r="O84" s="247"/>
    </row>
    <row r="85">
      <c r="A85" s="12" t="s">
        <v>90</v>
      </c>
      <c r="B85" s="12" t="s">
        <v>24</v>
      </c>
      <c r="C85" s="271" t="str">
        <f>'9thMAY'!E85</f>
        <v/>
      </c>
      <c r="D85" s="227">
        <v>1.0</v>
      </c>
      <c r="E85" s="280"/>
      <c r="F85" s="235" t="s">
        <v>25</v>
      </c>
      <c r="G85" s="235"/>
      <c r="H85" s="272">
        <f>'9thMAY'!J85</f>
        <v>1</v>
      </c>
      <c r="I85" s="281">
        <v>1.0</v>
      </c>
      <c r="J85" s="282">
        <v>0.329</v>
      </c>
      <c r="K85" s="283"/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0.966</v>
      </c>
      <c r="N85" s="191"/>
      <c r="O85" s="247"/>
    </row>
    <row r="86">
      <c r="A86" s="12" t="s">
        <v>91</v>
      </c>
      <c r="B86" s="12" t="s">
        <v>56</v>
      </c>
      <c r="C86" s="271" t="str">
        <f>'9thMAY'!E86</f>
        <v/>
      </c>
      <c r="D86" s="227">
        <v>1.0</v>
      </c>
      <c r="E86" s="280"/>
      <c r="F86" s="235" t="s">
        <v>25</v>
      </c>
      <c r="G86" s="235"/>
      <c r="H86" s="272">
        <f>'9thMAY'!J86</f>
        <v>2.931</v>
      </c>
      <c r="I86" s="281">
        <v>1.0</v>
      </c>
      <c r="J86" s="282">
        <v>0.5</v>
      </c>
      <c r="K86" s="283"/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7.431</v>
      </c>
      <c r="N86" s="191"/>
      <c r="O86" s="247"/>
    </row>
    <row r="87">
      <c r="A87" s="12" t="s">
        <v>92</v>
      </c>
      <c r="B87" s="12" t="s">
        <v>83</v>
      </c>
      <c r="C87" s="271" t="str">
        <f>'9thMAY'!E87</f>
        <v/>
      </c>
      <c r="D87" s="191"/>
      <c r="E87" s="247"/>
      <c r="F87" s="235" t="s">
        <v>25</v>
      </c>
      <c r="G87" s="235"/>
      <c r="H87" s="272">
        <f>'9thMAY'!J87</f>
        <v>0.244</v>
      </c>
      <c r="I87" s="281">
        <v>1.0</v>
      </c>
      <c r="J87" s="282">
        <v>0.168</v>
      </c>
      <c r="K87" s="283"/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0.076</v>
      </c>
      <c r="N87" s="191"/>
      <c r="O87" s="247"/>
    </row>
    <row r="88">
      <c r="A88" s="12" t="s">
        <v>93</v>
      </c>
      <c r="B88" s="12" t="s">
        <v>83</v>
      </c>
      <c r="C88" s="271" t="str">
        <f>'9thMAY'!E88</f>
        <v/>
      </c>
      <c r="D88" s="191"/>
      <c r="E88" s="247"/>
      <c r="F88" s="235" t="s">
        <v>25</v>
      </c>
      <c r="G88" s="235"/>
      <c r="H88" s="272">
        <f>'9thMAY'!J88</f>
        <v>0.771</v>
      </c>
      <c r="I88" s="281">
        <v>1.0</v>
      </c>
      <c r="J88" s="282">
        <v>0.767</v>
      </c>
      <c r="K88" s="283"/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0.004</v>
      </c>
      <c r="N88" s="191"/>
      <c r="O88" s="247"/>
    </row>
    <row r="89">
      <c r="A89" s="12" t="s">
        <v>95</v>
      </c>
      <c r="B89" s="12" t="s">
        <v>83</v>
      </c>
      <c r="C89" s="271" t="str">
        <f>'9thMAY'!E89</f>
        <v/>
      </c>
      <c r="D89" s="191"/>
      <c r="E89" s="247"/>
      <c r="F89" s="235" t="s">
        <v>25</v>
      </c>
      <c r="G89" s="235"/>
      <c r="H89" s="272">
        <f>'9thMAY'!J89</f>
        <v>0.805</v>
      </c>
      <c r="I89" s="281">
        <v>1.0</v>
      </c>
      <c r="J89" s="282">
        <v>0.726</v>
      </c>
      <c r="K89" s="283"/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0.079</v>
      </c>
      <c r="N89" s="191"/>
      <c r="O89" s="247"/>
    </row>
    <row r="90">
      <c r="A90" s="10" t="s">
        <v>96</v>
      </c>
      <c r="B90" s="11"/>
      <c r="C90" s="271" t="str">
        <f>'9thMAY'!E90</f>
        <v/>
      </c>
      <c r="D90" s="191"/>
      <c r="E90" s="247"/>
      <c r="F90" s="235"/>
      <c r="G90" s="235"/>
      <c r="H90" s="272" t="str">
        <f>'9thMAY'!J90</f>
        <v/>
      </c>
      <c r="I90" s="281">
        <v>1.0</v>
      </c>
      <c r="J90" s="284"/>
      <c r="K90" s="283"/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'9thMAY'!E91</f>
        <v/>
      </c>
      <c r="D91" s="191"/>
      <c r="E91" s="247"/>
      <c r="F91" s="235" t="s">
        <v>35</v>
      </c>
      <c r="G91" s="235"/>
      <c r="H91" s="272" t="str">
        <f>'9thMAY'!J91</f>
        <v/>
      </c>
      <c r="I91" s="281">
        <v>1.0</v>
      </c>
      <c r="J91" s="284"/>
      <c r="K91" s="283"/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'9thMAY'!E92</f>
        <v/>
      </c>
      <c r="D92" s="227">
        <v>1.0</v>
      </c>
      <c r="E92" s="247"/>
      <c r="F92" s="235" t="s">
        <v>35</v>
      </c>
      <c r="G92" s="235"/>
      <c r="H92" s="272">
        <f>'9thMAY'!J92</f>
        <v>0.133</v>
      </c>
      <c r="I92" s="281">
        <v>1.0</v>
      </c>
      <c r="J92" s="282">
        <v>1.0</v>
      </c>
      <c r="K92" s="283"/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0.133</v>
      </c>
      <c r="N92" s="191"/>
      <c r="O92" s="247"/>
    </row>
    <row r="93">
      <c r="A93" s="12" t="s">
        <v>100</v>
      </c>
      <c r="B93" s="12" t="s">
        <v>40</v>
      </c>
      <c r="C93" s="271" t="str">
        <f>'9thMAY'!E93</f>
        <v/>
      </c>
      <c r="D93" s="191"/>
      <c r="E93" s="247"/>
      <c r="F93" s="235" t="s">
        <v>35</v>
      </c>
      <c r="G93" s="235"/>
      <c r="H93" s="272">
        <f>'9thMAY'!J93</f>
        <v>0.189</v>
      </c>
      <c r="I93" s="281">
        <v>1.0</v>
      </c>
      <c r="J93" s="282">
        <v>0.105</v>
      </c>
      <c r="K93" s="283"/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0.084</v>
      </c>
      <c r="N93" s="191"/>
      <c r="O93" s="247"/>
    </row>
    <row r="94">
      <c r="A94" s="12" t="s">
        <v>101</v>
      </c>
      <c r="B94" s="12" t="s">
        <v>40</v>
      </c>
      <c r="C94" s="271" t="str">
        <f>'9thMAY'!E94</f>
        <v/>
      </c>
      <c r="D94" s="191"/>
      <c r="E94" s="247"/>
      <c r="F94" s="235" t="s">
        <v>35</v>
      </c>
      <c r="G94" s="235"/>
      <c r="H94" s="272" t="str">
        <f>'9thMAY'!J94</f>
        <v/>
      </c>
      <c r="I94" s="281">
        <v>1.0</v>
      </c>
      <c r="J94" s="284"/>
      <c r="K94" s="283"/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'9thMAY'!E95</f>
        <v/>
      </c>
      <c r="D95" s="191"/>
      <c r="E95" s="247"/>
      <c r="F95" s="235" t="s">
        <v>35</v>
      </c>
      <c r="G95" s="235"/>
      <c r="H95" s="272">
        <f>'9thMAY'!J95</f>
        <v>0.103</v>
      </c>
      <c r="I95" s="281">
        <v>1.0</v>
      </c>
      <c r="J95" s="282">
        <v>0.05</v>
      </c>
      <c r="K95" s="283"/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0.053</v>
      </c>
      <c r="N95" s="191"/>
      <c r="O95" s="247"/>
    </row>
    <row r="96">
      <c r="A96" s="12" t="s">
        <v>103</v>
      </c>
      <c r="B96" s="12" t="s">
        <v>40</v>
      </c>
      <c r="C96" s="271" t="str">
        <f>'9thMAY'!E96</f>
        <v/>
      </c>
      <c r="D96" s="227">
        <v>1.0</v>
      </c>
      <c r="E96" s="247"/>
      <c r="F96" s="235" t="s">
        <v>35</v>
      </c>
      <c r="G96" s="235"/>
      <c r="H96" s="272" t="str">
        <f>'9thMAY'!J96</f>
        <v/>
      </c>
      <c r="I96" s="281">
        <v>1.0</v>
      </c>
      <c r="J96" s="282">
        <v>1.0</v>
      </c>
      <c r="K96" s="283"/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71" t="str">
        <f>'9thMAY'!E97</f>
        <v/>
      </c>
      <c r="D97" s="227"/>
      <c r="E97" s="247"/>
      <c r="F97" s="235" t="s">
        <v>35</v>
      </c>
      <c r="G97" s="235"/>
      <c r="H97" s="272" t="str">
        <f>'9thMAY'!J97</f>
        <v/>
      </c>
      <c r="I97" s="281">
        <v>1.0</v>
      </c>
      <c r="J97" s="282"/>
      <c r="K97" s="283"/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'9thMAY'!E98</f>
        <v/>
      </c>
      <c r="D98" s="191"/>
      <c r="E98" s="247"/>
      <c r="F98" s="235" t="s">
        <v>35</v>
      </c>
      <c r="G98" s="235"/>
      <c r="H98" s="272">
        <f>'9thMAY'!J98</f>
        <v>0.316</v>
      </c>
      <c r="I98" s="281">
        <v>1.0</v>
      </c>
      <c r="J98" s="282">
        <v>0.239</v>
      </c>
      <c r="K98" s="283"/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0.077</v>
      </c>
      <c r="N98" s="191"/>
      <c r="O98" s="247"/>
    </row>
    <row r="99">
      <c r="A99" s="12" t="s">
        <v>108</v>
      </c>
      <c r="B99" s="12" t="s">
        <v>40</v>
      </c>
      <c r="C99" s="271" t="str">
        <f>'9thMAY'!E99</f>
        <v/>
      </c>
      <c r="D99" s="191"/>
      <c r="E99" s="247"/>
      <c r="F99" s="235" t="s">
        <v>35</v>
      </c>
      <c r="G99" s="235"/>
      <c r="H99" s="272">
        <f>'9thMAY'!J99</f>
        <v>0.445</v>
      </c>
      <c r="I99" s="281">
        <v>1.0</v>
      </c>
      <c r="J99" s="282">
        <v>0.439</v>
      </c>
      <c r="K99" s="283"/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0.006</v>
      </c>
      <c r="N99" s="191"/>
      <c r="O99" s="247"/>
    </row>
    <row r="100">
      <c r="A100" s="12" t="s">
        <v>109</v>
      </c>
      <c r="B100" s="12" t="s">
        <v>40</v>
      </c>
      <c r="C100" s="271" t="str">
        <f>'9thMAY'!E100</f>
        <v/>
      </c>
      <c r="D100" s="191"/>
      <c r="E100" s="247"/>
      <c r="F100" s="235" t="s">
        <v>35</v>
      </c>
      <c r="G100" s="235"/>
      <c r="H100" s="272">
        <f>'9thMAY'!J100</f>
        <v>0.376</v>
      </c>
      <c r="I100" s="281">
        <v>1.0</v>
      </c>
      <c r="J100" s="282">
        <v>0.371</v>
      </c>
      <c r="K100" s="283"/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0.005</v>
      </c>
      <c r="N100" s="191"/>
      <c r="O100" s="247"/>
    </row>
    <row r="101">
      <c r="A101" s="12" t="s">
        <v>110</v>
      </c>
      <c r="B101" s="12" t="s">
        <v>40</v>
      </c>
      <c r="C101" s="271" t="str">
        <f>'9thMAY'!E101</f>
        <v/>
      </c>
      <c r="D101" s="191"/>
      <c r="E101" s="247"/>
      <c r="F101" s="235" t="s">
        <v>35</v>
      </c>
      <c r="G101" s="235"/>
      <c r="H101" s="272">
        <f>'9thMAY'!J101</f>
        <v>0.141</v>
      </c>
      <c r="I101" s="281">
        <v>1.0</v>
      </c>
      <c r="J101" s="282">
        <v>0.116</v>
      </c>
      <c r="K101" s="283"/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0.025</v>
      </c>
      <c r="N101" s="191"/>
      <c r="O101" s="247"/>
    </row>
    <row r="102">
      <c r="A102" s="12" t="s">
        <v>111</v>
      </c>
      <c r="B102" s="12" t="s">
        <v>40</v>
      </c>
      <c r="C102" s="271" t="str">
        <f>'9thMAY'!E102</f>
        <v/>
      </c>
      <c r="D102" s="191"/>
      <c r="E102" s="247"/>
      <c r="F102" s="235" t="s">
        <v>35</v>
      </c>
      <c r="G102" s="235"/>
      <c r="H102" s="272" t="str">
        <f>'9thMAY'!J102</f>
        <v/>
      </c>
      <c r="I102" s="281">
        <v>1.0</v>
      </c>
      <c r="J102" s="284"/>
      <c r="K102" s="283"/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>
        <f>'9thMAY'!E103</f>
        <v>1</v>
      </c>
      <c r="D103" s="191"/>
      <c r="E103" s="280">
        <v>1.0</v>
      </c>
      <c r="F103" s="235" t="s">
        <v>35</v>
      </c>
      <c r="G103" s="235"/>
      <c r="H103" s="272">
        <f>'9thMAY'!J103</f>
        <v>0.367</v>
      </c>
      <c r="I103" s="281">
        <v>1.0</v>
      </c>
      <c r="J103" s="282">
        <v>0.152</v>
      </c>
      <c r="K103" s="283"/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0.215</v>
      </c>
      <c r="N103" s="191"/>
      <c r="O103" s="247"/>
    </row>
    <row r="104">
      <c r="A104" s="12" t="s">
        <v>114</v>
      </c>
      <c r="B104" s="12" t="s">
        <v>40</v>
      </c>
      <c r="C104" s="271" t="str">
        <f>'9thMAY'!E104</f>
        <v/>
      </c>
      <c r="D104" s="191"/>
      <c r="E104" s="247"/>
      <c r="F104" s="235" t="s">
        <v>35</v>
      </c>
      <c r="G104" s="285"/>
      <c r="H104" s="272">
        <f>'9thMAY'!J104</f>
        <v>0.399</v>
      </c>
      <c r="I104" s="281">
        <v>1.0</v>
      </c>
      <c r="J104" s="282">
        <v>0.39</v>
      </c>
      <c r="K104" s="283"/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0.009</v>
      </c>
      <c r="N104" s="191"/>
      <c r="O104" s="247"/>
    </row>
    <row r="105">
      <c r="A105" s="12" t="s">
        <v>116</v>
      </c>
      <c r="B105" s="12" t="s">
        <v>40</v>
      </c>
      <c r="C105" s="271" t="str">
        <f>'9thMAY'!E105</f>
        <v/>
      </c>
      <c r="D105" s="191"/>
      <c r="E105" s="247"/>
      <c r="F105" s="235" t="s">
        <v>35</v>
      </c>
      <c r="G105" s="235"/>
      <c r="H105" s="272" t="str">
        <f>'9thMAY'!J105</f>
        <v/>
      </c>
      <c r="I105" s="281">
        <v>1.0</v>
      </c>
      <c r="J105" s="284"/>
      <c r="K105" s="283"/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'9thMAY'!E106</f>
        <v/>
      </c>
      <c r="D106" s="191"/>
      <c r="E106" s="247"/>
      <c r="F106" s="235" t="s">
        <v>35</v>
      </c>
      <c r="G106" s="285"/>
      <c r="H106" s="272">
        <f>'9thMAY'!J106</f>
        <v>0.138</v>
      </c>
      <c r="I106" s="281">
        <v>1.0</v>
      </c>
      <c r="J106" s="282">
        <v>0.116</v>
      </c>
      <c r="K106" s="283"/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0.022</v>
      </c>
      <c r="N106" s="191"/>
      <c r="O106" s="247"/>
    </row>
    <row r="107">
      <c r="A107" s="12" t="s">
        <v>118</v>
      </c>
      <c r="B107" s="12" t="s">
        <v>40</v>
      </c>
      <c r="C107" s="271" t="str">
        <f>'9thMAY'!E107</f>
        <v/>
      </c>
      <c r="D107" s="227">
        <v>2.0</v>
      </c>
      <c r="E107" s="247"/>
      <c r="F107" s="235" t="s">
        <v>35</v>
      </c>
      <c r="G107" s="235"/>
      <c r="H107" s="272">
        <f>'9thMAY'!J107</f>
        <v>0.03</v>
      </c>
      <c r="I107" s="281">
        <v>1.0</v>
      </c>
      <c r="J107" s="282">
        <v>1.0</v>
      </c>
      <c r="K107" s="283"/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0.03</v>
      </c>
      <c r="N107" s="191"/>
      <c r="O107" s="247"/>
    </row>
    <row r="108">
      <c r="A108" s="12" t="s">
        <v>119</v>
      </c>
      <c r="B108" s="12" t="s">
        <v>40</v>
      </c>
      <c r="C108" s="271" t="str">
        <f>'9thMAY'!E108</f>
        <v/>
      </c>
      <c r="D108" s="191"/>
      <c r="E108" s="247"/>
      <c r="F108" s="235" t="s">
        <v>35</v>
      </c>
      <c r="G108" s="235"/>
      <c r="H108" s="272">
        <f>'9thMAY'!J108</f>
        <v>0.741</v>
      </c>
      <c r="I108" s="281">
        <v>1.0</v>
      </c>
      <c r="J108" s="282">
        <v>0.727</v>
      </c>
      <c r="K108" s="283"/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0.014</v>
      </c>
      <c r="N108" s="191"/>
      <c r="O108" s="247"/>
    </row>
    <row r="109">
      <c r="A109" s="12" t="s">
        <v>120</v>
      </c>
      <c r="B109" s="12" t="s">
        <v>40</v>
      </c>
      <c r="C109" s="271" t="str">
        <f>'9thMAY'!E109</f>
        <v/>
      </c>
      <c r="D109" s="191"/>
      <c r="E109" s="247"/>
      <c r="F109" s="235" t="s">
        <v>35</v>
      </c>
      <c r="G109" s="235"/>
      <c r="H109" s="272" t="str">
        <f>'9thMAY'!J109</f>
        <v/>
      </c>
      <c r="I109" s="281">
        <v>1.0</v>
      </c>
      <c r="J109" s="282"/>
      <c r="K109" s="283"/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</v>
      </c>
      <c r="N109" s="191"/>
      <c r="O109" s="247"/>
    </row>
    <row r="110">
      <c r="A110" s="12" t="s">
        <v>121</v>
      </c>
      <c r="B110" s="12" t="s">
        <v>40</v>
      </c>
      <c r="C110" s="271" t="str">
        <f>'9thMAY'!E110</f>
        <v/>
      </c>
      <c r="D110" s="227">
        <v>1.0</v>
      </c>
      <c r="E110" s="247"/>
      <c r="F110" s="235" t="s">
        <v>35</v>
      </c>
      <c r="G110" s="235"/>
      <c r="H110" s="272">
        <f>'9thMAY'!J110</f>
        <v>0.089</v>
      </c>
      <c r="I110" s="281">
        <v>1.0</v>
      </c>
      <c r="J110" s="282">
        <v>0.696</v>
      </c>
      <c r="K110" s="283"/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0.393</v>
      </c>
      <c r="N110" s="191"/>
      <c r="O110" s="247"/>
    </row>
    <row r="111">
      <c r="A111" s="12" t="s">
        <v>122</v>
      </c>
      <c r="B111" s="12" t="s">
        <v>40</v>
      </c>
      <c r="C111" s="271" t="str">
        <f>'9thMAY'!E111</f>
        <v/>
      </c>
      <c r="D111" s="191"/>
      <c r="E111" s="247"/>
      <c r="F111" s="235" t="s">
        <v>35</v>
      </c>
      <c r="G111" s="235"/>
      <c r="H111" s="272" t="str">
        <f>'9thMAY'!J111</f>
        <v/>
      </c>
      <c r="I111" s="281">
        <v>1.0</v>
      </c>
      <c r="J111" s="284"/>
      <c r="K111" s="283"/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'9thMAY'!E112</f>
        <v/>
      </c>
      <c r="D112" s="191"/>
      <c r="E112" s="247"/>
      <c r="F112" s="235" t="s">
        <v>35</v>
      </c>
      <c r="G112" s="235"/>
      <c r="H112" s="272">
        <f>'9thMAY'!J112</f>
        <v>0.798</v>
      </c>
      <c r="I112" s="281">
        <v>1.0</v>
      </c>
      <c r="J112" s="282">
        <v>0.778</v>
      </c>
      <c r="K112" s="283"/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0.02</v>
      </c>
      <c r="N112" s="191"/>
      <c r="O112" s="247"/>
    </row>
    <row r="113">
      <c r="A113" s="12" t="s">
        <v>124</v>
      </c>
      <c r="B113" s="12" t="s">
        <v>40</v>
      </c>
      <c r="C113" s="271" t="str">
        <f>'9thMAY'!E113</f>
        <v/>
      </c>
      <c r="D113" s="191"/>
      <c r="E113" s="247"/>
      <c r="F113" s="235" t="s">
        <v>35</v>
      </c>
      <c r="G113" s="235"/>
      <c r="H113" s="272">
        <f>'9thMAY'!J113</f>
        <v>0.107</v>
      </c>
      <c r="I113" s="281">
        <v>1.0</v>
      </c>
      <c r="J113" s="282">
        <v>0.107</v>
      </c>
      <c r="K113" s="283"/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</v>
      </c>
      <c r="N113" s="191"/>
      <c r="O113" s="247"/>
    </row>
    <row r="114">
      <c r="A114" s="12" t="s">
        <v>125</v>
      </c>
      <c r="B114" s="12" t="s">
        <v>40</v>
      </c>
      <c r="C114" s="271" t="str">
        <f>'9thMAY'!E114</f>
        <v/>
      </c>
      <c r="D114" s="191"/>
      <c r="E114" s="247"/>
      <c r="F114" s="235" t="s">
        <v>35</v>
      </c>
      <c r="G114" s="235"/>
      <c r="H114" s="272" t="str">
        <f>'9thMAY'!J114</f>
        <v/>
      </c>
      <c r="I114" s="281">
        <v>1.0</v>
      </c>
      <c r="J114" s="284"/>
      <c r="K114" s="283"/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'9thMAY'!E115</f>
        <v/>
      </c>
      <c r="D115" s="191"/>
      <c r="E115" s="247"/>
      <c r="F115" s="235" t="s">
        <v>35</v>
      </c>
      <c r="G115" s="235"/>
      <c r="H115" s="272">
        <f>'9thMAY'!J115</f>
        <v>0.661</v>
      </c>
      <c r="I115" s="281">
        <v>1.0</v>
      </c>
      <c r="J115" s="282">
        <v>0.641</v>
      </c>
      <c r="K115" s="283"/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0.02</v>
      </c>
      <c r="N115" s="191"/>
      <c r="O115" s="247"/>
    </row>
    <row r="116">
      <c r="A116" s="12" t="s">
        <v>127</v>
      </c>
      <c r="B116" s="12" t="s">
        <v>40</v>
      </c>
      <c r="C116" s="271" t="str">
        <f>'9thMAY'!E116</f>
        <v/>
      </c>
      <c r="D116" s="191"/>
      <c r="E116" s="247"/>
      <c r="F116" s="235" t="s">
        <v>35</v>
      </c>
      <c r="G116" s="285">
        <v>0.039</v>
      </c>
      <c r="H116" s="272">
        <f>'9thMAY'!J116</f>
        <v>0.039</v>
      </c>
      <c r="I116" s="281">
        <v>1.0</v>
      </c>
      <c r="J116" s="282">
        <v>0.041</v>
      </c>
      <c r="K116" s="283"/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0.037</v>
      </c>
      <c r="N116" s="191"/>
      <c r="O116" s="247"/>
    </row>
    <row r="117">
      <c r="A117" s="12" t="s">
        <v>128</v>
      </c>
      <c r="B117" s="12" t="s">
        <v>40</v>
      </c>
      <c r="C117" s="271" t="str">
        <f>'9thMAY'!E117</f>
        <v/>
      </c>
      <c r="D117" s="191"/>
      <c r="E117" s="247"/>
      <c r="F117" s="235" t="s">
        <v>35</v>
      </c>
      <c r="G117" s="235"/>
      <c r="H117" s="272">
        <f>'9thMAY'!J117</f>
        <v>0.021</v>
      </c>
      <c r="I117" s="281">
        <v>1.0</v>
      </c>
      <c r="J117" s="282">
        <v>0.016</v>
      </c>
      <c r="K117" s="283"/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0.005</v>
      </c>
      <c r="N117" s="191"/>
      <c r="O117" s="247"/>
    </row>
    <row r="118">
      <c r="A118" s="12" t="s">
        <v>129</v>
      </c>
      <c r="B118" s="12" t="s">
        <v>40</v>
      </c>
      <c r="C118" s="271" t="str">
        <f>'9thMAY'!E118</f>
        <v/>
      </c>
      <c r="D118" s="191"/>
      <c r="E118" s="247"/>
      <c r="F118" s="235" t="s">
        <v>35</v>
      </c>
      <c r="G118" s="235"/>
      <c r="H118" s="272">
        <f>'9thMAY'!J118</f>
        <v>1</v>
      </c>
      <c r="I118" s="281">
        <v>1.0</v>
      </c>
      <c r="J118" s="282">
        <v>1.0</v>
      </c>
      <c r="K118" s="283"/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71" t="str">
        <f>'9thMAY'!E119</f>
        <v/>
      </c>
      <c r="D119" s="191"/>
      <c r="E119" s="247"/>
      <c r="F119" s="235" t="s">
        <v>35</v>
      </c>
      <c r="G119" s="235"/>
      <c r="H119" s="272">
        <f>'9thMAY'!J119</f>
        <v>0.237</v>
      </c>
      <c r="I119" s="281">
        <v>1.0</v>
      </c>
      <c r="J119" s="282">
        <v>0.113</v>
      </c>
      <c r="K119" s="283"/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0.124</v>
      </c>
      <c r="N119" s="191"/>
      <c r="O119" s="247"/>
    </row>
    <row r="120">
      <c r="A120" s="12" t="s">
        <v>131</v>
      </c>
      <c r="B120" s="12" t="s">
        <v>40</v>
      </c>
      <c r="C120" s="271" t="str">
        <f>'9thMAY'!E120</f>
        <v/>
      </c>
      <c r="D120" s="191"/>
      <c r="E120" s="247"/>
      <c r="F120" s="235" t="s">
        <v>35</v>
      </c>
      <c r="G120" s="235"/>
      <c r="H120" s="272" t="str">
        <f>'9thMAY'!J120</f>
        <v/>
      </c>
      <c r="I120" s="281">
        <v>1.0</v>
      </c>
      <c r="J120" s="282"/>
      <c r="K120" s="283"/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247"/>
    </row>
    <row r="121">
      <c r="A121" s="12" t="s">
        <v>132</v>
      </c>
      <c r="B121" s="12" t="s">
        <v>40</v>
      </c>
      <c r="C121" s="271" t="str">
        <f>'9thMAY'!E121</f>
        <v/>
      </c>
      <c r="D121" s="191"/>
      <c r="E121" s="247"/>
      <c r="F121" s="235" t="s">
        <v>35</v>
      </c>
      <c r="G121" s="285">
        <v>1.0</v>
      </c>
      <c r="H121" s="272">
        <f>'9thMAY'!J121</f>
        <v>1</v>
      </c>
      <c r="I121" s="281">
        <v>1.0</v>
      </c>
      <c r="J121" s="282">
        <f>0.505+0.5</f>
        <v>1.005</v>
      </c>
      <c r="K121" s="283"/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0.995</v>
      </c>
      <c r="N121" s="191"/>
      <c r="O121" s="247"/>
    </row>
    <row r="122">
      <c r="A122" s="12" t="s">
        <v>133</v>
      </c>
      <c r="B122" s="12" t="s">
        <v>40</v>
      </c>
      <c r="C122" s="271" t="str">
        <f>'9thMAY'!E122</f>
        <v/>
      </c>
      <c r="D122" s="227">
        <v>1.0</v>
      </c>
      <c r="E122" s="280">
        <v>1.0</v>
      </c>
      <c r="F122" s="235" t="s">
        <v>35</v>
      </c>
      <c r="G122" s="235"/>
      <c r="H122" s="272" t="str">
        <f>'9thMAY'!J122</f>
        <v/>
      </c>
      <c r="I122" s="281">
        <v>1.0</v>
      </c>
      <c r="J122" s="282"/>
      <c r="K122" s="283"/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</v>
      </c>
      <c r="N122" s="191"/>
      <c r="O122" s="247"/>
    </row>
    <row r="123">
      <c r="A123" s="12" t="s">
        <v>134</v>
      </c>
      <c r="B123" s="12" t="s">
        <v>40</v>
      </c>
      <c r="C123" s="271" t="str">
        <f>'9thMAY'!E123</f>
        <v/>
      </c>
      <c r="D123" s="191"/>
      <c r="E123" s="247"/>
      <c r="F123" s="235" t="s">
        <v>35</v>
      </c>
      <c r="G123" s="235"/>
      <c r="H123" s="272" t="str">
        <f>'9thMAY'!J123</f>
        <v/>
      </c>
      <c r="I123" s="281">
        <v>1.0</v>
      </c>
      <c r="J123" s="284"/>
      <c r="K123" s="283"/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'9thMAY'!E124</f>
        <v/>
      </c>
      <c r="D124" s="191"/>
      <c r="E124" s="247"/>
      <c r="F124" s="235" t="s">
        <v>35</v>
      </c>
      <c r="G124" s="235"/>
      <c r="H124" s="272" t="str">
        <f>'9thMAY'!J124</f>
        <v/>
      </c>
      <c r="I124" s="281">
        <v>1.0</v>
      </c>
      <c r="J124" s="284"/>
      <c r="K124" s="283"/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'9thMAY'!E125</f>
        <v/>
      </c>
      <c r="D125" s="191"/>
      <c r="E125" s="247"/>
      <c r="F125" s="285" t="s">
        <v>35</v>
      </c>
      <c r="G125" s="235"/>
      <c r="H125" s="272" t="str">
        <f>'9thMAY'!J125</f>
        <v/>
      </c>
      <c r="I125" s="281">
        <v>1.0</v>
      </c>
      <c r="J125" s="284"/>
      <c r="K125" s="283"/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247"/>
    </row>
    <row r="126">
      <c r="A126" s="21" t="s">
        <v>143</v>
      </c>
      <c r="B126" s="15" t="s">
        <v>40</v>
      </c>
      <c r="C126" s="271" t="str">
        <f>'9thMAY'!E126</f>
        <v/>
      </c>
      <c r="D126" s="191"/>
      <c r="E126" s="247"/>
      <c r="F126" s="285" t="s">
        <v>35</v>
      </c>
      <c r="G126" s="235"/>
      <c r="H126" s="272">
        <f>'9thMAY'!J126</f>
        <v>0.233</v>
      </c>
      <c r="I126" s="281">
        <v>1.0</v>
      </c>
      <c r="J126" s="282">
        <v>0.233</v>
      </c>
      <c r="K126" s="283"/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</v>
      </c>
      <c r="N126" s="191"/>
      <c r="O126" s="247"/>
    </row>
    <row r="127">
      <c r="A127" s="10" t="s">
        <v>146</v>
      </c>
      <c r="B127" s="11"/>
      <c r="C127" s="271" t="str">
        <f>'9thMAY'!E127</f>
        <v/>
      </c>
      <c r="D127" s="191"/>
      <c r="E127" s="247"/>
      <c r="F127" s="235"/>
      <c r="G127" s="235"/>
      <c r="H127" s="272" t="str">
        <f>'9thMAY'!J127</f>
        <v/>
      </c>
      <c r="I127" s="281">
        <v>1.0</v>
      </c>
      <c r="J127" s="284"/>
      <c r="K127" s="283"/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'9thMAY'!E128</f>
        <v/>
      </c>
      <c r="D128" s="227">
        <v>1.0</v>
      </c>
      <c r="E128" s="247"/>
      <c r="F128" s="235" t="s">
        <v>35</v>
      </c>
      <c r="G128" s="235"/>
      <c r="H128" s="272" t="str">
        <f>'9thMAY'!J128</f>
        <v/>
      </c>
      <c r="I128" s="281">
        <v>1.0</v>
      </c>
      <c r="J128" s="284"/>
      <c r="K128" s="283"/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1</v>
      </c>
      <c r="N128" s="191"/>
      <c r="O128" s="247"/>
    </row>
    <row r="129">
      <c r="A129" s="12" t="s">
        <v>148</v>
      </c>
      <c r="B129" s="12" t="s">
        <v>35</v>
      </c>
      <c r="C129" s="271" t="str">
        <f>'9thMAY'!E129</f>
        <v/>
      </c>
      <c r="D129" s="227">
        <v>1.0</v>
      </c>
      <c r="E129" s="247"/>
      <c r="F129" s="235" t="s">
        <v>35</v>
      </c>
      <c r="G129" s="235"/>
      <c r="H129" s="272">
        <f>'9thMAY'!J129</f>
        <v>1.271</v>
      </c>
      <c r="I129" s="281">
        <v>1.0</v>
      </c>
      <c r="J129" s="282"/>
      <c r="K129" s="283"/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2.271</v>
      </c>
      <c r="N129" s="191"/>
      <c r="O129" s="247"/>
    </row>
    <row r="130">
      <c r="A130" s="12" t="s">
        <v>149</v>
      </c>
      <c r="B130" s="12" t="s">
        <v>40</v>
      </c>
      <c r="C130" s="271" t="str">
        <f>'9thMAY'!E130</f>
        <v/>
      </c>
      <c r="D130" s="191"/>
      <c r="E130" s="247"/>
      <c r="F130" s="235" t="s">
        <v>35</v>
      </c>
      <c r="G130" s="235"/>
      <c r="H130" s="272" t="str">
        <f>'9thMAY'!J130</f>
        <v/>
      </c>
      <c r="I130" s="281">
        <v>1.0</v>
      </c>
      <c r="J130" s="282"/>
      <c r="K130" s="283"/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</v>
      </c>
      <c r="N130" s="191"/>
      <c r="O130" s="247"/>
    </row>
    <row r="131">
      <c r="A131" s="12" t="s">
        <v>150</v>
      </c>
      <c r="B131" s="12" t="s">
        <v>24</v>
      </c>
      <c r="C131" s="271" t="str">
        <f>'9thMAY'!E131</f>
        <v/>
      </c>
      <c r="D131" s="191"/>
      <c r="E131" s="247"/>
      <c r="F131" s="235" t="s">
        <v>25</v>
      </c>
      <c r="G131" s="235"/>
      <c r="H131" s="272" t="str">
        <f>'9thMAY'!J131</f>
        <v/>
      </c>
      <c r="I131" s="281">
        <v>1.0</v>
      </c>
      <c r="J131" s="284"/>
      <c r="K131" s="283"/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'9thMAY'!E132</f>
        <v/>
      </c>
      <c r="D132" s="191"/>
      <c r="E132" s="247"/>
      <c r="F132" s="235"/>
      <c r="G132" s="235"/>
      <c r="H132" s="272" t="str">
        <f>'9thMAY'!J132</f>
        <v/>
      </c>
      <c r="I132" s="281">
        <v>1.0</v>
      </c>
      <c r="J132" s="284"/>
      <c r="K132" s="283"/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'9thMAY'!E133</f>
        <v/>
      </c>
      <c r="D133" s="227">
        <v>1.0</v>
      </c>
      <c r="E133" s="247"/>
      <c r="F133" s="235" t="s">
        <v>35</v>
      </c>
      <c r="G133" s="235"/>
      <c r="H133" s="272" t="str">
        <f>'9thMAY'!J133</f>
        <v/>
      </c>
      <c r="I133" s="281">
        <v>1.0</v>
      </c>
      <c r="J133" s="284"/>
      <c r="K133" s="283"/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0.2</v>
      </c>
      <c r="N133" s="191"/>
      <c r="O133" s="247"/>
    </row>
    <row r="134">
      <c r="A134" s="12" t="s">
        <v>154</v>
      </c>
      <c r="B134" s="12" t="s">
        <v>155</v>
      </c>
      <c r="C134" s="271" t="str">
        <f>'9thMAY'!E134</f>
        <v/>
      </c>
      <c r="D134" s="191"/>
      <c r="E134" s="247"/>
      <c r="F134" s="235" t="s">
        <v>35</v>
      </c>
      <c r="G134" s="235"/>
      <c r="H134" s="272" t="str">
        <f>'9thMAY'!J134</f>
        <v/>
      </c>
      <c r="I134" s="281">
        <v>1.0</v>
      </c>
      <c r="J134" s="284"/>
      <c r="K134" s="283"/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 t="str">
        <f>'9thMAY'!E135</f>
        <v/>
      </c>
      <c r="D135" s="227"/>
      <c r="E135" s="280"/>
      <c r="F135" s="235" t="s">
        <v>35</v>
      </c>
      <c r="G135" s="235"/>
      <c r="H135" s="272">
        <f>'9thMAY'!J135</f>
        <v>0.446</v>
      </c>
      <c r="I135" s="281">
        <v>1.0</v>
      </c>
      <c r="J135" s="282">
        <v>0.399</v>
      </c>
      <c r="K135" s="283"/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0.047</v>
      </c>
      <c r="N135" s="191"/>
      <c r="O135" s="247"/>
    </row>
    <row r="136">
      <c r="A136" s="12" t="s">
        <v>158</v>
      </c>
      <c r="B136" s="12" t="s">
        <v>34</v>
      </c>
      <c r="C136" s="271" t="str">
        <f>'9thMAY'!E136</f>
        <v/>
      </c>
      <c r="D136" s="191"/>
      <c r="E136" s="247"/>
      <c r="F136" s="235" t="s">
        <v>35</v>
      </c>
      <c r="G136" s="235"/>
      <c r="H136" s="272" t="str">
        <f>'9thMAY'!J136</f>
        <v/>
      </c>
      <c r="I136" s="281">
        <v>1.0</v>
      </c>
      <c r="J136" s="284"/>
      <c r="K136" s="283"/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</v>
      </c>
      <c r="N136" s="191"/>
      <c r="O136" s="247"/>
    </row>
    <row r="137">
      <c r="A137" s="12" t="s">
        <v>159</v>
      </c>
      <c r="B137" s="12" t="s">
        <v>34</v>
      </c>
      <c r="C137" s="271" t="str">
        <f>'9thMAY'!E137</f>
        <v/>
      </c>
      <c r="D137" s="191"/>
      <c r="E137" s="247"/>
      <c r="F137" s="235" t="s">
        <v>35</v>
      </c>
      <c r="G137" s="235"/>
      <c r="H137" s="272" t="str">
        <f>'9thMAY'!J137</f>
        <v/>
      </c>
      <c r="I137" s="281">
        <v>1.0</v>
      </c>
      <c r="J137" s="284"/>
      <c r="K137" s="283"/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'9thMAY'!E138</f>
        <v/>
      </c>
      <c r="D138" s="191"/>
      <c r="E138" s="247"/>
      <c r="F138" s="235" t="s">
        <v>35</v>
      </c>
      <c r="G138" s="235"/>
      <c r="H138" s="272">
        <f>'9thMAY'!J138</f>
        <v>1</v>
      </c>
      <c r="I138" s="281">
        <v>1.0</v>
      </c>
      <c r="J138" s="282">
        <v>0.539</v>
      </c>
      <c r="K138" s="283"/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0.461</v>
      </c>
      <c r="N138" s="191"/>
      <c r="O138" s="247"/>
    </row>
    <row r="139">
      <c r="A139" s="12" t="s">
        <v>161</v>
      </c>
      <c r="B139" s="12" t="s">
        <v>34</v>
      </c>
      <c r="C139" s="271" t="str">
        <f>'9thMAY'!E139</f>
        <v/>
      </c>
      <c r="D139" s="191"/>
      <c r="E139" s="247"/>
      <c r="F139" s="235" t="s">
        <v>35</v>
      </c>
      <c r="G139" s="235"/>
      <c r="H139" s="272">
        <f>'9thMAY'!J139</f>
        <v>0.433</v>
      </c>
      <c r="I139" s="281">
        <v>1.0</v>
      </c>
      <c r="J139" s="282">
        <v>0.433</v>
      </c>
      <c r="K139" s="283"/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</v>
      </c>
      <c r="N139" s="191"/>
      <c r="O139" s="247"/>
    </row>
    <row r="140">
      <c r="A140" s="12" t="s">
        <v>162</v>
      </c>
      <c r="B140" s="12" t="s">
        <v>34</v>
      </c>
      <c r="C140" s="271" t="str">
        <f>'9thMAY'!E140</f>
        <v/>
      </c>
      <c r="D140" s="191"/>
      <c r="E140" s="247"/>
      <c r="F140" s="235" t="s">
        <v>35</v>
      </c>
      <c r="G140" s="235"/>
      <c r="H140" s="272" t="str">
        <f>'9thMAY'!J140</f>
        <v/>
      </c>
      <c r="I140" s="281">
        <v>1.0</v>
      </c>
      <c r="J140" s="282"/>
      <c r="K140" s="283"/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 t="str">
        <f>'9thMAY'!E141</f>
        <v/>
      </c>
      <c r="D141" s="191"/>
      <c r="E141" s="247"/>
      <c r="F141" s="235" t="s">
        <v>35</v>
      </c>
      <c r="G141" s="285">
        <v>0.348</v>
      </c>
      <c r="H141" s="272">
        <f>'9thMAY'!J141</f>
        <v>0.348</v>
      </c>
      <c r="I141" s="281">
        <v>1.0</v>
      </c>
      <c r="J141" s="282">
        <v>0.568</v>
      </c>
      <c r="K141" s="283"/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0.128</v>
      </c>
      <c r="N141" s="191"/>
      <c r="O141" s="247"/>
    </row>
    <row r="142">
      <c r="A142" s="12" t="s">
        <v>164</v>
      </c>
      <c r="B142" s="12" t="s">
        <v>155</v>
      </c>
      <c r="C142" s="271" t="str">
        <f>'9thMAY'!E142</f>
        <v/>
      </c>
      <c r="D142" s="191"/>
      <c r="E142" s="247"/>
      <c r="F142" s="235" t="s">
        <v>35</v>
      </c>
      <c r="G142" s="235"/>
      <c r="H142" s="272">
        <f>'9thMAY'!J142</f>
        <v>0.5</v>
      </c>
      <c r="I142" s="281">
        <v>1.0</v>
      </c>
      <c r="J142" s="282">
        <v>0.5</v>
      </c>
      <c r="K142" s="283"/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</v>
      </c>
      <c r="N142" s="191"/>
      <c r="O142" s="247"/>
    </row>
    <row r="143">
      <c r="A143" s="12" t="s">
        <v>165</v>
      </c>
      <c r="B143" s="12" t="s">
        <v>155</v>
      </c>
      <c r="C143" s="271" t="str">
        <f>'9thMAY'!E143</f>
        <v/>
      </c>
      <c r="D143" s="191"/>
      <c r="E143" s="247"/>
      <c r="F143" s="235" t="s">
        <v>35</v>
      </c>
      <c r="G143" s="235"/>
      <c r="H143" s="272" t="str">
        <f>'9thMAY'!J143</f>
        <v/>
      </c>
      <c r="I143" s="281">
        <v>1.0</v>
      </c>
      <c r="J143" s="284"/>
      <c r="K143" s="283"/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'9thMAY'!E144</f>
        <v/>
      </c>
      <c r="D144" s="191"/>
      <c r="E144" s="247"/>
      <c r="F144" s="235" t="s">
        <v>35</v>
      </c>
      <c r="G144" s="235"/>
      <c r="H144" s="272">
        <f>'9thMAY'!J144</f>
        <v>1.387</v>
      </c>
      <c r="I144" s="281">
        <v>1.0</v>
      </c>
      <c r="J144" s="282"/>
      <c r="K144" s="283"/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1.187</v>
      </c>
      <c r="N144" s="191"/>
      <c r="O144" s="247"/>
    </row>
    <row r="145">
      <c r="A145" s="12" t="s">
        <v>167</v>
      </c>
      <c r="B145" s="12" t="s">
        <v>106</v>
      </c>
      <c r="C145" s="271" t="str">
        <f>'9thMAY'!E145</f>
        <v/>
      </c>
      <c r="D145" s="227">
        <v>1.0</v>
      </c>
      <c r="E145" s="247"/>
      <c r="F145" s="235" t="s">
        <v>35</v>
      </c>
      <c r="G145" s="235"/>
      <c r="H145" s="272">
        <f>'9thMAY'!J145</f>
        <v>0.052</v>
      </c>
      <c r="I145" s="281">
        <v>1.0</v>
      </c>
      <c r="J145" s="282">
        <v>0.258</v>
      </c>
      <c r="K145" s="283"/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0.209</v>
      </c>
      <c r="N145" s="191"/>
      <c r="O145" s="247"/>
    </row>
    <row r="146">
      <c r="A146" s="12" t="s">
        <v>168</v>
      </c>
      <c r="B146" s="12" t="s">
        <v>17</v>
      </c>
      <c r="C146" s="271" t="str">
        <f>'9thMAY'!E146</f>
        <v/>
      </c>
      <c r="D146" s="227">
        <v>1.0</v>
      </c>
      <c r="E146" s="280">
        <v>1.0</v>
      </c>
      <c r="F146" s="235" t="s">
        <v>35</v>
      </c>
      <c r="G146" s="235"/>
      <c r="H146" s="272">
        <f>'9thMAY'!J146</f>
        <v>0.48</v>
      </c>
      <c r="I146" s="281">
        <v>1.0</v>
      </c>
      <c r="J146" s="282">
        <v>0.48</v>
      </c>
      <c r="K146" s="283"/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</v>
      </c>
      <c r="N146" s="191"/>
      <c r="O146" s="247"/>
    </row>
    <row r="147">
      <c r="A147" s="12" t="s">
        <v>169</v>
      </c>
      <c r="B147" s="12" t="s">
        <v>106</v>
      </c>
      <c r="C147" s="271" t="str">
        <f>'9thMAY'!E147</f>
        <v/>
      </c>
      <c r="D147" s="191"/>
      <c r="E147" s="247"/>
      <c r="F147" s="235" t="s">
        <v>35</v>
      </c>
      <c r="G147" s="235"/>
      <c r="H147" s="272" t="str">
        <f>'9thMAY'!J147</f>
        <v/>
      </c>
      <c r="I147" s="281">
        <v>1.0</v>
      </c>
      <c r="J147" s="284"/>
      <c r="K147" s="283"/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'9thMAY'!E148</f>
        <v/>
      </c>
      <c r="D148" s="191"/>
      <c r="E148" s="247"/>
      <c r="F148" s="235" t="s">
        <v>35</v>
      </c>
      <c r="G148" s="235"/>
      <c r="H148" s="272" t="str">
        <f>'9thMAY'!J148</f>
        <v/>
      </c>
      <c r="I148" s="281">
        <v>1.0</v>
      </c>
      <c r="J148" s="284"/>
      <c r="K148" s="283"/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 t="str">
        <f>'9thMAY'!E149</f>
        <v/>
      </c>
      <c r="D149" s="191"/>
      <c r="E149" s="247"/>
      <c r="F149" s="235" t="s">
        <v>14</v>
      </c>
      <c r="G149" s="235"/>
      <c r="H149" s="272">
        <f>'9thMAY'!J149</f>
        <v>0.403</v>
      </c>
      <c r="I149" s="281">
        <v>1.0</v>
      </c>
      <c r="J149" s="282">
        <v>0.316</v>
      </c>
      <c r="K149" s="283"/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0.087</v>
      </c>
      <c r="N149" s="191"/>
      <c r="O149" s="247"/>
    </row>
    <row r="150">
      <c r="A150" s="11" t="s">
        <v>173</v>
      </c>
      <c r="B150" s="11" t="s">
        <v>106</v>
      </c>
      <c r="C150" s="271" t="str">
        <f>'9thMAY'!E150</f>
        <v/>
      </c>
      <c r="D150" s="287"/>
      <c r="E150" s="288"/>
      <c r="F150" s="235" t="s">
        <v>14</v>
      </c>
      <c r="G150" s="289"/>
      <c r="H150" s="272" t="str">
        <f>'9thMAY'!J150</f>
        <v/>
      </c>
      <c r="I150" s="281">
        <v>1.0</v>
      </c>
      <c r="J150" s="291"/>
      <c r="K150" s="283"/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</v>
      </c>
      <c r="N150" s="216"/>
      <c r="O150" s="292"/>
    </row>
    <row r="151">
      <c r="A151" s="22" t="s">
        <v>174</v>
      </c>
      <c r="B151" s="23" t="s">
        <v>106</v>
      </c>
      <c r="C151" s="271" t="str">
        <f>'9thMAY'!E151</f>
        <v/>
      </c>
      <c r="D151" s="216"/>
      <c r="E151" s="288"/>
      <c r="F151" s="235" t="s">
        <v>14</v>
      </c>
      <c r="G151" s="289"/>
      <c r="H151" s="272">
        <f>'9thMAY'!J151</f>
        <v>0.374</v>
      </c>
      <c r="I151" s="281">
        <v>1.0</v>
      </c>
      <c r="J151" s="301">
        <v>0.367</v>
      </c>
      <c r="K151" s="283"/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0.007</v>
      </c>
      <c r="N151" s="216"/>
      <c r="O151" s="292"/>
    </row>
    <row r="152">
      <c r="A152" s="10" t="s">
        <v>175</v>
      </c>
      <c r="B152" s="11"/>
      <c r="C152" s="271" t="str">
        <f>'9thMAY'!E152</f>
        <v/>
      </c>
      <c r="D152" s="191"/>
      <c r="E152" s="247"/>
      <c r="F152" s="235"/>
      <c r="G152" s="235"/>
      <c r="H152" s="272" t="str">
        <f>'9thMAY'!J152</f>
        <v/>
      </c>
      <c r="I152" s="281">
        <v>1.0</v>
      </c>
      <c r="J152" s="284"/>
      <c r="K152" s="283"/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'9thMAY'!E153</f>
        <v/>
      </c>
      <c r="D153" s="227">
        <v>7.0</v>
      </c>
      <c r="E153" s="247"/>
      <c r="F153" s="235" t="s">
        <v>25</v>
      </c>
      <c r="G153" s="235"/>
      <c r="H153" s="272" t="str">
        <f>'9thMAY'!J153</f>
        <v/>
      </c>
      <c r="I153" s="281">
        <v>1.0</v>
      </c>
      <c r="J153" s="284"/>
      <c r="K153" s="283"/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7</v>
      </c>
      <c r="N153" s="191"/>
      <c r="O153" s="247"/>
    </row>
    <row r="154">
      <c r="A154" s="12" t="s">
        <v>178</v>
      </c>
      <c r="B154" s="12" t="s">
        <v>35</v>
      </c>
      <c r="C154" s="271" t="str">
        <f>'9thMAY'!E154</f>
        <v/>
      </c>
      <c r="D154" s="227">
        <v>12.0</v>
      </c>
      <c r="E154" s="280">
        <v>2.0</v>
      </c>
      <c r="F154" s="235" t="s">
        <v>35</v>
      </c>
      <c r="G154" s="235"/>
      <c r="H154" s="272">
        <f>'9thMAY'!J154</f>
        <v>1</v>
      </c>
      <c r="I154" s="281">
        <v>1.0</v>
      </c>
      <c r="J154" s="284"/>
      <c r="K154" s="283"/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5.988</v>
      </c>
      <c r="N154" s="191"/>
      <c r="O154" s="247"/>
    </row>
    <row r="155">
      <c r="A155" s="12" t="s">
        <v>180</v>
      </c>
      <c r="B155" s="12" t="s">
        <v>35</v>
      </c>
      <c r="C155" s="271" t="str">
        <f>'9thMAY'!E155</f>
        <v/>
      </c>
      <c r="D155" s="227"/>
      <c r="E155" s="247"/>
      <c r="F155" s="235" t="s">
        <v>35</v>
      </c>
      <c r="G155" s="285">
        <v>0.666</v>
      </c>
      <c r="H155" s="272">
        <f>'9thMAY'!J155</f>
        <v>0.076</v>
      </c>
      <c r="I155" s="281">
        <v>1.0</v>
      </c>
      <c r="J155" s="282">
        <v>0.524</v>
      </c>
      <c r="K155" s="283"/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0.218</v>
      </c>
      <c r="N155" s="191"/>
      <c r="O155" s="247"/>
    </row>
    <row r="156">
      <c r="A156" s="12" t="s">
        <v>181</v>
      </c>
      <c r="B156" s="12" t="s">
        <v>35</v>
      </c>
      <c r="C156" s="271" t="str">
        <f>'9thMAY'!E156</f>
        <v/>
      </c>
      <c r="D156" s="191"/>
      <c r="E156" s="280"/>
      <c r="F156" s="235" t="s">
        <v>35</v>
      </c>
      <c r="G156" s="235"/>
      <c r="H156" s="272">
        <f>'9thMAY'!J156</f>
        <v>0.972</v>
      </c>
      <c r="I156" s="281">
        <v>1.0</v>
      </c>
      <c r="J156" s="282">
        <v>0.569</v>
      </c>
      <c r="K156" s="283"/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0.403</v>
      </c>
      <c r="N156" s="191"/>
      <c r="O156" s="247"/>
    </row>
    <row r="157">
      <c r="A157" s="12" t="s">
        <v>182</v>
      </c>
      <c r="B157" s="12" t="s">
        <v>35</v>
      </c>
      <c r="C157" s="271" t="str">
        <f>'9thMAY'!E157</f>
        <v/>
      </c>
      <c r="D157" s="191"/>
      <c r="E157" s="247"/>
      <c r="F157" s="235" t="s">
        <v>35</v>
      </c>
      <c r="G157" s="285"/>
      <c r="H157" s="272" t="str">
        <f>'9thMAY'!J157</f>
        <v/>
      </c>
      <c r="I157" s="281">
        <v>1.0</v>
      </c>
      <c r="J157" s="282"/>
      <c r="K157" s="283"/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71" t="str">
        <f>'9thMAY'!E158</f>
        <v/>
      </c>
      <c r="D158" s="191"/>
      <c r="E158" s="247"/>
      <c r="F158" s="235" t="s">
        <v>14</v>
      </c>
      <c r="G158" s="235"/>
      <c r="H158" s="272" t="str">
        <f>'9thMAY'!J158</f>
        <v/>
      </c>
      <c r="I158" s="281">
        <v>1.0</v>
      </c>
      <c r="J158" s="284"/>
      <c r="K158" s="283"/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'9thMAY'!E159</f>
        <v/>
      </c>
      <c r="D159" s="191"/>
      <c r="E159" s="247"/>
      <c r="F159" s="235"/>
      <c r="G159" s="235"/>
      <c r="H159" s="272" t="str">
        <f>'9thMAY'!J159</f>
        <v/>
      </c>
      <c r="I159" s="281">
        <v>1.0</v>
      </c>
      <c r="J159" s="284"/>
      <c r="K159" s="283"/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'9thMAY'!E160</f>
        <v/>
      </c>
      <c r="D160" s="227">
        <v>5.0</v>
      </c>
      <c r="E160" s="247"/>
      <c r="F160" s="235" t="s">
        <v>17</v>
      </c>
      <c r="G160" s="235"/>
      <c r="H160" s="272">
        <f>'9thMAY'!J160</f>
        <v>1.24</v>
      </c>
      <c r="I160" s="281">
        <v>1.0</v>
      </c>
      <c r="J160" s="284"/>
      <c r="K160" s="283"/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6.24</v>
      </c>
      <c r="N160" s="191"/>
      <c r="O160" s="247"/>
    </row>
    <row r="161">
      <c r="A161" s="12" t="s">
        <v>187</v>
      </c>
      <c r="B161" s="12" t="s">
        <v>17</v>
      </c>
      <c r="C161" s="271" t="str">
        <f>'9thMAY'!E161</f>
        <v/>
      </c>
      <c r="D161" s="227">
        <v>3.0</v>
      </c>
      <c r="E161" s="247"/>
      <c r="F161" s="235" t="s">
        <v>17</v>
      </c>
      <c r="G161" s="235"/>
      <c r="H161" s="272">
        <f>'9thMAY'!J161</f>
        <v>0.5</v>
      </c>
      <c r="I161" s="281">
        <v>1.0</v>
      </c>
      <c r="J161" s="282"/>
      <c r="K161" s="283"/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3.5</v>
      </c>
      <c r="N161" s="191"/>
      <c r="O161" s="247"/>
    </row>
    <row r="162">
      <c r="A162" s="12" t="s">
        <v>188</v>
      </c>
      <c r="B162" s="12" t="s">
        <v>35</v>
      </c>
      <c r="C162" s="271" t="str">
        <f>'9thMAY'!E162</f>
        <v/>
      </c>
      <c r="D162" s="227">
        <v>9.0</v>
      </c>
      <c r="E162" s="247"/>
      <c r="F162" s="235" t="s">
        <v>35</v>
      </c>
      <c r="G162" s="235"/>
      <c r="H162" s="272">
        <f>'9thMAY'!J162</f>
        <v>0.489</v>
      </c>
      <c r="I162" s="281">
        <v>1.0</v>
      </c>
      <c r="J162" s="282">
        <v>2.0</v>
      </c>
      <c r="K162" s="283"/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7.489</v>
      </c>
      <c r="N162" s="191"/>
      <c r="O162" s="247"/>
    </row>
    <row r="163">
      <c r="A163" s="12" t="s">
        <v>189</v>
      </c>
      <c r="B163" s="12" t="s">
        <v>17</v>
      </c>
      <c r="C163" s="271" t="str">
        <f>'9thMAY'!E163</f>
        <v/>
      </c>
      <c r="D163" s="227"/>
      <c r="E163" s="280"/>
      <c r="F163" s="235" t="s">
        <v>17</v>
      </c>
      <c r="G163" s="235"/>
      <c r="H163" s="272">
        <f>'9thMAY'!J163</f>
        <v>1</v>
      </c>
      <c r="I163" s="281">
        <v>1.0</v>
      </c>
      <c r="J163" s="282">
        <v>0.5</v>
      </c>
      <c r="K163" s="283"/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0.5</v>
      </c>
      <c r="N163" s="191"/>
      <c r="O163" s="247"/>
    </row>
    <row r="164">
      <c r="A164" s="12" t="s">
        <v>190</v>
      </c>
      <c r="B164" s="12" t="s">
        <v>17</v>
      </c>
      <c r="C164" s="271" t="str">
        <f>'9thMAY'!E164</f>
        <v/>
      </c>
      <c r="D164" s="191"/>
      <c r="E164" s="247"/>
      <c r="F164" s="235" t="s">
        <v>17</v>
      </c>
      <c r="G164" s="235"/>
      <c r="H164" s="272" t="str">
        <f>'9thMAY'!J164</f>
        <v/>
      </c>
      <c r="I164" s="281">
        <v>1.0</v>
      </c>
      <c r="J164" s="284"/>
      <c r="K164" s="283"/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'9thMAY'!E165</f>
        <v/>
      </c>
      <c r="D165" s="227">
        <v>1.0</v>
      </c>
      <c r="E165" s="247"/>
      <c r="F165" s="235" t="s">
        <v>35</v>
      </c>
      <c r="G165" s="235"/>
      <c r="H165" s="272" t="str">
        <f>'9thMAY'!J165</f>
        <v/>
      </c>
      <c r="I165" s="281">
        <v>1.0</v>
      </c>
      <c r="J165" s="284"/>
      <c r="K165" s="283"/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1</v>
      </c>
      <c r="N165" s="191"/>
      <c r="O165" s="247"/>
    </row>
    <row r="166">
      <c r="A166" s="12" t="s">
        <v>192</v>
      </c>
      <c r="B166" s="12" t="s">
        <v>35</v>
      </c>
      <c r="C166" s="271" t="str">
        <f>'9thMAY'!E166</f>
        <v/>
      </c>
      <c r="D166" s="191"/>
      <c r="E166" s="247"/>
      <c r="F166" s="235" t="s">
        <v>35</v>
      </c>
      <c r="G166" s="285"/>
      <c r="H166" s="272">
        <f>'9thMAY'!J166</f>
        <v>1.6</v>
      </c>
      <c r="I166" s="281">
        <v>1.0</v>
      </c>
      <c r="J166" s="282"/>
      <c r="K166" s="283"/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1.6</v>
      </c>
      <c r="N166" s="191"/>
      <c r="O166" s="247"/>
    </row>
    <row r="167">
      <c r="A167" s="12" t="s">
        <v>193</v>
      </c>
      <c r="B167" s="12" t="s">
        <v>35</v>
      </c>
      <c r="C167" s="271" t="str">
        <f>'9thMAY'!E167</f>
        <v/>
      </c>
      <c r="D167" s="227">
        <v>2.0</v>
      </c>
      <c r="E167" s="247"/>
      <c r="F167" s="235" t="s">
        <v>35</v>
      </c>
      <c r="G167" s="235"/>
      <c r="H167" s="272" t="str">
        <f>'9thMAY'!J167</f>
        <v/>
      </c>
      <c r="I167" s="281">
        <v>1.0</v>
      </c>
      <c r="J167" s="282"/>
      <c r="K167" s="283"/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2</v>
      </c>
      <c r="N167" s="191"/>
      <c r="O167" s="247"/>
    </row>
    <row r="168">
      <c r="A168" s="12" t="s">
        <v>194</v>
      </c>
      <c r="B168" s="12" t="s">
        <v>17</v>
      </c>
      <c r="C168" s="271" t="str">
        <f>'9thMAY'!E168</f>
        <v/>
      </c>
      <c r="D168" s="227">
        <v>1.0</v>
      </c>
      <c r="E168" s="247"/>
      <c r="F168" s="235" t="s">
        <v>17</v>
      </c>
      <c r="G168" s="235"/>
      <c r="H168" s="272">
        <f>'9thMAY'!J168</f>
        <v>2</v>
      </c>
      <c r="I168" s="281">
        <v>1.0</v>
      </c>
      <c r="J168" s="282">
        <v>1.0</v>
      </c>
      <c r="K168" s="283"/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2</v>
      </c>
      <c r="N168" s="191"/>
      <c r="O168" s="247"/>
    </row>
    <row r="169">
      <c r="A169" s="12" t="s">
        <v>195</v>
      </c>
      <c r="B169" s="12" t="s">
        <v>35</v>
      </c>
      <c r="C169" s="271" t="str">
        <f>'9thMAY'!E169</f>
        <v/>
      </c>
      <c r="D169" s="191"/>
      <c r="E169" s="247"/>
      <c r="F169" s="235" t="s">
        <v>35</v>
      </c>
      <c r="G169" s="235"/>
      <c r="H169" s="272">
        <f>'9thMAY'!J169</f>
        <v>1.827</v>
      </c>
      <c r="I169" s="281">
        <v>1.0</v>
      </c>
      <c r="J169" s="282">
        <v>1.563</v>
      </c>
      <c r="K169" s="283"/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0.264</v>
      </c>
      <c r="N169" s="191"/>
      <c r="O169" s="247"/>
    </row>
    <row r="170">
      <c r="A170" s="12" t="s">
        <v>196</v>
      </c>
      <c r="B170" s="12" t="s">
        <v>35</v>
      </c>
      <c r="C170" s="271" t="str">
        <f>'9thMAY'!E170</f>
        <v/>
      </c>
      <c r="D170" s="191"/>
      <c r="E170" s="247"/>
      <c r="F170" s="235" t="s">
        <v>35</v>
      </c>
      <c r="G170" s="235"/>
      <c r="H170" s="272">
        <f>'9thMAY'!J170</f>
        <v>0.511</v>
      </c>
      <c r="I170" s="281">
        <v>1.0</v>
      </c>
      <c r="J170" s="282">
        <v>0.074</v>
      </c>
      <c r="K170" s="283"/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0.437</v>
      </c>
      <c r="N170" s="191"/>
      <c r="O170" s="247"/>
    </row>
    <row r="171">
      <c r="A171" s="12" t="s">
        <v>197</v>
      </c>
      <c r="B171" s="12" t="s">
        <v>35</v>
      </c>
      <c r="C171" s="271" t="str">
        <f>'9thMAY'!E171</f>
        <v/>
      </c>
      <c r="D171" s="227">
        <v>1.0</v>
      </c>
      <c r="E171" s="247"/>
      <c r="F171" s="235" t="s">
        <v>35</v>
      </c>
      <c r="G171" s="285"/>
      <c r="H171" s="272">
        <f>'9thMAY'!J171</f>
        <v>0.583</v>
      </c>
      <c r="I171" s="281">
        <v>1.0</v>
      </c>
      <c r="J171" s="282">
        <v>0.471</v>
      </c>
      <c r="K171" s="283"/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1.112</v>
      </c>
      <c r="N171" s="191"/>
      <c r="O171" s="247"/>
    </row>
    <row r="172">
      <c r="A172" s="12" t="s">
        <v>198</v>
      </c>
      <c r="B172" s="12" t="s">
        <v>35</v>
      </c>
      <c r="C172" s="271" t="str">
        <f>'9thMAY'!E172</f>
        <v/>
      </c>
      <c r="D172" s="227">
        <v>3.5</v>
      </c>
      <c r="E172" s="247"/>
      <c r="F172" s="235" t="s">
        <v>35</v>
      </c>
      <c r="G172" s="235"/>
      <c r="H172" s="272" t="str">
        <f>'9thMAY'!J172</f>
        <v/>
      </c>
      <c r="I172" s="281">
        <v>1.0</v>
      </c>
      <c r="J172" s="282">
        <v>0.607</v>
      </c>
      <c r="K172" s="283"/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2.893</v>
      </c>
      <c r="N172" s="191"/>
      <c r="O172" s="247"/>
    </row>
    <row r="173">
      <c r="A173" s="12" t="s">
        <v>199</v>
      </c>
      <c r="B173" s="12" t="s">
        <v>35</v>
      </c>
      <c r="C173" s="271" t="str">
        <f>'9thMAY'!E173</f>
        <v/>
      </c>
      <c r="D173" s="227">
        <v>2.4</v>
      </c>
      <c r="E173" s="247"/>
      <c r="F173" s="235" t="s">
        <v>35</v>
      </c>
      <c r="G173" s="235"/>
      <c r="H173" s="272" t="str">
        <f>'9thMAY'!J173</f>
        <v/>
      </c>
      <c r="I173" s="281">
        <v>1.0</v>
      </c>
      <c r="J173" s="282">
        <v>0.01</v>
      </c>
      <c r="K173" s="283"/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2.39</v>
      </c>
      <c r="N173" s="191"/>
      <c r="O173" s="247"/>
    </row>
    <row r="174">
      <c r="A174" s="12" t="s">
        <v>200</v>
      </c>
      <c r="B174" s="12" t="s">
        <v>35</v>
      </c>
      <c r="C174" s="271" t="str">
        <f>'9thMAY'!E174</f>
        <v/>
      </c>
      <c r="D174" s="227">
        <v>2.9</v>
      </c>
      <c r="E174" s="247"/>
      <c r="F174" s="235" t="s">
        <v>35</v>
      </c>
      <c r="G174" s="235"/>
      <c r="H174" s="272" t="str">
        <f>'9thMAY'!J174</f>
        <v/>
      </c>
      <c r="I174" s="281">
        <v>1.0</v>
      </c>
      <c r="J174" s="282">
        <v>0.382</v>
      </c>
      <c r="K174" s="283"/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2.518</v>
      </c>
      <c r="N174" s="191"/>
      <c r="O174" s="247"/>
    </row>
    <row r="175">
      <c r="A175" s="12" t="s">
        <v>201</v>
      </c>
      <c r="B175" s="12" t="s">
        <v>202</v>
      </c>
      <c r="C175" s="271" t="str">
        <f>'9thMAY'!E175</f>
        <v/>
      </c>
      <c r="D175" s="191"/>
      <c r="E175" s="247"/>
      <c r="F175" s="235" t="s">
        <v>202</v>
      </c>
      <c r="G175" s="235"/>
      <c r="H175" s="272" t="str">
        <f>'9thMAY'!J175</f>
        <v/>
      </c>
      <c r="I175" s="281">
        <v>1.0</v>
      </c>
      <c r="J175" s="284"/>
      <c r="K175" s="283"/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'9thMAY'!E176</f>
        <v/>
      </c>
      <c r="D176" s="191"/>
      <c r="E176" s="247"/>
      <c r="F176" s="235" t="s">
        <v>202</v>
      </c>
      <c r="G176" s="235"/>
      <c r="H176" s="272">
        <f>'9thMAY'!J176</f>
        <v>1</v>
      </c>
      <c r="I176" s="281">
        <v>1.0</v>
      </c>
      <c r="J176" s="282"/>
      <c r="K176" s="283"/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1</v>
      </c>
      <c r="N176" s="191"/>
      <c r="O176" s="247"/>
    </row>
    <row r="177">
      <c r="A177" s="12" t="s">
        <v>205</v>
      </c>
      <c r="B177" s="12" t="s">
        <v>202</v>
      </c>
      <c r="C177" s="271" t="str">
        <f>'9thMAY'!E177</f>
        <v/>
      </c>
      <c r="D177" s="227">
        <v>3.0</v>
      </c>
      <c r="E177" s="247"/>
      <c r="F177" s="235" t="s">
        <v>202</v>
      </c>
      <c r="G177" s="235"/>
      <c r="H177" s="272">
        <f>'9thMAY'!J177</f>
        <v>1</v>
      </c>
      <c r="I177" s="281">
        <v>1.0</v>
      </c>
      <c r="J177" s="284"/>
      <c r="K177" s="283"/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4</v>
      </c>
      <c r="N177" s="191"/>
      <c r="O177" s="247"/>
    </row>
    <row r="178">
      <c r="A178" s="12" t="s">
        <v>206</v>
      </c>
      <c r="B178" s="12" t="s">
        <v>207</v>
      </c>
      <c r="C178" s="271" t="str">
        <f>'9thMAY'!E178</f>
        <v/>
      </c>
      <c r="D178" s="227">
        <v>1.0</v>
      </c>
      <c r="E178" s="247"/>
      <c r="F178" s="235" t="s">
        <v>17</v>
      </c>
      <c r="G178" s="235"/>
      <c r="H178" s="272" t="str">
        <f>'9thMAY'!J178</f>
        <v/>
      </c>
      <c r="I178" s="281">
        <v>1.0</v>
      </c>
      <c r="J178" s="282">
        <v>3.0</v>
      </c>
      <c r="K178" s="283"/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27</v>
      </c>
      <c r="N178" s="191"/>
      <c r="O178" s="247"/>
    </row>
    <row r="179">
      <c r="A179" s="12" t="s">
        <v>209</v>
      </c>
      <c r="B179" s="12" t="s">
        <v>17</v>
      </c>
      <c r="C179" s="271" t="str">
        <f>'9thMAY'!E179</f>
        <v/>
      </c>
      <c r="D179" s="191"/>
      <c r="E179" s="247"/>
      <c r="F179" s="235" t="s">
        <v>17</v>
      </c>
      <c r="G179" s="235"/>
      <c r="H179" s="272" t="str">
        <f>'9thMAY'!J179</f>
        <v/>
      </c>
      <c r="I179" s="281">
        <v>1.0</v>
      </c>
      <c r="J179" s="284"/>
      <c r="K179" s="283"/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'9thMAY'!E180</f>
        <v/>
      </c>
      <c r="D180" s="191"/>
      <c r="E180" s="247"/>
      <c r="F180" s="235" t="s">
        <v>202</v>
      </c>
      <c r="G180" s="285"/>
      <c r="H180" s="272" t="str">
        <f>'9thMAY'!J180</f>
        <v/>
      </c>
      <c r="I180" s="281">
        <v>1.0</v>
      </c>
      <c r="J180" s="282"/>
      <c r="K180" s="283"/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0</v>
      </c>
      <c r="N180" s="191"/>
      <c r="O180" s="247"/>
    </row>
    <row r="181">
      <c r="A181" s="12" t="s">
        <v>211</v>
      </c>
      <c r="B181" s="12" t="s">
        <v>202</v>
      </c>
      <c r="C181" s="271" t="str">
        <f>'9thMAY'!E181</f>
        <v/>
      </c>
      <c r="D181" s="227"/>
      <c r="E181" s="247"/>
      <c r="F181" s="235" t="s">
        <v>202</v>
      </c>
      <c r="G181" s="235"/>
      <c r="H181" s="272">
        <f>'9thMAY'!J181</f>
        <v>1</v>
      </c>
      <c r="I181" s="281">
        <v>1.0</v>
      </c>
      <c r="J181" s="282"/>
      <c r="K181" s="283"/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1</v>
      </c>
      <c r="N181" s="191"/>
      <c r="O181" s="247"/>
    </row>
    <row r="182">
      <c r="A182" s="12" t="s">
        <v>212</v>
      </c>
      <c r="B182" s="12" t="s">
        <v>202</v>
      </c>
      <c r="C182" s="271" t="str">
        <f>'9thMAY'!E182</f>
        <v/>
      </c>
      <c r="D182" s="191"/>
      <c r="E182" s="247"/>
      <c r="F182" s="235" t="s">
        <v>202</v>
      </c>
      <c r="G182" s="235"/>
      <c r="H182" s="272">
        <f>'9thMAY'!J182</f>
        <v>1</v>
      </c>
      <c r="I182" s="281">
        <v>1.0</v>
      </c>
      <c r="J182" s="282">
        <v>1.0</v>
      </c>
      <c r="K182" s="283"/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</v>
      </c>
      <c r="N182" s="191"/>
      <c r="O182" s="247"/>
    </row>
    <row r="183">
      <c r="A183" s="12" t="s">
        <v>213</v>
      </c>
      <c r="B183" s="12" t="s">
        <v>35</v>
      </c>
      <c r="C183" s="271" t="str">
        <f>'9thMAY'!E183</f>
        <v/>
      </c>
      <c r="D183" s="191"/>
      <c r="E183" s="247"/>
      <c r="F183" s="235" t="s">
        <v>35</v>
      </c>
      <c r="G183" s="235"/>
      <c r="H183" s="272" t="str">
        <f>'9thMAY'!J183</f>
        <v/>
      </c>
      <c r="I183" s="281">
        <v>1.0</v>
      </c>
      <c r="J183" s="284"/>
      <c r="K183" s="283"/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'9thMAY'!E184</f>
        <v/>
      </c>
      <c r="D184" s="191"/>
      <c r="E184" s="247"/>
      <c r="F184" s="235" t="s">
        <v>35</v>
      </c>
      <c r="G184" s="235"/>
      <c r="H184" s="272">
        <f>'9thMAY'!J184</f>
        <v>0.157</v>
      </c>
      <c r="I184" s="281">
        <v>1.0</v>
      </c>
      <c r="J184" s="282"/>
      <c r="K184" s="283"/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0.077</v>
      </c>
      <c r="N184" s="191"/>
      <c r="O184" s="247"/>
    </row>
    <row r="185">
      <c r="A185" s="12" t="s">
        <v>215</v>
      </c>
      <c r="B185" s="12" t="s">
        <v>35</v>
      </c>
      <c r="C185" s="271" t="str">
        <f>'9thMAY'!E185</f>
        <v/>
      </c>
      <c r="D185" s="227">
        <v>1.0</v>
      </c>
      <c r="E185" s="247"/>
      <c r="F185" s="235" t="s">
        <v>35</v>
      </c>
      <c r="G185" s="235"/>
      <c r="H185" s="272">
        <f>'9thMAY'!J185</f>
        <v>0.501</v>
      </c>
      <c r="I185" s="281">
        <v>1.0</v>
      </c>
      <c r="J185" s="284"/>
      <c r="K185" s="283"/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1.501</v>
      </c>
      <c r="N185" s="191"/>
      <c r="O185" s="247"/>
    </row>
    <row r="186">
      <c r="A186" s="12" t="s">
        <v>216</v>
      </c>
      <c r="B186" s="12" t="s">
        <v>17</v>
      </c>
      <c r="C186" s="271" t="str">
        <f>'9thMAY'!E186</f>
        <v/>
      </c>
      <c r="D186" s="191"/>
      <c r="E186" s="247"/>
      <c r="F186" s="235" t="s">
        <v>17</v>
      </c>
      <c r="G186" s="235"/>
      <c r="H186" s="272">
        <f>'9thMAY'!J186</f>
        <v>1.5</v>
      </c>
      <c r="I186" s="281">
        <v>1.0</v>
      </c>
      <c r="J186" s="282">
        <v>1.5</v>
      </c>
      <c r="K186" s="283"/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</v>
      </c>
      <c r="N186" s="191"/>
      <c r="O186" s="247"/>
    </row>
    <row r="187">
      <c r="A187" s="12" t="s">
        <v>217</v>
      </c>
      <c r="B187" s="12" t="s">
        <v>35</v>
      </c>
      <c r="C187" s="271" t="str">
        <f>'9thMAY'!E187</f>
        <v/>
      </c>
      <c r="D187" s="191"/>
      <c r="E187" s="247"/>
      <c r="F187" s="235" t="s">
        <v>35</v>
      </c>
      <c r="G187" s="235"/>
      <c r="H187" s="272">
        <f>'9thMAY'!J187</f>
        <v>1.07</v>
      </c>
      <c r="I187" s="281">
        <v>1.0</v>
      </c>
      <c r="J187" s="282"/>
      <c r="K187" s="283"/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1.07</v>
      </c>
      <c r="N187" s="191"/>
      <c r="O187" s="247"/>
    </row>
    <row r="188">
      <c r="A188" s="12" t="s">
        <v>218</v>
      </c>
      <c r="B188" s="12" t="s">
        <v>17</v>
      </c>
      <c r="C188" s="271" t="str">
        <f>'9thMAY'!E188</f>
        <v/>
      </c>
      <c r="D188" s="227"/>
      <c r="E188" s="247"/>
      <c r="F188" s="235" t="s">
        <v>17</v>
      </c>
      <c r="G188" s="235"/>
      <c r="H188" s="272">
        <f>'9thMAY'!J188</f>
        <v>3</v>
      </c>
      <c r="I188" s="281">
        <v>1.0</v>
      </c>
      <c r="J188" s="282">
        <v>3.0</v>
      </c>
      <c r="K188" s="283"/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0</v>
      </c>
      <c r="N188" s="191"/>
      <c r="O188" s="247"/>
    </row>
    <row r="189">
      <c r="A189" s="12" t="s">
        <v>220</v>
      </c>
      <c r="B189" s="12" t="s">
        <v>35</v>
      </c>
      <c r="C189" s="271" t="str">
        <f>'9thMAY'!E189</f>
        <v/>
      </c>
      <c r="D189" s="191"/>
      <c r="E189" s="247"/>
      <c r="F189" s="235" t="s">
        <v>35</v>
      </c>
      <c r="G189" s="235"/>
      <c r="H189" s="272" t="str">
        <f>'9thMAY'!J189</f>
        <v/>
      </c>
      <c r="I189" s="281">
        <v>1.0</v>
      </c>
      <c r="J189" s="284"/>
      <c r="K189" s="283"/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'9thMAY'!E190</f>
        <v/>
      </c>
      <c r="D190" s="227">
        <v>5.0</v>
      </c>
      <c r="E190" s="247"/>
      <c r="F190" s="235" t="s">
        <v>17</v>
      </c>
      <c r="G190" s="235"/>
      <c r="H190" s="272">
        <f>'9thMAY'!J190</f>
        <v>5</v>
      </c>
      <c r="I190" s="281">
        <v>1.0</v>
      </c>
      <c r="J190" s="282">
        <v>1.0</v>
      </c>
      <c r="K190" s="283"/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9</v>
      </c>
      <c r="N190" s="191"/>
      <c r="O190" s="247"/>
    </row>
    <row r="191">
      <c r="A191" s="12" t="s">
        <v>222</v>
      </c>
      <c r="B191" s="12" t="s">
        <v>17</v>
      </c>
      <c r="C191" s="271" t="str">
        <f>'9thMAY'!E191</f>
        <v/>
      </c>
      <c r="D191" s="191"/>
      <c r="E191" s="247"/>
      <c r="F191" s="235" t="s">
        <v>17</v>
      </c>
      <c r="G191" s="235"/>
      <c r="H191" s="272" t="str">
        <f>'9thMAY'!J191</f>
        <v/>
      </c>
      <c r="I191" s="281">
        <v>1.0</v>
      </c>
      <c r="J191" s="284"/>
      <c r="K191" s="283"/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'9thMAY'!E192</f>
        <v/>
      </c>
      <c r="D192" s="227">
        <v>2.0</v>
      </c>
      <c r="E192" s="247"/>
      <c r="F192" s="235" t="s">
        <v>17</v>
      </c>
      <c r="G192" s="235"/>
      <c r="H192" s="272">
        <f>'9thMAY'!J192</f>
        <v>1</v>
      </c>
      <c r="I192" s="281">
        <v>1.0</v>
      </c>
      <c r="J192" s="284"/>
      <c r="K192" s="283"/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3</v>
      </c>
      <c r="N192" s="191"/>
      <c r="O192" s="247"/>
    </row>
    <row r="193">
      <c r="A193" s="12" t="s">
        <v>224</v>
      </c>
      <c r="B193" s="12" t="s">
        <v>202</v>
      </c>
      <c r="C193" s="271" t="str">
        <f>'9thMAY'!E193</f>
        <v/>
      </c>
      <c r="D193" s="227">
        <v>1.0</v>
      </c>
      <c r="E193" s="247"/>
      <c r="F193" s="235" t="s">
        <v>202</v>
      </c>
      <c r="G193" s="235"/>
      <c r="H193" s="272" t="str">
        <f>'9thMAY'!J193</f>
        <v/>
      </c>
      <c r="I193" s="281">
        <v>1.0</v>
      </c>
      <c r="J193" s="282">
        <v>1.0</v>
      </c>
      <c r="K193" s="283"/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</v>
      </c>
      <c r="N193" s="191"/>
      <c r="O193" s="247"/>
    </row>
    <row r="194">
      <c r="A194" s="12" t="s">
        <v>225</v>
      </c>
      <c r="B194" s="12" t="s">
        <v>35</v>
      </c>
      <c r="C194" s="271" t="str">
        <f>'9thMAY'!E194</f>
        <v/>
      </c>
      <c r="D194" s="191"/>
      <c r="E194" s="247"/>
      <c r="F194" s="235" t="s">
        <v>35</v>
      </c>
      <c r="G194" s="235"/>
      <c r="H194" s="272">
        <f>'9thMAY'!J194</f>
        <v>0.777</v>
      </c>
      <c r="I194" s="281">
        <v>1.0</v>
      </c>
      <c r="J194" s="282">
        <v>0.179</v>
      </c>
      <c r="K194" s="283"/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0.598</v>
      </c>
      <c r="N194" s="191"/>
      <c r="O194" s="247"/>
    </row>
    <row r="195">
      <c r="A195" s="12" t="s">
        <v>227</v>
      </c>
      <c r="B195" s="12" t="s">
        <v>35</v>
      </c>
      <c r="C195" s="271" t="str">
        <f>'9thMAY'!E195</f>
        <v/>
      </c>
      <c r="D195" s="227">
        <v>1.0</v>
      </c>
      <c r="E195" s="247"/>
      <c r="F195" s="235" t="s">
        <v>35</v>
      </c>
      <c r="G195" s="285"/>
      <c r="H195" s="272" t="str">
        <f>'9thMAY'!J195</f>
        <v/>
      </c>
      <c r="I195" s="281">
        <v>1.0</v>
      </c>
      <c r="J195" s="282">
        <v>0.605</v>
      </c>
      <c r="K195" s="283"/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0.395</v>
      </c>
      <c r="N195" s="191"/>
      <c r="O195" s="247"/>
    </row>
    <row r="196">
      <c r="A196" s="12" t="s">
        <v>228</v>
      </c>
      <c r="B196" s="12" t="s">
        <v>155</v>
      </c>
      <c r="C196" s="271">
        <f>'9thMAY'!E196</f>
        <v>1</v>
      </c>
      <c r="D196" s="191"/>
      <c r="E196" s="247"/>
      <c r="F196" s="235" t="s">
        <v>35</v>
      </c>
      <c r="G196" s="235"/>
      <c r="H196" s="272">
        <f>'9thMAY'!J196</f>
        <v>0.099</v>
      </c>
      <c r="I196" s="281">
        <v>1.0</v>
      </c>
      <c r="J196" s="282">
        <v>0.0249</v>
      </c>
      <c r="K196" s="283"/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0.5741</v>
      </c>
      <c r="N196" s="191"/>
      <c r="O196" s="247"/>
    </row>
    <row r="197">
      <c r="A197" s="12" t="s">
        <v>229</v>
      </c>
      <c r="B197" s="12" t="s">
        <v>17</v>
      </c>
      <c r="C197" s="271" t="str">
        <f>'9thMAY'!E197</f>
        <v/>
      </c>
      <c r="D197" s="227">
        <v>5.0</v>
      </c>
      <c r="E197" s="247"/>
      <c r="F197" s="235" t="s">
        <v>17</v>
      </c>
      <c r="G197" s="235"/>
      <c r="H197" s="272" t="str">
        <f>'9thMAY'!J197</f>
        <v/>
      </c>
      <c r="I197" s="281">
        <v>1.0</v>
      </c>
      <c r="J197" s="282">
        <v>4.0</v>
      </c>
      <c r="K197" s="283"/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1</v>
      </c>
      <c r="N197" s="191"/>
      <c r="O197" s="247"/>
    </row>
    <row r="198">
      <c r="A198" s="12" t="s">
        <v>231</v>
      </c>
      <c r="B198" s="12" t="s">
        <v>35</v>
      </c>
      <c r="C198" s="271" t="str">
        <f>'9thMAY'!E198</f>
        <v/>
      </c>
      <c r="D198" s="227">
        <v>1.0</v>
      </c>
      <c r="E198" s="247"/>
      <c r="F198" s="235" t="s">
        <v>35</v>
      </c>
      <c r="G198" s="235"/>
      <c r="H198" s="272">
        <f>'9thMAY'!J198</f>
        <v>0.454</v>
      </c>
      <c r="I198" s="281">
        <v>1.0</v>
      </c>
      <c r="J198" s="282">
        <v>0.915</v>
      </c>
      <c r="K198" s="283"/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0.539</v>
      </c>
      <c r="N198" s="191"/>
      <c r="O198" s="247"/>
    </row>
    <row r="199">
      <c r="A199" s="12" t="s">
        <v>232</v>
      </c>
      <c r="B199" s="12" t="s">
        <v>202</v>
      </c>
      <c r="C199" s="271" t="str">
        <f>'9thMAY'!E199</f>
        <v/>
      </c>
      <c r="D199" s="227">
        <v>1.0</v>
      </c>
      <c r="E199" s="247"/>
      <c r="F199" s="235" t="s">
        <v>202</v>
      </c>
      <c r="G199" s="285"/>
      <c r="H199" s="272">
        <f>'9thMAY'!J199</f>
        <v>0.25</v>
      </c>
      <c r="I199" s="281">
        <v>1.0</v>
      </c>
      <c r="J199" s="282"/>
      <c r="K199" s="283"/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1.25</v>
      </c>
      <c r="N199" s="191"/>
      <c r="O199" s="247"/>
    </row>
    <row r="200">
      <c r="A200" s="12" t="s">
        <v>233</v>
      </c>
      <c r="B200" s="12" t="s">
        <v>17</v>
      </c>
      <c r="C200" s="271" t="str">
        <f>'9thMAY'!E200</f>
        <v/>
      </c>
      <c r="D200" s="227">
        <v>1.0</v>
      </c>
      <c r="E200" s="280"/>
      <c r="F200" s="235" t="s">
        <v>234</v>
      </c>
      <c r="G200" s="285"/>
      <c r="H200" s="272">
        <f>'9thMAY'!J200</f>
        <v>2.25</v>
      </c>
      <c r="I200" s="281">
        <v>1.0</v>
      </c>
      <c r="J200" s="282">
        <v>2.0</v>
      </c>
      <c r="K200" s="283"/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1.25</v>
      </c>
      <c r="N200" s="191"/>
      <c r="O200" s="247"/>
    </row>
    <row r="201">
      <c r="A201" s="25" t="s">
        <v>235</v>
      </c>
      <c r="B201" s="26" t="s">
        <v>202</v>
      </c>
      <c r="C201" s="271" t="str">
        <f>'9thMAY'!E201</f>
        <v/>
      </c>
      <c r="D201" s="227">
        <v>1.0</v>
      </c>
      <c r="E201" s="247"/>
      <c r="F201" s="235" t="s">
        <v>202</v>
      </c>
      <c r="G201" s="235"/>
      <c r="H201" s="272">
        <f>'9thMAY'!J201</f>
        <v>1</v>
      </c>
      <c r="I201" s="281">
        <v>1.0</v>
      </c>
      <c r="J201" s="282">
        <v>1.0</v>
      </c>
      <c r="K201" s="283"/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1</v>
      </c>
      <c r="N201" s="191"/>
      <c r="O201" s="247"/>
    </row>
    <row r="202">
      <c r="A202" s="25" t="s">
        <v>236</v>
      </c>
      <c r="B202" s="26" t="s">
        <v>237</v>
      </c>
      <c r="C202" s="271" t="str">
        <f>'9thMAY'!E202</f>
        <v/>
      </c>
      <c r="D202" s="191"/>
      <c r="E202" s="247"/>
      <c r="F202" s="235" t="s">
        <v>35</v>
      </c>
      <c r="G202" s="235"/>
      <c r="H202" s="272">
        <f>'9thMAY'!J202</f>
        <v>0.311</v>
      </c>
      <c r="I202" s="281">
        <v>1.0</v>
      </c>
      <c r="J202" s="282"/>
      <c r="K202" s="283"/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0.311</v>
      </c>
      <c r="N202" s="191"/>
      <c r="O202" s="247"/>
    </row>
    <row r="203">
      <c r="A203" s="25" t="s">
        <v>238</v>
      </c>
      <c r="B203" s="26" t="s">
        <v>202</v>
      </c>
      <c r="C203" s="271" t="str">
        <f>'9thMAY'!E203</f>
        <v/>
      </c>
      <c r="D203" s="227">
        <v>1.0</v>
      </c>
      <c r="E203" s="247"/>
      <c r="F203" s="235" t="s">
        <v>202</v>
      </c>
      <c r="G203" s="235"/>
      <c r="H203" s="272" t="str">
        <f>'9thMAY'!J203</f>
        <v/>
      </c>
      <c r="I203" s="281">
        <v>1.0</v>
      </c>
      <c r="J203" s="282">
        <v>1.0</v>
      </c>
      <c r="K203" s="283"/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71" t="str">
        <f>'9thMAY'!E204</f>
        <v/>
      </c>
      <c r="D204" s="191"/>
      <c r="E204" s="247"/>
      <c r="F204" s="235" t="s">
        <v>35</v>
      </c>
      <c r="G204" s="235"/>
      <c r="H204" s="272" t="str">
        <f>'9thMAY'!J204</f>
        <v/>
      </c>
      <c r="I204" s="281">
        <v>1.0</v>
      </c>
      <c r="J204" s="284"/>
      <c r="K204" s="283"/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'9thMAY'!E205</f>
        <v/>
      </c>
      <c r="D205" s="227"/>
      <c r="E205" s="247"/>
      <c r="F205" s="235" t="s">
        <v>17</v>
      </c>
      <c r="G205" s="235"/>
      <c r="H205" s="272">
        <f>'9thMAY'!J205</f>
        <v>2</v>
      </c>
      <c r="I205" s="281">
        <v>1.0</v>
      </c>
      <c r="J205" s="282"/>
      <c r="K205" s="283"/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2</v>
      </c>
      <c r="N205" s="191"/>
      <c r="O205" s="247"/>
    </row>
    <row r="206">
      <c r="A206" s="12" t="s">
        <v>242</v>
      </c>
      <c r="B206" s="12" t="s">
        <v>35</v>
      </c>
      <c r="C206" s="271" t="str">
        <f>'9thMAY'!E206</f>
        <v/>
      </c>
      <c r="D206" s="227">
        <v>200.0</v>
      </c>
      <c r="E206" s="247"/>
      <c r="F206" s="235" t="s">
        <v>35</v>
      </c>
      <c r="G206" s="235"/>
      <c r="H206" s="272">
        <f>'9thMAY'!J206</f>
        <v>85</v>
      </c>
      <c r="I206" s="281">
        <v>1.0</v>
      </c>
      <c r="J206" s="282">
        <v>80.0</v>
      </c>
      <c r="K206" s="283"/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205</v>
      </c>
      <c r="N206" s="191"/>
      <c r="O206" s="247"/>
    </row>
    <row r="207">
      <c r="A207" s="12" t="s">
        <v>243</v>
      </c>
      <c r="B207" s="12" t="s">
        <v>241</v>
      </c>
      <c r="C207" s="271" t="str">
        <f>'9thMAY'!E207</f>
        <v/>
      </c>
      <c r="D207" s="227">
        <v>11.0</v>
      </c>
      <c r="E207" s="247"/>
      <c r="F207" s="235" t="s">
        <v>17</v>
      </c>
      <c r="G207" s="285"/>
      <c r="H207" s="272" t="str">
        <f>'9thMAY'!J207</f>
        <v/>
      </c>
      <c r="I207" s="281">
        <v>1.0</v>
      </c>
      <c r="J207" s="282"/>
      <c r="K207" s="283"/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11</v>
      </c>
      <c r="N207" s="191"/>
      <c r="O207" s="247"/>
    </row>
    <row r="208">
      <c r="A208" s="10" t="s">
        <v>245</v>
      </c>
      <c r="B208" s="11"/>
      <c r="C208" s="271" t="str">
        <f>'9thMAY'!E208</f>
        <v/>
      </c>
      <c r="D208" s="191"/>
      <c r="E208" s="247"/>
      <c r="F208" s="235"/>
      <c r="G208" s="235"/>
      <c r="H208" s="272" t="str">
        <f>'9thMAY'!J208</f>
        <v/>
      </c>
      <c r="I208" s="281">
        <v>1.0</v>
      </c>
      <c r="J208" s="284"/>
      <c r="K208" s="283"/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'9thMAY'!E209</f>
        <v/>
      </c>
      <c r="D209" s="227"/>
      <c r="E209" s="247"/>
      <c r="F209" s="235" t="s">
        <v>155</v>
      </c>
      <c r="G209" s="285"/>
      <c r="H209" s="272">
        <f>'9thMAY'!J209</f>
        <v>2</v>
      </c>
      <c r="I209" s="281">
        <v>1.0</v>
      </c>
      <c r="J209" s="282"/>
      <c r="K209" s="283"/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1.988</v>
      </c>
      <c r="N209" s="191"/>
      <c r="O209" s="247"/>
    </row>
    <row r="210">
      <c r="A210" s="12" t="s">
        <v>247</v>
      </c>
      <c r="B210" s="13" t="s">
        <v>59</v>
      </c>
      <c r="C210" s="271" t="str">
        <f>'9thMAY'!E210</f>
        <v/>
      </c>
      <c r="D210" s="191"/>
      <c r="E210" s="280"/>
      <c r="F210" s="235" t="s">
        <v>35</v>
      </c>
      <c r="G210" s="235"/>
      <c r="H210" s="272" t="str">
        <f>'9thMAY'!J210</f>
        <v/>
      </c>
      <c r="I210" s="281">
        <v>1.0</v>
      </c>
      <c r="J210" s="282"/>
      <c r="K210" s="283"/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</v>
      </c>
      <c r="N210" s="191"/>
      <c r="O210" s="247"/>
    </row>
    <row r="211">
      <c r="A211" s="12" t="s">
        <v>248</v>
      </c>
      <c r="B211" s="13" t="s">
        <v>59</v>
      </c>
      <c r="C211" s="271">
        <f>'9thMAY'!E211</f>
        <v>1</v>
      </c>
      <c r="D211" s="191"/>
      <c r="E211" s="280">
        <v>1.0</v>
      </c>
      <c r="F211" s="235" t="s">
        <v>35</v>
      </c>
      <c r="G211" s="235"/>
      <c r="H211" s="272" t="str">
        <f>'9thMAY'!J211</f>
        <v/>
      </c>
      <c r="I211" s="281">
        <v>1.0</v>
      </c>
      <c r="J211" s="284"/>
      <c r="K211" s="283"/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247"/>
    </row>
    <row r="212">
      <c r="A212" s="12" t="s">
        <v>250</v>
      </c>
      <c r="B212" s="13" t="s">
        <v>59</v>
      </c>
      <c r="C212" s="271" t="str">
        <f>'9thMAY'!E212</f>
        <v/>
      </c>
      <c r="D212" s="191"/>
      <c r="E212" s="280"/>
      <c r="F212" s="235" t="s">
        <v>35</v>
      </c>
      <c r="G212" s="235"/>
      <c r="H212" s="272">
        <f>'9thMAY'!J212</f>
        <v>0.045</v>
      </c>
      <c r="I212" s="281">
        <v>1.0</v>
      </c>
      <c r="J212" s="284"/>
      <c r="K212" s="283"/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0.035</v>
      </c>
      <c r="N212" s="191"/>
      <c r="O212" s="247"/>
    </row>
    <row r="213">
      <c r="A213" s="12" t="s">
        <v>251</v>
      </c>
      <c r="B213" s="13" t="s">
        <v>34</v>
      </c>
      <c r="C213" s="271" t="str">
        <f>'9thMAY'!E213</f>
        <v/>
      </c>
      <c r="D213" s="191"/>
      <c r="E213" s="247"/>
      <c r="F213" s="235" t="s">
        <v>35</v>
      </c>
      <c r="G213" s="235"/>
      <c r="H213" s="272" t="str">
        <f>'9thMAY'!J213</f>
        <v/>
      </c>
      <c r="I213" s="281">
        <v>1.0</v>
      </c>
      <c r="J213" s="284"/>
      <c r="K213" s="283"/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'9thMAY'!E214</f>
        <v/>
      </c>
      <c r="D214" s="191"/>
      <c r="E214" s="247"/>
      <c r="F214" s="235"/>
      <c r="G214" s="235"/>
      <c r="H214" s="272" t="str">
        <f>'9thMAY'!J214</f>
        <v/>
      </c>
      <c r="I214" s="281">
        <v>1.0</v>
      </c>
      <c r="J214" s="284"/>
      <c r="K214" s="283"/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'9thMAY'!E215</f>
        <v/>
      </c>
      <c r="D215" s="191"/>
      <c r="E215" s="247"/>
      <c r="F215" s="235" t="s">
        <v>254</v>
      </c>
      <c r="G215" s="235"/>
      <c r="H215" s="272" t="str">
        <f>'9thMAY'!J215</f>
        <v/>
      </c>
      <c r="I215" s="281">
        <v>1.0</v>
      </c>
      <c r="J215" s="284"/>
      <c r="K215" s="283"/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'9thMAY'!E216</f>
        <v/>
      </c>
      <c r="D216" s="191"/>
      <c r="E216" s="247"/>
      <c r="F216" s="235" t="s">
        <v>234</v>
      </c>
      <c r="G216" s="235"/>
      <c r="H216" s="272" t="str">
        <f>'9thMAY'!J216</f>
        <v/>
      </c>
      <c r="I216" s="281">
        <v>1.0</v>
      </c>
      <c r="J216" s="284"/>
      <c r="K216" s="283"/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'9thMAY'!E217</f>
        <v/>
      </c>
      <c r="D217" s="227"/>
      <c r="E217" s="247"/>
      <c r="F217" s="235" t="s">
        <v>17</v>
      </c>
      <c r="G217" s="235"/>
      <c r="H217" s="272">
        <f>'9thMAY'!J217</f>
        <v>21</v>
      </c>
      <c r="I217" s="281">
        <v>1.0</v>
      </c>
      <c r="J217" s="282">
        <v>17.0</v>
      </c>
      <c r="K217" s="283"/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4</v>
      </c>
      <c r="N217" s="191"/>
      <c r="O217" s="247"/>
    </row>
    <row r="218">
      <c r="A218" s="12" t="s">
        <v>260</v>
      </c>
      <c r="B218" s="12" t="s">
        <v>261</v>
      </c>
      <c r="C218" s="271" t="str">
        <f>'9thMAY'!E218</f>
        <v/>
      </c>
      <c r="D218" s="191"/>
      <c r="E218" s="247"/>
      <c r="F218" s="235" t="s">
        <v>35</v>
      </c>
      <c r="G218" s="235"/>
      <c r="H218" s="272">
        <f>'9thMAY'!J218</f>
        <v>3.585</v>
      </c>
      <c r="I218" s="281">
        <v>1.0</v>
      </c>
      <c r="J218" s="282">
        <v>3.164</v>
      </c>
      <c r="K218" s="283"/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0.421</v>
      </c>
      <c r="N218" s="191"/>
      <c r="O218" s="247"/>
    </row>
    <row r="219">
      <c r="A219" s="12" t="s">
        <v>263</v>
      </c>
      <c r="B219" s="12" t="s">
        <v>17</v>
      </c>
      <c r="C219" s="271" t="str">
        <f>'9thMAY'!E219</f>
        <v/>
      </c>
      <c r="D219" s="227"/>
      <c r="E219" s="247"/>
      <c r="F219" s="235" t="s">
        <v>17</v>
      </c>
      <c r="G219" s="235"/>
      <c r="H219" s="272">
        <f>'9thMAY'!J219</f>
        <v>49</v>
      </c>
      <c r="I219" s="281">
        <v>1.0</v>
      </c>
      <c r="J219" s="282">
        <v>38.0</v>
      </c>
      <c r="K219" s="283"/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11</v>
      </c>
      <c r="N219" s="191"/>
      <c r="O219" s="247"/>
    </row>
    <row r="220">
      <c r="A220" s="12" t="s">
        <v>264</v>
      </c>
      <c r="B220" s="12" t="s">
        <v>261</v>
      </c>
      <c r="C220" s="271" t="str">
        <f>'9thMAY'!E220</f>
        <v/>
      </c>
      <c r="D220" s="191"/>
      <c r="E220" s="247"/>
      <c r="F220" s="235" t="s">
        <v>35</v>
      </c>
      <c r="G220" s="235"/>
      <c r="H220" s="272">
        <f>'9thMAY'!J220</f>
        <v>1.495</v>
      </c>
      <c r="I220" s="281">
        <v>1.0</v>
      </c>
      <c r="J220" s="282">
        <v>1.219</v>
      </c>
      <c r="K220" s="283"/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0.276</v>
      </c>
      <c r="N220" s="191"/>
      <c r="O220" s="247"/>
    </row>
    <row r="221">
      <c r="A221" s="12" t="s">
        <v>265</v>
      </c>
      <c r="B221" s="12" t="s">
        <v>40</v>
      </c>
      <c r="C221" s="271" t="str">
        <f>'9thMAY'!E221</f>
        <v/>
      </c>
      <c r="D221" s="227">
        <v>1.0</v>
      </c>
      <c r="E221" s="247"/>
      <c r="F221" s="235" t="s">
        <v>17</v>
      </c>
      <c r="G221" s="235"/>
      <c r="H221" s="272">
        <f>'9thMAY'!J221</f>
        <v>53</v>
      </c>
      <c r="I221" s="281">
        <v>1.0</v>
      </c>
      <c r="J221" s="282">
        <v>10.0</v>
      </c>
      <c r="K221" s="283"/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68</v>
      </c>
      <c r="N221" s="191"/>
      <c r="O221" s="247"/>
    </row>
    <row r="222">
      <c r="A222" s="12" t="s">
        <v>266</v>
      </c>
      <c r="B222" s="12" t="s">
        <v>267</v>
      </c>
      <c r="C222" s="271" t="str">
        <f>'9thMAY'!E222</f>
        <v/>
      </c>
      <c r="D222" s="227">
        <v>1.0</v>
      </c>
      <c r="E222" s="247"/>
      <c r="F222" s="235" t="s">
        <v>17</v>
      </c>
      <c r="G222" s="235"/>
      <c r="H222" s="272">
        <f>'9thMAY'!J222</f>
        <v>11</v>
      </c>
      <c r="I222" s="281">
        <v>1.0</v>
      </c>
      <c r="J222" s="282">
        <v>39.0</v>
      </c>
      <c r="K222" s="283"/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22</v>
      </c>
      <c r="N222" s="191"/>
      <c r="O222" s="247"/>
    </row>
    <row r="223">
      <c r="A223" s="12" t="s">
        <v>268</v>
      </c>
      <c r="B223" s="12" t="s">
        <v>40</v>
      </c>
      <c r="C223" s="271" t="str">
        <f>'9thMAY'!E223</f>
        <v/>
      </c>
      <c r="D223" s="227">
        <v>1.0</v>
      </c>
      <c r="E223" s="247"/>
      <c r="F223" s="235" t="s">
        <v>17</v>
      </c>
      <c r="G223" s="235"/>
      <c r="H223" s="272">
        <f>'9thMAY'!J223</f>
        <v>8</v>
      </c>
      <c r="I223" s="281">
        <v>1.0</v>
      </c>
      <c r="J223" s="282">
        <v>9.0</v>
      </c>
      <c r="K223" s="283"/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24</v>
      </c>
      <c r="N223" s="191"/>
      <c r="O223" s="247"/>
    </row>
    <row r="224">
      <c r="A224" s="12" t="s">
        <v>269</v>
      </c>
      <c r="B224" s="294" t="s">
        <v>40</v>
      </c>
      <c r="C224" s="271" t="str">
        <f>'9thMAY'!E224</f>
        <v/>
      </c>
      <c r="D224" s="191"/>
      <c r="E224" s="191"/>
      <c r="F224" s="191" t="s">
        <v>17</v>
      </c>
      <c r="G224" s="191"/>
      <c r="H224" s="272">
        <f>'9thMAY'!J224</f>
        <v>42</v>
      </c>
      <c r="I224" s="281">
        <v>1.0</v>
      </c>
      <c r="J224" s="227">
        <v>28.0</v>
      </c>
      <c r="K224" s="283"/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14</v>
      </c>
      <c r="N224" s="191"/>
      <c r="O224" s="247"/>
    </row>
    <row r="225">
      <c r="A225" s="12" t="s">
        <v>270</v>
      </c>
      <c r="B225" s="294" t="s">
        <v>40</v>
      </c>
      <c r="C225" s="271">
        <f>'9thMAY'!E225</f>
        <v>1</v>
      </c>
      <c r="D225" s="191"/>
      <c r="E225" s="191"/>
      <c r="F225" s="191" t="s">
        <v>17</v>
      </c>
      <c r="G225" s="191"/>
      <c r="H225" s="272">
        <f>'9thMAY'!J225</f>
        <v>19</v>
      </c>
      <c r="I225" s="281">
        <v>1.0</v>
      </c>
      <c r="J225" s="227">
        <v>56.0</v>
      </c>
      <c r="K225" s="283"/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13</v>
      </c>
      <c r="N225" s="191"/>
      <c r="O225" s="247"/>
    </row>
    <row r="226">
      <c r="A226" s="12" t="s">
        <v>271</v>
      </c>
      <c r="B226" s="294" t="s">
        <v>40</v>
      </c>
      <c r="C226" s="271" t="str">
        <f>'9thMAY'!E226</f>
        <v/>
      </c>
      <c r="D226" s="227">
        <v>1.0</v>
      </c>
      <c r="E226" s="191"/>
      <c r="F226" s="191" t="s">
        <v>17</v>
      </c>
      <c r="G226" s="191"/>
      <c r="H226" s="272">
        <f>'9thMAY'!J226</f>
        <v>21</v>
      </c>
      <c r="I226" s="281">
        <v>1.0</v>
      </c>
      <c r="J226" s="227">
        <v>17.0</v>
      </c>
      <c r="K226" s="283"/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54</v>
      </c>
      <c r="N226" s="191"/>
      <c r="O226" s="247"/>
    </row>
    <row r="227">
      <c r="A227" s="12" t="s">
        <v>272</v>
      </c>
      <c r="B227" s="294" t="s">
        <v>40</v>
      </c>
      <c r="C227" s="271" t="str">
        <f>'9thMAY'!E227</f>
        <v/>
      </c>
      <c r="D227" s="297"/>
      <c r="E227" s="296"/>
      <c r="F227" s="296" t="s">
        <v>17</v>
      </c>
      <c r="G227" s="296"/>
      <c r="H227" s="272">
        <f>'9thMAY'!J227</f>
        <v>15</v>
      </c>
      <c r="I227" s="281">
        <v>1.0</v>
      </c>
      <c r="J227" s="297">
        <v>2.0</v>
      </c>
      <c r="K227" s="283"/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13</v>
      </c>
      <c r="N227" s="296"/>
      <c r="O227" s="299"/>
    </row>
    <row r="228">
      <c r="A228" s="23"/>
      <c r="B228" s="11"/>
      <c r="C228" s="271" t="str">
        <f>'9thMAY'!E228</f>
        <v/>
      </c>
      <c r="D228" s="11"/>
      <c r="E228" s="11"/>
      <c r="F228" s="11"/>
      <c r="G228" s="11"/>
      <c r="H228" s="272" t="str">
        <f>'9thMAY'!J228</f>
        <v/>
      </c>
      <c r="I228" s="28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'9thMAY'!E229</f>
        <v/>
      </c>
      <c r="D229" s="11"/>
      <c r="E229" s="11"/>
      <c r="F229" s="11"/>
      <c r="G229" s="11"/>
      <c r="H229" s="272" t="str">
        <f>'9thMAY'!J229</f>
        <v/>
      </c>
      <c r="I229" s="281"/>
      <c r="J229" s="11"/>
      <c r="K229" s="11"/>
      <c r="L229" s="11"/>
      <c r="M229" s="11"/>
      <c r="N229" s="11"/>
      <c r="O229" s="11"/>
    </row>
    <row r="230">
      <c r="A230" s="11"/>
      <c r="B230" s="11"/>
      <c r="C230" s="271" t="str">
        <f>'9thMAY'!E230</f>
        <v/>
      </c>
      <c r="D230" s="11"/>
      <c r="E230" s="11"/>
      <c r="F230" s="11"/>
      <c r="G230" s="11"/>
      <c r="H230" s="272" t="str">
        <f>'9thMAY'!J230</f>
        <v/>
      </c>
      <c r="I230" s="281"/>
      <c r="J230" s="11"/>
      <c r="K230" s="11"/>
      <c r="L230" s="11"/>
      <c r="M230" s="11"/>
      <c r="N230" s="11"/>
      <c r="O230" s="11"/>
    </row>
    <row r="231">
      <c r="A231" s="11"/>
      <c r="B231" s="11"/>
      <c r="C231" s="271" t="str">
        <f>'9thMAY'!E231</f>
        <v/>
      </c>
      <c r="D231" s="11"/>
      <c r="E231" s="11"/>
      <c r="F231" s="11"/>
      <c r="G231" s="11"/>
      <c r="H231" s="272" t="str">
        <f>'9thMAY'!J231</f>
        <v/>
      </c>
      <c r="I231" s="281"/>
      <c r="J231" s="11"/>
      <c r="K231" s="11"/>
      <c r="L231" s="11"/>
      <c r="M231" s="11"/>
      <c r="N231" s="11"/>
      <c r="O231" s="11"/>
    </row>
    <row r="232">
      <c r="A232" s="11"/>
      <c r="B232" s="11"/>
      <c r="C232" s="271" t="str">
        <f>'9thMAY'!E232</f>
        <v/>
      </c>
      <c r="D232" s="11"/>
      <c r="E232" s="11"/>
      <c r="F232" s="11"/>
      <c r="G232" s="11"/>
      <c r="H232" s="272" t="str">
        <f>'9thMAY'!J232</f>
        <v/>
      </c>
      <c r="I232" s="281"/>
      <c r="J232" s="11"/>
      <c r="K232" s="11"/>
      <c r="L232" s="11"/>
      <c r="M232" s="11"/>
      <c r="N232" s="11"/>
      <c r="O232" s="11"/>
    </row>
    <row r="233">
      <c r="A233" s="11"/>
      <c r="B233" s="11"/>
      <c r="C233" s="271" t="str">
        <f>'9thMAY'!E233</f>
        <v/>
      </c>
      <c r="D233" s="11"/>
      <c r="E233" s="11"/>
      <c r="F233" s="11"/>
      <c r="G233" s="11"/>
      <c r="H233" s="272" t="str">
        <f>'9thMAY'!J233</f>
        <v/>
      </c>
      <c r="I233" s="281"/>
      <c r="J233" s="11"/>
      <c r="K233" s="11"/>
      <c r="L233" s="11"/>
      <c r="M233" s="11"/>
      <c r="N233" s="11"/>
      <c r="O233" s="11"/>
    </row>
    <row r="234">
      <c r="A234" s="11"/>
      <c r="B234" s="11"/>
      <c r="C234" s="271" t="str">
        <f>'9thMAY'!E234</f>
        <v/>
      </c>
      <c r="D234" s="11"/>
      <c r="E234" s="11"/>
      <c r="F234" s="11"/>
      <c r="G234" s="11"/>
      <c r="H234" s="272" t="str">
        <f>'9thMAY'!J234</f>
        <v/>
      </c>
      <c r="I234" s="11"/>
      <c r="J234" s="11"/>
      <c r="K234" s="11"/>
      <c r="L234" s="11"/>
      <c r="M234" s="11"/>
      <c r="N234" s="11"/>
      <c r="O234" s="11"/>
    </row>
    <row r="235">
      <c r="A235" s="11"/>
      <c r="B235" s="11"/>
      <c r="C235" s="271" t="str">
        <f>'9thMAY'!E235</f>
        <v/>
      </c>
      <c r="D235" s="11"/>
      <c r="E235" s="11"/>
      <c r="F235" s="11"/>
      <c r="G235" s="11"/>
      <c r="H235" s="272" t="str">
        <f>'9thMAY'!J235</f>
        <v/>
      </c>
      <c r="I235" s="11"/>
      <c r="J235" s="11"/>
      <c r="K235" s="11"/>
      <c r="L235" s="11"/>
      <c r="M235" s="11"/>
      <c r="N235" s="11"/>
      <c r="O235" s="11"/>
    </row>
    <row r="236">
      <c r="A236" s="11"/>
      <c r="B236" s="11"/>
      <c r="C236" s="271" t="str">
        <f>'9thMAY'!E236</f>
        <v/>
      </c>
      <c r="D236" s="11"/>
      <c r="E236" s="11"/>
      <c r="F236" s="11"/>
      <c r="G236" s="11"/>
      <c r="H236" s="272" t="str">
        <f>'9thMAY'!J236</f>
        <v/>
      </c>
      <c r="I236" s="11"/>
      <c r="J236" s="11"/>
      <c r="K236" s="11"/>
      <c r="L236" s="11"/>
      <c r="M236" s="11"/>
      <c r="N236" s="11"/>
      <c r="O236" s="11"/>
    </row>
    <row r="237">
      <c r="A237" s="11"/>
      <c r="B237" s="11"/>
      <c r="C237" s="271" t="str">
        <f>'9thMAY'!E237</f>
        <v/>
      </c>
      <c r="D237" s="11"/>
      <c r="E237" s="11"/>
      <c r="F237" s="11"/>
      <c r="G237" s="11"/>
      <c r="H237" s="272" t="str">
        <f>'9thMAY'!J237</f>
        <v/>
      </c>
      <c r="I237" s="11"/>
      <c r="J237" s="11"/>
      <c r="K237" s="11"/>
      <c r="L237" s="11"/>
      <c r="M237" s="11"/>
      <c r="N237" s="11"/>
      <c r="O237" s="11"/>
    </row>
    <row r="238">
      <c r="A238" s="11"/>
      <c r="B238" s="11"/>
      <c r="C238" s="271" t="str">
        <f>'9thMAY'!E238</f>
        <v/>
      </c>
      <c r="D238" s="11"/>
      <c r="E238" s="11"/>
      <c r="F238" s="11"/>
      <c r="G238" s="11"/>
      <c r="H238" s="272" t="str">
        <f>'9thMAY'!J238</f>
        <v/>
      </c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271" t="str">
        <f>'9thMAY'!E239</f>
        <v/>
      </c>
      <c r="D239" s="11"/>
      <c r="E239" s="11"/>
      <c r="F239" s="11"/>
      <c r="G239" s="11"/>
      <c r="H239" s="272" t="str">
        <f>'9thMAY'!J239</f>
        <v/>
      </c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271" t="str">
        <f>'9thMAY'!E240</f>
        <v/>
      </c>
      <c r="D240" s="11"/>
      <c r="E240" s="11"/>
      <c r="F240" s="11"/>
      <c r="G240" s="11"/>
      <c r="H240" s="272" t="str">
        <f>'9thMAY'!J240</f>
        <v/>
      </c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271" t="str">
        <f>'9thMAY'!E241</f>
        <v/>
      </c>
      <c r="D241" s="11"/>
      <c r="E241" s="11"/>
      <c r="F241" s="11"/>
      <c r="G241" s="11"/>
      <c r="H241" s="272" t="str">
        <f>'9thMAY'!J241</f>
        <v/>
      </c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271" t="str">
        <f>'9thMAY'!E242</f>
        <v/>
      </c>
      <c r="D242" s="11"/>
      <c r="E242" s="11"/>
      <c r="F242" s="11"/>
      <c r="G242" s="11"/>
      <c r="H242" s="272" t="str">
        <f>'9thMAY'!J242</f>
        <v/>
      </c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271" t="str">
        <f>'9thMAY'!E243</f>
        <v/>
      </c>
      <c r="D243" s="11"/>
      <c r="E243" s="11"/>
      <c r="F243" s="11"/>
      <c r="G243" s="11"/>
      <c r="H243" s="272" t="str">
        <f>'9thMAY'!J243</f>
        <v/>
      </c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271" t="str">
        <f>'9thMAY'!E244</f>
        <v/>
      </c>
      <c r="D244" s="11"/>
      <c r="E244" s="11"/>
      <c r="F244" s="11"/>
      <c r="G244" s="11"/>
      <c r="H244" s="272" t="str">
        <f>'9thMAY'!J244</f>
        <v/>
      </c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271" t="str">
        <f>'9thMAY'!E245</f>
        <v/>
      </c>
      <c r="D245" s="11"/>
      <c r="E245" s="11"/>
      <c r="F245" s="11"/>
      <c r="G245" s="11"/>
      <c r="H245" s="272" t="str">
        <f>'9thMAY'!J245</f>
        <v/>
      </c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271" t="str">
        <f>'9thMAY'!E246</f>
        <v/>
      </c>
      <c r="D246" s="11"/>
      <c r="E246" s="11"/>
      <c r="F246" s="11"/>
      <c r="G246" s="11"/>
      <c r="H246" s="272" t="str">
        <f>'9thMAY'!J246</f>
        <v/>
      </c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271" t="str">
        <f>'9thMAY'!E247</f>
        <v/>
      </c>
      <c r="D247" s="11"/>
      <c r="E247" s="11"/>
      <c r="F247" s="11"/>
      <c r="G247" s="11"/>
      <c r="H247" s="272" t="str">
        <f>'9thMAY'!J247</f>
        <v/>
      </c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271" t="str">
        <f>'9thMAY'!E248</f>
        <v/>
      </c>
      <c r="D248" s="11"/>
      <c r="E248" s="11"/>
      <c r="F248" s="11"/>
      <c r="G248" s="11"/>
      <c r="H248" s="272" t="str">
        <f>'9thMAY'!J248</f>
        <v/>
      </c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271" t="str">
        <f>'9thMAY'!E249</f>
        <v/>
      </c>
      <c r="D249" s="11"/>
      <c r="E249" s="11"/>
      <c r="F249" s="11"/>
      <c r="G249" s="11"/>
      <c r="H249" s="272" t="str">
        <f>'9thMAY'!J249</f>
        <v/>
      </c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271" t="str">
        <f>'9thMAY'!E250</f>
        <v/>
      </c>
      <c r="D250" s="11"/>
      <c r="E250" s="11"/>
      <c r="F250" s="11"/>
      <c r="G250" s="11"/>
      <c r="H250" s="272" t="str">
        <f>'9thMAY'!J250</f>
        <v/>
      </c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271" t="str">
        <f>'9thMAY'!E251</f>
        <v/>
      </c>
      <c r="D251" s="11"/>
      <c r="E251" s="11"/>
      <c r="F251" s="11"/>
      <c r="G251" s="11"/>
      <c r="H251" s="272" t="str">
        <f>'9thMAY'!J251</f>
        <v/>
      </c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271" t="str">
        <f>'9thMAY'!E252</f>
        <v/>
      </c>
      <c r="D252" s="11"/>
      <c r="E252" s="11"/>
      <c r="F252" s="11"/>
      <c r="G252" s="11"/>
      <c r="H252" s="272" t="str">
        <f>'9thMAY'!J252</f>
        <v/>
      </c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271" t="str">
        <f>'9thMAY'!E253</f>
        <v/>
      </c>
      <c r="D253" s="11"/>
      <c r="E253" s="11"/>
      <c r="F253" s="11"/>
      <c r="G253" s="11"/>
      <c r="H253" s="272" t="str">
        <f>'9thMAY'!J253</f>
        <v/>
      </c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271" t="str">
        <f>'9thMAY'!E254</f>
        <v/>
      </c>
      <c r="D254" s="11"/>
      <c r="E254" s="11"/>
      <c r="F254" s="11"/>
      <c r="G254" s="11"/>
      <c r="H254" s="272" t="str">
        <f>'9thMAY'!J254</f>
        <v/>
      </c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271" t="str">
        <f>'9thMAY'!E255</f>
        <v/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11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11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11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11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11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11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11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11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11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11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11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11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11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11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11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11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11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11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11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11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11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11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11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11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11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11"/>
      <c r="B292" s="235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11"/>
      <c r="B293" s="235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11"/>
      <c r="B294" s="235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11"/>
      <c r="B295" s="235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11"/>
      <c r="B296" s="235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11"/>
      <c r="B297" s="235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11"/>
      <c r="B298" s="235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11"/>
      <c r="B299" s="235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11"/>
      <c r="B300" s="235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11"/>
      <c r="B301" s="235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11"/>
      <c r="B302" s="235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11"/>
      <c r="B303" s="235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11"/>
      <c r="B304" s="235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11"/>
      <c r="B305" s="235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11"/>
      <c r="B306" s="235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11"/>
      <c r="B307" s="235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11"/>
      <c r="B308" s="235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11"/>
      <c r="B309" s="235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11"/>
      <c r="B310" s="235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11"/>
      <c r="B311" s="235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11"/>
      <c r="B312" s="235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11"/>
      <c r="B313" s="235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11"/>
      <c r="B314" s="235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11"/>
      <c r="B315" s="235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11"/>
      <c r="B316" s="235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11"/>
      <c r="B317" s="235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11"/>
      <c r="B318" s="235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11"/>
      <c r="B319" s="235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11"/>
      <c r="B320" s="235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11"/>
      <c r="B321" s="235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11"/>
      <c r="B322" s="235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11"/>
      <c r="B323" s="235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11"/>
      <c r="B324" s="235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11"/>
      <c r="B325" s="235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11"/>
      <c r="B326" s="235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11"/>
      <c r="B327" s="235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11"/>
      <c r="B328" s="235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11"/>
      <c r="B329" s="235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11"/>
      <c r="B330" s="235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11"/>
      <c r="B331" s="235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11"/>
      <c r="B332" s="235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11"/>
      <c r="B333" s="235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11"/>
      <c r="B334" s="235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11"/>
      <c r="B335" s="235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11"/>
      <c r="B336" s="235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A337" s="300"/>
    </row>
    <row r="338">
      <c r="A338" s="300"/>
    </row>
    <row r="339">
      <c r="A339" s="300"/>
    </row>
    <row r="340">
      <c r="A340" s="300"/>
    </row>
    <row r="341">
      <c r="A341" s="300"/>
    </row>
    <row r="342">
      <c r="A342" s="300"/>
    </row>
    <row r="343">
      <c r="A343" s="300"/>
    </row>
    <row r="344">
      <c r="A344" s="300"/>
    </row>
    <row r="345">
      <c r="A345" s="300"/>
    </row>
    <row r="346">
      <c r="A346" s="300"/>
    </row>
    <row r="347">
      <c r="A347" s="300"/>
    </row>
    <row r="348">
      <c r="A348" s="300"/>
    </row>
    <row r="349">
      <c r="A349" s="300"/>
    </row>
    <row r="350">
      <c r="A350" s="300"/>
    </row>
    <row r="351">
      <c r="A351" s="300"/>
    </row>
    <row r="352">
      <c r="A352" s="300"/>
    </row>
    <row r="353">
      <c r="A353" s="300"/>
    </row>
    <row r="354">
      <c r="A354" s="300"/>
    </row>
    <row r="355">
      <c r="A355" s="300"/>
    </row>
    <row r="356">
      <c r="A356" s="300"/>
    </row>
    <row r="357">
      <c r="A357" s="300"/>
    </row>
    <row r="358">
      <c r="A358" s="300"/>
    </row>
    <row r="359">
      <c r="A359" s="300"/>
    </row>
    <row r="360">
      <c r="A360" s="300"/>
    </row>
    <row r="361">
      <c r="A361" s="300"/>
    </row>
    <row r="362">
      <c r="A362" s="300"/>
    </row>
    <row r="363">
      <c r="A363" s="300"/>
    </row>
    <row r="364">
      <c r="A364" s="300"/>
    </row>
    <row r="365">
      <c r="A365" s="300"/>
    </row>
    <row r="366">
      <c r="A366" s="300"/>
    </row>
    <row r="367">
      <c r="A367" s="300"/>
    </row>
    <row r="368">
      <c r="A368" s="300"/>
    </row>
    <row r="369">
      <c r="A369" s="300"/>
    </row>
    <row r="370">
      <c r="A370" s="300"/>
    </row>
    <row r="371">
      <c r="A371" s="300"/>
    </row>
    <row r="372">
      <c r="A372" s="300"/>
    </row>
    <row r="373">
      <c r="A373" s="300"/>
    </row>
    <row r="374">
      <c r="A374" s="300"/>
    </row>
    <row r="375">
      <c r="A375" s="300"/>
    </row>
    <row r="376">
      <c r="A376" s="300"/>
    </row>
    <row r="377">
      <c r="A377" s="300"/>
    </row>
    <row r="378">
      <c r="A378" s="300"/>
    </row>
    <row r="379">
      <c r="A379" s="300"/>
    </row>
    <row r="380">
      <c r="A380" s="300"/>
    </row>
    <row r="381">
      <c r="A381" s="300"/>
    </row>
    <row r="382">
      <c r="A382" s="300"/>
    </row>
    <row r="383">
      <c r="A383" s="300"/>
    </row>
    <row r="384">
      <c r="A384" s="300"/>
    </row>
    <row r="385">
      <c r="A385" s="300"/>
    </row>
    <row r="386">
      <c r="A386" s="300"/>
    </row>
    <row r="387">
      <c r="A387" s="300"/>
    </row>
    <row r="388">
      <c r="A388" s="300"/>
    </row>
    <row r="389">
      <c r="A389" s="300"/>
    </row>
    <row r="390">
      <c r="A390" s="300"/>
    </row>
    <row r="391">
      <c r="A391" s="300"/>
    </row>
    <row r="392">
      <c r="A392" s="300"/>
    </row>
    <row r="393">
      <c r="A393" s="300"/>
    </row>
    <row r="394">
      <c r="A394" s="300"/>
    </row>
    <row r="395">
      <c r="A395" s="300"/>
    </row>
    <row r="396">
      <c r="A396" s="300"/>
    </row>
    <row r="397">
      <c r="A397" s="300"/>
    </row>
    <row r="398">
      <c r="A398" s="300"/>
    </row>
    <row r="399">
      <c r="A399" s="300"/>
    </row>
    <row r="400">
      <c r="A400" s="300"/>
    </row>
    <row r="401">
      <c r="A401" s="300"/>
    </row>
    <row r="402">
      <c r="A402" s="300"/>
    </row>
    <row r="403">
      <c r="A403" s="300"/>
    </row>
    <row r="404">
      <c r="A404" s="300"/>
    </row>
    <row r="405">
      <c r="A405" s="300"/>
    </row>
    <row r="406">
      <c r="A406" s="300"/>
    </row>
    <row r="407">
      <c r="A407" s="300"/>
    </row>
    <row r="408">
      <c r="A408" s="300"/>
    </row>
    <row r="409">
      <c r="A409" s="300"/>
    </row>
    <row r="410">
      <c r="A410" s="300"/>
    </row>
    <row r="411">
      <c r="A411" s="300"/>
    </row>
    <row r="412">
      <c r="A412" s="300"/>
    </row>
    <row r="413">
      <c r="A413" s="300"/>
    </row>
    <row r="414">
      <c r="A414" s="300"/>
    </row>
    <row r="415">
      <c r="A415" s="300"/>
    </row>
    <row r="416">
      <c r="A416" s="300"/>
    </row>
    <row r="417">
      <c r="A417" s="300"/>
    </row>
    <row r="418">
      <c r="A418" s="300"/>
    </row>
    <row r="419">
      <c r="A419" s="300"/>
    </row>
    <row r="420">
      <c r="A420" s="300"/>
    </row>
    <row r="421">
      <c r="A421" s="300"/>
    </row>
    <row r="422">
      <c r="A422" s="300"/>
    </row>
    <row r="423">
      <c r="A423" s="300"/>
    </row>
    <row r="424">
      <c r="A424" s="300"/>
    </row>
    <row r="425">
      <c r="A425" s="300"/>
    </row>
    <row r="426">
      <c r="A426" s="300"/>
    </row>
    <row r="427">
      <c r="A427" s="300"/>
    </row>
    <row r="428">
      <c r="A428" s="300"/>
    </row>
    <row r="429">
      <c r="A429" s="300"/>
    </row>
    <row r="430">
      <c r="A430" s="300"/>
    </row>
    <row r="431">
      <c r="A431" s="300"/>
    </row>
    <row r="432">
      <c r="A432" s="300"/>
    </row>
    <row r="433">
      <c r="A433" s="300"/>
    </row>
    <row r="434">
      <c r="A434" s="300"/>
    </row>
    <row r="435">
      <c r="A435" s="300"/>
    </row>
    <row r="436">
      <c r="A436" s="300"/>
    </row>
    <row r="437">
      <c r="A437" s="300"/>
    </row>
    <row r="438">
      <c r="A438" s="300"/>
    </row>
    <row r="439">
      <c r="A439" s="300"/>
    </row>
    <row r="440">
      <c r="A440" s="300"/>
    </row>
    <row r="441">
      <c r="A441" s="300"/>
    </row>
    <row r="442">
      <c r="A442" s="300"/>
    </row>
    <row r="443">
      <c r="A443" s="300"/>
    </row>
    <row r="444">
      <c r="A444" s="300"/>
    </row>
    <row r="445">
      <c r="A445" s="300"/>
    </row>
    <row r="446">
      <c r="A446" s="300"/>
    </row>
    <row r="447">
      <c r="A447" s="300"/>
    </row>
    <row r="448">
      <c r="A448" s="300"/>
    </row>
    <row r="449">
      <c r="A449" s="300"/>
    </row>
    <row r="450">
      <c r="A450" s="300"/>
    </row>
    <row r="451">
      <c r="A451" s="300"/>
    </row>
    <row r="452">
      <c r="A452" s="300"/>
    </row>
    <row r="453">
      <c r="A453" s="300"/>
    </row>
    <row r="454">
      <c r="A454" s="300"/>
    </row>
    <row r="455">
      <c r="A455" s="300"/>
    </row>
    <row r="456">
      <c r="A456" s="300"/>
    </row>
    <row r="457">
      <c r="A457" s="300"/>
    </row>
    <row r="458">
      <c r="A458" s="300"/>
    </row>
    <row r="459">
      <c r="A459" s="300"/>
    </row>
    <row r="460">
      <c r="A460" s="300"/>
    </row>
    <row r="461">
      <c r="A461" s="300"/>
    </row>
    <row r="462">
      <c r="A462" s="300"/>
    </row>
    <row r="463">
      <c r="A463" s="300"/>
    </row>
    <row r="464">
      <c r="A464" s="300"/>
    </row>
    <row r="465">
      <c r="A465" s="300"/>
    </row>
    <row r="466">
      <c r="A466" s="300"/>
    </row>
    <row r="467">
      <c r="A467" s="300"/>
    </row>
    <row r="468">
      <c r="A468" s="300"/>
    </row>
    <row r="469">
      <c r="A469" s="300"/>
    </row>
    <row r="470">
      <c r="A470" s="300"/>
    </row>
    <row r="471">
      <c r="A471" s="300"/>
    </row>
    <row r="472">
      <c r="A472" s="300"/>
    </row>
    <row r="473">
      <c r="A473" s="300"/>
    </row>
    <row r="474">
      <c r="A474" s="300"/>
    </row>
    <row r="475">
      <c r="A475" s="300"/>
    </row>
    <row r="476">
      <c r="A476" s="300"/>
    </row>
    <row r="477">
      <c r="A477" s="300"/>
    </row>
    <row r="478">
      <c r="A478" s="300"/>
    </row>
    <row r="479">
      <c r="A479" s="300"/>
    </row>
    <row r="480">
      <c r="A480" s="300"/>
    </row>
    <row r="481">
      <c r="A481" s="300"/>
    </row>
    <row r="482">
      <c r="A482" s="300"/>
    </row>
    <row r="483">
      <c r="A483" s="300"/>
    </row>
    <row r="484">
      <c r="A484" s="300"/>
    </row>
    <row r="485">
      <c r="A485" s="300"/>
    </row>
    <row r="486">
      <c r="A486" s="300"/>
    </row>
    <row r="487">
      <c r="A487" s="300"/>
    </row>
    <row r="488">
      <c r="A488" s="300"/>
    </row>
    <row r="489">
      <c r="A489" s="300"/>
    </row>
    <row r="490">
      <c r="A490" s="300"/>
    </row>
    <row r="491">
      <c r="A491" s="300"/>
    </row>
    <row r="492">
      <c r="A492" s="300"/>
    </row>
    <row r="493">
      <c r="A493" s="300"/>
    </row>
    <row r="494">
      <c r="A494" s="300"/>
    </row>
    <row r="495">
      <c r="A495" s="300"/>
    </row>
    <row r="496">
      <c r="A496" s="300"/>
    </row>
    <row r="497">
      <c r="A497" s="300"/>
    </row>
    <row r="498">
      <c r="A498" s="300"/>
    </row>
    <row r="499">
      <c r="A499" s="300"/>
    </row>
    <row r="500">
      <c r="A500" s="300"/>
    </row>
    <row r="501">
      <c r="A501" s="300"/>
    </row>
    <row r="502">
      <c r="A502" s="300"/>
    </row>
    <row r="503">
      <c r="A503" s="300"/>
    </row>
    <row r="504">
      <c r="A504" s="300"/>
    </row>
    <row r="505">
      <c r="A505" s="300"/>
    </row>
    <row r="506">
      <c r="A506" s="300"/>
    </row>
    <row r="507">
      <c r="A507" s="300"/>
    </row>
    <row r="508">
      <c r="A508" s="300"/>
    </row>
    <row r="509">
      <c r="A509" s="300"/>
    </row>
    <row r="510">
      <c r="A510" s="300"/>
    </row>
    <row r="511">
      <c r="A511" s="300"/>
    </row>
    <row r="512">
      <c r="A512" s="300"/>
    </row>
    <row r="513">
      <c r="A513" s="300"/>
    </row>
    <row r="514">
      <c r="A514" s="300"/>
    </row>
    <row r="515">
      <c r="A515" s="300"/>
    </row>
    <row r="516">
      <c r="A516" s="300"/>
    </row>
    <row r="517">
      <c r="A517" s="300"/>
    </row>
    <row r="518">
      <c r="A518" s="300"/>
    </row>
    <row r="519">
      <c r="A519" s="300"/>
    </row>
    <row r="520">
      <c r="A520" s="300"/>
    </row>
    <row r="521">
      <c r="A521" s="300"/>
    </row>
    <row r="522">
      <c r="A522" s="300"/>
    </row>
    <row r="523">
      <c r="A523" s="300"/>
    </row>
    <row r="524">
      <c r="A524" s="300"/>
    </row>
    <row r="525">
      <c r="A525" s="300"/>
    </row>
    <row r="526">
      <c r="A526" s="300"/>
    </row>
    <row r="527">
      <c r="A527" s="300"/>
    </row>
    <row r="528">
      <c r="A528" s="300"/>
    </row>
    <row r="529">
      <c r="A529" s="300"/>
    </row>
    <row r="530">
      <c r="A530" s="300"/>
    </row>
    <row r="531">
      <c r="A531" s="300"/>
    </row>
    <row r="532">
      <c r="A532" s="300"/>
    </row>
    <row r="533">
      <c r="A533" s="300"/>
    </row>
    <row r="534">
      <c r="A534" s="300"/>
    </row>
    <row r="535">
      <c r="A535" s="300"/>
    </row>
    <row r="536">
      <c r="A536" s="300"/>
    </row>
    <row r="537">
      <c r="A537" s="300"/>
    </row>
    <row r="538">
      <c r="A538" s="300"/>
    </row>
    <row r="539">
      <c r="A539" s="300"/>
    </row>
    <row r="540">
      <c r="A540" s="300"/>
    </row>
    <row r="541">
      <c r="A541" s="300"/>
    </row>
    <row r="542">
      <c r="A542" s="300"/>
    </row>
    <row r="543">
      <c r="A543" s="300"/>
    </row>
    <row r="544">
      <c r="A544" s="300"/>
    </row>
    <row r="545">
      <c r="A545" s="300"/>
    </row>
    <row r="546">
      <c r="A546" s="300"/>
    </row>
    <row r="547">
      <c r="A547" s="300"/>
    </row>
    <row r="548">
      <c r="A548" s="300"/>
    </row>
    <row r="549">
      <c r="A549" s="300"/>
    </row>
    <row r="550">
      <c r="A550" s="300"/>
    </row>
    <row r="551">
      <c r="A551" s="300"/>
    </row>
    <row r="552">
      <c r="A552" s="300"/>
    </row>
    <row r="553">
      <c r="A553" s="300"/>
    </row>
    <row r="554">
      <c r="A554" s="300"/>
    </row>
    <row r="555">
      <c r="A555" s="300"/>
    </row>
    <row r="556">
      <c r="A556" s="300"/>
    </row>
    <row r="557">
      <c r="A557" s="300"/>
    </row>
    <row r="558">
      <c r="A558" s="300"/>
    </row>
    <row r="559">
      <c r="A559" s="300"/>
    </row>
    <row r="560">
      <c r="A560" s="300"/>
    </row>
    <row r="561">
      <c r="A561" s="300"/>
    </row>
    <row r="562">
      <c r="A562" s="300"/>
    </row>
    <row r="563">
      <c r="A563" s="300"/>
    </row>
    <row r="564">
      <c r="A564" s="300"/>
    </row>
    <row r="565">
      <c r="A565" s="300"/>
    </row>
    <row r="566">
      <c r="A566" s="300"/>
    </row>
    <row r="567">
      <c r="A567" s="300"/>
    </row>
    <row r="568">
      <c r="A568" s="300"/>
    </row>
    <row r="569">
      <c r="A569" s="300"/>
    </row>
    <row r="570">
      <c r="A570" s="300"/>
    </row>
    <row r="571">
      <c r="A571" s="300"/>
    </row>
    <row r="572">
      <c r="A572" s="300"/>
    </row>
    <row r="573">
      <c r="A573" s="300"/>
    </row>
    <row r="574">
      <c r="A574" s="300"/>
    </row>
    <row r="575">
      <c r="A575" s="300"/>
    </row>
    <row r="576">
      <c r="A576" s="300"/>
    </row>
    <row r="577">
      <c r="A577" s="300"/>
    </row>
    <row r="578">
      <c r="A578" s="300"/>
    </row>
    <row r="579">
      <c r="A579" s="300"/>
    </row>
    <row r="580">
      <c r="A580" s="300"/>
    </row>
    <row r="581">
      <c r="A581" s="300"/>
    </row>
    <row r="582">
      <c r="A582" s="300"/>
    </row>
    <row r="583">
      <c r="A583" s="300"/>
    </row>
    <row r="584">
      <c r="A584" s="300"/>
    </row>
    <row r="585">
      <c r="A585" s="300"/>
    </row>
    <row r="586">
      <c r="A586" s="300"/>
    </row>
    <row r="587">
      <c r="A587" s="300"/>
    </row>
    <row r="588">
      <c r="A588" s="300"/>
    </row>
    <row r="589">
      <c r="A589" s="300"/>
    </row>
    <row r="590">
      <c r="A590" s="300"/>
    </row>
    <row r="591">
      <c r="A591" s="300"/>
    </row>
    <row r="592">
      <c r="A592" s="300"/>
    </row>
    <row r="593">
      <c r="A593" s="300"/>
    </row>
    <row r="594">
      <c r="A594" s="300"/>
    </row>
    <row r="595">
      <c r="A595" s="300"/>
    </row>
    <row r="596">
      <c r="A596" s="300"/>
    </row>
    <row r="597">
      <c r="A597" s="300"/>
    </row>
    <row r="598">
      <c r="A598" s="300"/>
    </row>
    <row r="599">
      <c r="A599" s="300"/>
    </row>
    <row r="600">
      <c r="A600" s="300"/>
    </row>
    <row r="601">
      <c r="A601" s="300"/>
    </row>
    <row r="602">
      <c r="A602" s="300"/>
    </row>
    <row r="603">
      <c r="A603" s="300"/>
    </row>
    <row r="604">
      <c r="A604" s="300"/>
    </row>
    <row r="605">
      <c r="A605" s="300"/>
    </row>
    <row r="606">
      <c r="A606" s="300"/>
    </row>
    <row r="607">
      <c r="A607" s="300"/>
    </row>
    <row r="608">
      <c r="A608" s="300"/>
    </row>
    <row r="609">
      <c r="A609" s="300"/>
    </row>
    <row r="610">
      <c r="A610" s="300"/>
    </row>
    <row r="611">
      <c r="A611" s="300"/>
    </row>
    <row r="612">
      <c r="A612" s="300"/>
    </row>
    <row r="613">
      <c r="A613" s="300"/>
    </row>
    <row r="614">
      <c r="A614" s="300"/>
    </row>
    <row r="615">
      <c r="A615" s="300"/>
    </row>
    <row r="616">
      <c r="A616" s="300"/>
    </row>
    <row r="617">
      <c r="A617" s="300"/>
    </row>
    <row r="618">
      <c r="A618" s="300"/>
    </row>
    <row r="619">
      <c r="A619" s="300"/>
    </row>
    <row r="620">
      <c r="A620" s="300"/>
    </row>
    <row r="621">
      <c r="A621" s="300"/>
    </row>
    <row r="622">
      <c r="A622" s="300"/>
    </row>
    <row r="623">
      <c r="A623" s="300"/>
    </row>
    <row r="624">
      <c r="A624" s="300"/>
    </row>
    <row r="625">
      <c r="A625" s="300"/>
    </row>
    <row r="626">
      <c r="A626" s="300"/>
    </row>
    <row r="627">
      <c r="A627" s="300"/>
    </row>
    <row r="628">
      <c r="A628" s="300"/>
    </row>
    <row r="629">
      <c r="A629" s="300"/>
    </row>
    <row r="630">
      <c r="A630" s="300"/>
    </row>
    <row r="631">
      <c r="A631" s="300"/>
    </row>
    <row r="632">
      <c r="A632" s="300"/>
    </row>
    <row r="633">
      <c r="A633" s="300"/>
    </row>
    <row r="634">
      <c r="A634" s="300"/>
    </row>
    <row r="635">
      <c r="A635" s="300"/>
    </row>
    <row r="636">
      <c r="A636" s="300"/>
    </row>
    <row r="637">
      <c r="A637" s="300"/>
    </row>
    <row r="638">
      <c r="A638" s="300"/>
    </row>
    <row r="639">
      <c r="A639" s="300"/>
    </row>
    <row r="640">
      <c r="A640" s="300"/>
    </row>
    <row r="641">
      <c r="A641" s="300"/>
    </row>
    <row r="642">
      <c r="A642" s="300"/>
    </row>
    <row r="643">
      <c r="A643" s="300"/>
    </row>
    <row r="644">
      <c r="A644" s="300"/>
    </row>
    <row r="645">
      <c r="A645" s="300"/>
    </row>
    <row r="646">
      <c r="A646" s="300"/>
    </row>
    <row r="647">
      <c r="A647" s="300"/>
    </row>
    <row r="648">
      <c r="A648" s="300"/>
    </row>
    <row r="649">
      <c r="A649" s="300"/>
    </row>
    <row r="650">
      <c r="A650" s="300"/>
    </row>
    <row r="651">
      <c r="A651" s="300"/>
    </row>
    <row r="652">
      <c r="A652" s="300"/>
    </row>
    <row r="653">
      <c r="A653" s="300"/>
    </row>
    <row r="654">
      <c r="A654" s="300"/>
    </row>
    <row r="655">
      <c r="A655" s="300"/>
    </row>
    <row r="656">
      <c r="A656" s="300"/>
    </row>
    <row r="657">
      <c r="A657" s="300"/>
    </row>
    <row r="658">
      <c r="A658" s="300"/>
    </row>
    <row r="659">
      <c r="A659" s="300"/>
    </row>
    <row r="660">
      <c r="A660" s="300"/>
    </row>
    <row r="661">
      <c r="A661" s="300"/>
    </row>
    <row r="662">
      <c r="A662" s="300"/>
    </row>
    <row r="663">
      <c r="A663" s="300"/>
    </row>
    <row r="664">
      <c r="A664" s="300"/>
    </row>
    <row r="665">
      <c r="A665" s="300"/>
    </row>
    <row r="666">
      <c r="A666" s="300"/>
    </row>
    <row r="667">
      <c r="A667" s="300"/>
    </row>
    <row r="668">
      <c r="A668" s="300"/>
    </row>
    <row r="669">
      <c r="A669" s="300"/>
    </row>
    <row r="670">
      <c r="A670" s="300"/>
    </row>
    <row r="671">
      <c r="A671" s="300"/>
    </row>
    <row r="672">
      <c r="A672" s="300"/>
    </row>
    <row r="673">
      <c r="A673" s="300"/>
    </row>
    <row r="674">
      <c r="A674" s="300"/>
    </row>
    <row r="675">
      <c r="A675" s="300"/>
    </row>
    <row r="676">
      <c r="A676" s="300"/>
    </row>
    <row r="677">
      <c r="A677" s="300"/>
    </row>
    <row r="678">
      <c r="A678" s="300"/>
    </row>
    <row r="679">
      <c r="A679" s="300"/>
    </row>
    <row r="680">
      <c r="A680" s="300"/>
    </row>
    <row r="681">
      <c r="A681" s="300"/>
    </row>
    <row r="682">
      <c r="A682" s="300"/>
    </row>
    <row r="683">
      <c r="A683" s="300"/>
    </row>
    <row r="684">
      <c r="A684" s="300"/>
    </row>
    <row r="685">
      <c r="A685" s="300"/>
    </row>
    <row r="686">
      <c r="A686" s="300"/>
    </row>
    <row r="687">
      <c r="A687" s="300"/>
    </row>
    <row r="688">
      <c r="A688" s="300"/>
    </row>
    <row r="689">
      <c r="A689" s="300"/>
    </row>
    <row r="690">
      <c r="A690" s="300"/>
    </row>
    <row r="691">
      <c r="A691" s="300"/>
    </row>
    <row r="692">
      <c r="A692" s="300"/>
    </row>
    <row r="693">
      <c r="A693" s="300"/>
    </row>
    <row r="694">
      <c r="A694" s="300"/>
    </row>
    <row r="695">
      <c r="A695" s="300"/>
    </row>
    <row r="696">
      <c r="A696" s="300"/>
    </row>
    <row r="697">
      <c r="A697" s="300"/>
    </row>
    <row r="698">
      <c r="A698" s="300"/>
    </row>
    <row r="699">
      <c r="A699" s="300"/>
    </row>
    <row r="700">
      <c r="A700" s="300"/>
    </row>
    <row r="701">
      <c r="A701" s="300"/>
    </row>
    <row r="702">
      <c r="A702" s="300"/>
    </row>
    <row r="703">
      <c r="A703" s="300"/>
    </row>
    <row r="704">
      <c r="A704" s="300"/>
    </row>
    <row r="705">
      <c r="A705" s="300"/>
    </row>
    <row r="706">
      <c r="A706" s="300"/>
    </row>
    <row r="707">
      <c r="A707" s="300"/>
    </row>
    <row r="708">
      <c r="A708" s="300"/>
    </row>
    <row r="709">
      <c r="A709" s="300"/>
    </row>
    <row r="710">
      <c r="A710" s="300"/>
    </row>
    <row r="711">
      <c r="A711" s="300"/>
    </row>
    <row r="712">
      <c r="A712" s="300"/>
    </row>
    <row r="713">
      <c r="A713" s="300"/>
    </row>
    <row r="714">
      <c r="A714" s="300"/>
    </row>
    <row r="715">
      <c r="A715" s="300"/>
    </row>
    <row r="716">
      <c r="A716" s="300"/>
    </row>
    <row r="717">
      <c r="A717" s="300"/>
    </row>
    <row r="718">
      <c r="A718" s="300"/>
    </row>
    <row r="719">
      <c r="A719" s="300"/>
    </row>
    <row r="720">
      <c r="A720" s="300"/>
    </row>
    <row r="721">
      <c r="A721" s="300"/>
    </row>
    <row r="722">
      <c r="A722" s="300"/>
    </row>
    <row r="723">
      <c r="A723" s="300"/>
    </row>
    <row r="724">
      <c r="A724" s="300"/>
    </row>
    <row r="725">
      <c r="A725" s="300"/>
    </row>
    <row r="726">
      <c r="A726" s="300"/>
    </row>
    <row r="727">
      <c r="A727" s="300"/>
    </row>
    <row r="728">
      <c r="A728" s="300"/>
    </row>
    <row r="729">
      <c r="A729" s="300"/>
    </row>
    <row r="730">
      <c r="A730" s="300"/>
    </row>
    <row r="731">
      <c r="A731" s="300"/>
    </row>
    <row r="732">
      <c r="A732" s="300"/>
    </row>
    <row r="733">
      <c r="A733" s="300"/>
    </row>
    <row r="734">
      <c r="A734" s="300"/>
    </row>
    <row r="735">
      <c r="A735" s="300"/>
    </row>
    <row r="736">
      <c r="A736" s="300"/>
    </row>
    <row r="737">
      <c r="A737" s="300"/>
    </row>
    <row r="738">
      <c r="A738" s="300"/>
    </row>
    <row r="739">
      <c r="A739" s="300"/>
    </row>
    <row r="740">
      <c r="A740" s="300"/>
    </row>
    <row r="741">
      <c r="A741" s="300"/>
    </row>
    <row r="742">
      <c r="A742" s="300"/>
    </row>
    <row r="743">
      <c r="A743" s="300"/>
    </row>
    <row r="744">
      <c r="A744" s="300"/>
    </row>
    <row r="745">
      <c r="A745" s="300"/>
    </row>
    <row r="746">
      <c r="A746" s="300"/>
    </row>
    <row r="747">
      <c r="A747" s="300"/>
    </row>
    <row r="748">
      <c r="A748" s="300"/>
    </row>
    <row r="749">
      <c r="A749" s="300"/>
    </row>
    <row r="750">
      <c r="A750" s="300"/>
    </row>
    <row r="751">
      <c r="A751" s="300"/>
    </row>
    <row r="752">
      <c r="A752" s="300"/>
    </row>
    <row r="753">
      <c r="A753" s="300"/>
    </row>
    <row r="754">
      <c r="A754" s="300"/>
    </row>
    <row r="755">
      <c r="A755" s="300"/>
    </row>
    <row r="756">
      <c r="A756" s="300"/>
    </row>
    <row r="757">
      <c r="A757" s="300"/>
    </row>
    <row r="758">
      <c r="A758" s="300"/>
    </row>
    <row r="759">
      <c r="A759" s="300"/>
    </row>
    <row r="760">
      <c r="A760" s="300"/>
    </row>
    <row r="761">
      <c r="A761" s="300"/>
    </row>
    <row r="762">
      <c r="A762" s="300"/>
    </row>
    <row r="763">
      <c r="A763" s="300"/>
    </row>
    <row r="764">
      <c r="A764" s="300"/>
    </row>
    <row r="765">
      <c r="A765" s="300"/>
    </row>
    <row r="766">
      <c r="A766" s="300"/>
    </row>
    <row r="767">
      <c r="A767" s="300"/>
    </row>
    <row r="768">
      <c r="A768" s="300"/>
    </row>
    <row r="769">
      <c r="A769" s="300"/>
    </row>
    <row r="770">
      <c r="A770" s="300"/>
    </row>
    <row r="771">
      <c r="A771" s="300"/>
    </row>
    <row r="772">
      <c r="A772" s="300"/>
    </row>
    <row r="773">
      <c r="A773" s="300"/>
    </row>
    <row r="774">
      <c r="A774" s="300"/>
    </row>
    <row r="775">
      <c r="A775" s="300"/>
    </row>
    <row r="776">
      <c r="A776" s="300"/>
    </row>
    <row r="777">
      <c r="A777" s="300"/>
    </row>
    <row r="778">
      <c r="A778" s="300"/>
    </row>
    <row r="779">
      <c r="A779" s="300"/>
    </row>
    <row r="780">
      <c r="A780" s="300"/>
    </row>
    <row r="781">
      <c r="A781" s="300"/>
    </row>
    <row r="782">
      <c r="A782" s="300"/>
    </row>
    <row r="783">
      <c r="A783" s="300"/>
    </row>
    <row r="784">
      <c r="A784" s="300"/>
    </row>
    <row r="785">
      <c r="A785" s="300"/>
    </row>
    <row r="786">
      <c r="A786" s="300"/>
    </row>
    <row r="787">
      <c r="A787" s="300"/>
    </row>
    <row r="788">
      <c r="A788" s="300"/>
    </row>
    <row r="789">
      <c r="A789" s="300"/>
    </row>
    <row r="790">
      <c r="A790" s="300"/>
    </row>
    <row r="791">
      <c r="A791" s="300"/>
    </row>
    <row r="792">
      <c r="A792" s="300"/>
    </row>
    <row r="793">
      <c r="A793" s="300"/>
    </row>
    <row r="794">
      <c r="A794" s="300"/>
    </row>
    <row r="795">
      <c r="A795" s="300"/>
    </row>
    <row r="796">
      <c r="A796" s="300"/>
    </row>
    <row r="797">
      <c r="A797" s="300"/>
    </row>
    <row r="798">
      <c r="A798" s="300"/>
    </row>
    <row r="799">
      <c r="A799" s="300"/>
    </row>
    <row r="800">
      <c r="A800" s="300"/>
    </row>
    <row r="801">
      <c r="A801" s="300"/>
    </row>
    <row r="802">
      <c r="A802" s="300"/>
    </row>
    <row r="803">
      <c r="A803" s="300"/>
    </row>
    <row r="804">
      <c r="A804" s="300"/>
    </row>
    <row r="805">
      <c r="A805" s="300"/>
    </row>
    <row r="806">
      <c r="A806" s="300"/>
    </row>
    <row r="807">
      <c r="A807" s="300"/>
    </row>
    <row r="808">
      <c r="A808" s="300"/>
    </row>
    <row r="809">
      <c r="A809" s="300"/>
    </row>
    <row r="810">
      <c r="A810" s="300"/>
    </row>
    <row r="811">
      <c r="A811" s="300"/>
    </row>
    <row r="812">
      <c r="A812" s="300"/>
    </row>
    <row r="813">
      <c r="A813" s="300"/>
    </row>
    <row r="814">
      <c r="A814" s="300"/>
    </row>
    <row r="815">
      <c r="A815" s="300"/>
    </row>
    <row r="816">
      <c r="A816" s="300"/>
    </row>
    <row r="817">
      <c r="A817" s="300"/>
    </row>
    <row r="818">
      <c r="A818" s="300"/>
    </row>
    <row r="819">
      <c r="A819" s="300"/>
    </row>
    <row r="820">
      <c r="A820" s="300"/>
    </row>
    <row r="821">
      <c r="A821" s="300"/>
    </row>
    <row r="822">
      <c r="A822" s="300"/>
    </row>
    <row r="823">
      <c r="A823" s="300"/>
    </row>
    <row r="824">
      <c r="A824" s="300"/>
    </row>
    <row r="825">
      <c r="A825" s="300"/>
    </row>
    <row r="826">
      <c r="A826" s="300"/>
    </row>
    <row r="827">
      <c r="A827" s="300"/>
    </row>
    <row r="828">
      <c r="A828" s="300"/>
    </row>
    <row r="829">
      <c r="A829" s="300"/>
    </row>
    <row r="830">
      <c r="A830" s="300"/>
    </row>
    <row r="831">
      <c r="A831" s="300"/>
    </row>
    <row r="832">
      <c r="A832" s="300"/>
    </row>
    <row r="833">
      <c r="A833" s="300"/>
    </row>
    <row r="834">
      <c r="A834" s="300"/>
    </row>
    <row r="835">
      <c r="A835" s="300"/>
    </row>
    <row r="836">
      <c r="A836" s="300"/>
    </row>
    <row r="837">
      <c r="A837" s="300"/>
    </row>
    <row r="838">
      <c r="A838" s="300"/>
    </row>
    <row r="839">
      <c r="A839" s="300"/>
    </row>
    <row r="840">
      <c r="A840" s="300"/>
    </row>
    <row r="841">
      <c r="A841" s="300"/>
    </row>
    <row r="842">
      <c r="A842" s="300"/>
    </row>
    <row r="843">
      <c r="A843" s="300"/>
    </row>
    <row r="844">
      <c r="A844" s="300"/>
    </row>
    <row r="845">
      <c r="A845" s="300"/>
    </row>
    <row r="846">
      <c r="A846" s="300"/>
    </row>
    <row r="847">
      <c r="A847" s="300"/>
    </row>
    <row r="848">
      <c r="A848" s="300"/>
    </row>
    <row r="849">
      <c r="A849" s="300"/>
    </row>
    <row r="850">
      <c r="A850" s="300"/>
    </row>
    <row r="851">
      <c r="A851" s="300"/>
    </row>
    <row r="852">
      <c r="A852" s="300"/>
    </row>
    <row r="853">
      <c r="A853" s="300"/>
    </row>
    <row r="854">
      <c r="A854" s="300"/>
    </row>
    <row r="855">
      <c r="A855" s="300"/>
    </row>
    <row r="856">
      <c r="A856" s="300"/>
    </row>
    <row r="857">
      <c r="A857" s="300"/>
    </row>
    <row r="858">
      <c r="A858" s="300"/>
    </row>
    <row r="859">
      <c r="A859" s="300"/>
    </row>
    <row r="860">
      <c r="A860" s="300"/>
    </row>
    <row r="861">
      <c r="A861" s="300"/>
    </row>
    <row r="862">
      <c r="A862" s="300"/>
    </row>
    <row r="863">
      <c r="A863" s="300"/>
    </row>
    <row r="864">
      <c r="A864" s="300"/>
    </row>
    <row r="865">
      <c r="A865" s="300"/>
    </row>
    <row r="866">
      <c r="A866" s="300"/>
    </row>
    <row r="867">
      <c r="A867" s="300"/>
    </row>
    <row r="868">
      <c r="A868" s="300"/>
    </row>
    <row r="869">
      <c r="A869" s="300"/>
    </row>
    <row r="870">
      <c r="A870" s="300"/>
    </row>
    <row r="871">
      <c r="A871" s="300"/>
    </row>
    <row r="872">
      <c r="A872" s="300"/>
    </row>
    <row r="873">
      <c r="A873" s="300"/>
    </row>
    <row r="874">
      <c r="A874" s="300"/>
    </row>
    <row r="875">
      <c r="A875" s="300"/>
    </row>
    <row r="876">
      <c r="A876" s="300"/>
    </row>
    <row r="877">
      <c r="A877" s="300"/>
    </row>
    <row r="878">
      <c r="A878" s="300"/>
    </row>
    <row r="879">
      <c r="A879" s="300"/>
    </row>
    <row r="880">
      <c r="A880" s="300"/>
    </row>
    <row r="881">
      <c r="A881" s="300"/>
    </row>
    <row r="882">
      <c r="A882" s="300"/>
    </row>
    <row r="883">
      <c r="A883" s="300"/>
    </row>
    <row r="884">
      <c r="A884" s="300"/>
    </row>
    <row r="885">
      <c r="A885" s="300"/>
    </row>
    <row r="886">
      <c r="A886" s="300"/>
    </row>
    <row r="887">
      <c r="A887" s="300"/>
    </row>
    <row r="888">
      <c r="A888" s="300"/>
    </row>
    <row r="889">
      <c r="A889" s="300"/>
    </row>
    <row r="890">
      <c r="A890" s="300"/>
    </row>
    <row r="891">
      <c r="A891" s="300"/>
    </row>
    <row r="892">
      <c r="A892" s="300"/>
    </row>
    <row r="893">
      <c r="A893" s="300"/>
    </row>
    <row r="894">
      <c r="A894" s="300"/>
    </row>
    <row r="895">
      <c r="A895" s="300"/>
    </row>
    <row r="896">
      <c r="A896" s="300"/>
    </row>
    <row r="897">
      <c r="A897" s="300"/>
    </row>
    <row r="898">
      <c r="A898" s="300"/>
    </row>
    <row r="899">
      <c r="A899" s="300"/>
    </row>
    <row r="900">
      <c r="A900" s="300"/>
    </row>
    <row r="901">
      <c r="A901" s="300"/>
    </row>
    <row r="902">
      <c r="A902" s="300"/>
    </row>
    <row r="903">
      <c r="A903" s="300"/>
    </row>
    <row r="904">
      <c r="A904" s="300"/>
    </row>
    <row r="905">
      <c r="A905" s="300"/>
    </row>
    <row r="906">
      <c r="A906" s="300"/>
    </row>
    <row r="907">
      <c r="A907" s="300"/>
    </row>
    <row r="908">
      <c r="A908" s="300"/>
    </row>
    <row r="909">
      <c r="A909" s="300"/>
    </row>
    <row r="910">
      <c r="A910" s="300"/>
    </row>
    <row r="911">
      <c r="A911" s="300"/>
    </row>
    <row r="912">
      <c r="A912" s="300"/>
    </row>
    <row r="913">
      <c r="A913" s="300"/>
    </row>
    <row r="914">
      <c r="A914" s="300"/>
    </row>
    <row r="915">
      <c r="A915" s="300"/>
    </row>
    <row r="916">
      <c r="A916" s="300"/>
    </row>
    <row r="917">
      <c r="A917" s="300"/>
    </row>
    <row r="918">
      <c r="A918" s="300"/>
    </row>
    <row r="919">
      <c r="A919" s="300"/>
    </row>
    <row r="920">
      <c r="A920" s="300"/>
    </row>
    <row r="921">
      <c r="A921" s="300"/>
    </row>
    <row r="922">
      <c r="A922" s="300"/>
    </row>
    <row r="923">
      <c r="A923" s="300"/>
    </row>
    <row r="924">
      <c r="A924" s="300"/>
    </row>
    <row r="925">
      <c r="A925" s="300"/>
    </row>
    <row r="926">
      <c r="A926" s="300"/>
    </row>
    <row r="927">
      <c r="A927" s="300"/>
    </row>
    <row r="928">
      <c r="A928" s="300"/>
    </row>
    <row r="929">
      <c r="A929" s="300"/>
    </row>
    <row r="930">
      <c r="A930" s="300"/>
    </row>
    <row r="931">
      <c r="A931" s="300"/>
    </row>
    <row r="932">
      <c r="A932" s="300"/>
    </row>
    <row r="933">
      <c r="A933" s="300"/>
    </row>
    <row r="934">
      <c r="A934" s="300"/>
    </row>
    <row r="935">
      <c r="A935" s="300"/>
    </row>
    <row r="936">
      <c r="A936" s="300"/>
    </row>
    <row r="937">
      <c r="A937" s="300"/>
    </row>
    <row r="938">
      <c r="A938" s="300"/>
    </row>
    <row r="939">
      <c r="A939" s="300"/>
    </row>
    <row r="940">
      <c r="A940" s="300"/>
    </row>
    <row r="941">
      <c r="A941" s="300"/>
    </row>
    <row r="942">
      <c r="A942" s="300"/>
    </row>
    <row r="943">
      <c r="A943" s="300"/>
    </row>
    <row r="944">
      <c r="A944" s="300"/>
    </row>
    <row r="945">
      <c r="A945" s="300"/>
    </row>
    <row r="946">
      <c r="A946" s="300"/>
    </row>
    <row r="947">
      <c r="A947" s="300"/>
    </row>
    <row r="948">
      <c r="A948" s="300"/>
    </row>
    <row r="949">
      <c r="A949" s="300"/>
    </row>
    <row r="950">
      <c r="A950" s="300"/>
    </row>
    <row r="951">
      <c r="A951" s="300"/>
    </row>
    <row r="952">
      <c r="A952" s="300"/>
    </row>
    <row r="953">
      <c r="A953" s="300"/>
    </row>
    <row r="954">
      <c r="A954" s="300"/>
    </row>
    <row r="955">
      <c r="A955" s="300"/>
    </row>
    <row r="956">
      <c r="A956" s="300"/>
    </row>
    <row r="957">
      <c r="A957" s="300"/>
    </row>
    <row r="958">
      <c r="A958" s="300"/>
    </row>
    <row r="959">
      <c r="A959" s="300"/>
    </row>
    <row r="960">
      <c r="A960" s="300"/>
    </row>
    <row r="961">
      <c r="A961" s="300"/>
    </row>
    <row r="962">
      <c r="A962" s="300"/>
    </row>
    <row r="963">
      <c r="A963" s="300"/>
    </row>
    <row r="964">
      <c r="A964" s="300"/>
    </row>
    <row r="965">
      <c r="A965" s="300"/>
    </row>
    <row r="966">
      <c r="A966" s="300"/>
    </row>
    <row r="967">
      <c r="A967" s="300"/>
    </row>
    <row r="968">
      <c r="A968" s="300"/>
    </row>
    <row r="969">
      <c r="A969" s="300"/>
    </row>
    <row r="970">
      <c r="A970" s="300"/>
    </row>
    <row r="971">
      <c r="A971" s="300"/>
    </row>
    <row r="972">
      <c r="A972" s="300"/>
    </row>
    <row r="973">
      <c r="A973" s="300"/>
    </row>
    <row r="974">
      <c r="A974" s="300"/>
    </row>
    <row r="975">
      <c r="A975" s="300"/>
    </row>
    <row r="976">
      <c r="A976" s="300"/>
    </row>
    <row r="977">
      <c r="A977" s="300"/>
    </row>
    <row r="978">
      <c r="A978" s="300"/>
    </row>
    <row r="979">
      <c r="A979" s="300"/>
    </row>
    <row r="980">
      <c r="A980" s="300"/>
    </row>
    <row r="981">
      <c r="A981" s="300"/>
    </row>
    <row r="982">
      <c r="A982" s="300"/>
    </row>
    <row r="983">
      <c r="A983" s="300"/>
    </row>
    <row r="984">
      <c r="A984" s="300"/>
    </row>
    <row r="985">
      <c r="A985" s="300"/>
    </row>
    <row r="986">
      <c r="A986" s="300"/>
    </row>
    <row r="987">
      <c r="A987" s="300"/>
    </row>
    <row r="988">
      <c r="A988" s="300"/>
    </row>
    <row r="989">
      <c r="A989" s="300"/>
    </row>
    <row r="990">
      <c r="A990" s="300"/>
    </row>
    <row r="991">
      <c r="A991" s="300"/>
    </row>
    <row r="992">
      <c r="A992" s="300"/>
    </row>
    <row r="993">
      <c r="A993" s="300"/>
    </row>
    <row r="994">
      <c r="A994" s="300"/>
    </row>
    <row r="995">
      <c r="A995" s="300"/>
    </row>
    <row r="996">
      <c r="A996" s="300"/>
    </row>
    <row r="997">
      <c r="A997" s="300"/>
    </row>
    <row r="998">
      <c r="A998" s="300"/>
    </row>
    <row r="999">
      <c r="A999" s="300"/>
    </row>
    <row r="1000">
      <c r="A1000" s="300"/>
    </row>
    <row r="1001">
      <c r="A1001" s="300"/>
    </row>
    <row r="1002">
      <c r="A1002" s="300"/>
    </row>
    <row r="1003">
      <c r="A1003" s="300"/>
    </row>
  </sheetData>
  <mergeCells count="4">
    <mergeCell ref="A1:O1"/>
    <mergeCell ref="B2:E2"/>
    <mergeCell ref="F2:K2"/>
    <mergeCell ref="L2:O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1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f>'8thMAY'!E5</f>
        <v>9</v>
      </c>
      <c r="D5" s="272">
        <v>25.0</v>
      </c>
      <c r="E5" s="273">
        <v>24.0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30</v>
      </c>
      <c r="N5" s="268"/>
      <c r="O5" s="269"/>
    </row>
    <row r="6">
      <c r="A6" s="192" t="s">
        <v>401</v>
      </c>
      <c r="B6" s="191" t="s">
        <v>402</v>
      </c>
      <c r="C6" s="271">
        <f>'8thMAY'!E6</f>
        <v>4</v>
      </c>
      <c r="D6" s="272">
        <v>3.0</v>
      </c>
      <c r="E6" s="273">
        <v>3.0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8</v>
      </c>
      <c r="N6" s="268"/>
      <c r="O6" s="269"/>
    </row>
    <row r="7">
      <c r="A7" s="192" t="s">
        <v>404</v>
      </c>
      <c r="B7" s="191" t="s">
        <v>402</v>
      </c>
      <c r="C7" s="271">
        <f>'8thMAY'!E7</f>
        <v>4</v>
      </c>
      <c r="D7" s="272">
        <v>9.0</v>
      </c>
      <c r="E7" s="273">
        <v>7.0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30</v>
      </c>
      <c r="N7" s="268"/>
      <c r="O7" s="269"/>
    </row>
    <row r="8">
      <c r="A8" s="192" t="s">
        <v>406</v>
      </c>
      <c r="B8" s="191" t="s">
        <v>402</v>
      </c>
      <c r="C8" s="271">
        <f>'8thMAY'!E8</f>
        <v>2</v>
      </c>
      <c r="D8" s="272">
        <v>10.0</v>
      </c>
      <c r="E8" s="273">
        <v>2.0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10</v>
      </c>
      <c r="N8" s="268"/>
      <c r="O8" s="269"/>
    </row>
    <row r="9">
      <c r="A9" s="192" t="s">
        <v>409</v>
      </c>
      <c r="B9" s="191" t="s">
        <v>402</v>
      </c>
      <c r="C9" s="271" t="str">
        <f>'8thMAY'!E9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192" t="s">
        <v>411</v>
      </c>
      <c r="B10" s="191" t="s">
        <v>402</v>
      </c>
      <c r="C10" s="271">
        <f>'8thMAY'!E10</f>
        <v>7</v>
      </c>
      <c r="D10" s="268"/>
      <c r="E10" s="273">
        <v>6.0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8</v>
      </c>
      <c r="N10" s="268"/>
      <c r="O10" s="269"/>
    </row>
    <row r="11">
      <c r="A11" s="204" t="s">
        <v>413</v>
      </c>
      <c r="B11" s="191" t="s">
        <v>402</v>
      </c>
      <c r="C11" s="271">
        <f>'8thMAY'!E11</f>
        <v>6</v>
      </c>
      <c r="D11" s="272">
        <v>15.0</v>
      </c>
      <c r="E11" s="273">
        <v>5.0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16</v>
      </c>
      <c r="N11" s="268"/>
      <c r="O11" s="269"/>
    </row>
    <row r="12">
      <c r="A12" s="192" t="s">
        <v>414</v>
      </c>
      <c r="B12" s="191" t="s">
        <v>402</v>
      </c>
      <c r="C12" s="271" t="str">
        <f>'8thMAY'!E12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 t="str">
        <f>'8thMAY'!E13</f>
        <v/>
      </c>
      <c r="D13" s="272">
        <v>4.0</v>
      </c>
      <c r="E13" s="273">
        <v>4.0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0</v>
      </c>
      <c r="N13" s="268"/>
      <c r="O13" s="269"/>
    </row>
    <row r="14">
      <c r="A14" s="204" t="s">
        <v>418</v>
      </c>
      <c r="B14" s="191" t="s">
        <v>402</v>
      </c>
      <c r="C14" s="271">
        <f>'8thMAY'!E14</f>
        <v>5</v>
      </c>
      <c r="D14" s="272">
        <v>5.0</v>
      </c>
      <c r="E14" s="273">
        <v>1.0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9</v>
      </c>
      <c r="N14" s="268"/>
      <c r="O14" s="269"/>
    </row>
    <row r="15">
      <c r="A15" s="204" t="s">
        <v>420</v>
      </c>
      <c r="B15" s="191" t="s">
        <v>402</v>
      </c>
      <c r="C15" s="271">
        <f>'8thMAY'!E15</f>
        <v>4</v>
      </c>
      <c r="D15" s="268"/>
      <c r="E15" s="273">
        <v>2.2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7.2</v>
      </c>
      <c r="N15" s="268"/>
      <c r="O15" s="269"/>
    </row>
    <row r="16">
      <c r="A16" s="192" t="s">
        <v>422</v>
      </c>
      <c r="B16" s="191" t="s">
        <v>402</v>
      </c>
      <c r="C16" s="271">
        <f>'8thMAY'!E16</f>
        <v>7</v>
      </c>
      <c r="D16" s="272"/>
      <c r="E16" s="273">
        <v>6.0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4</v>
      </c>
      <c r="N16" s="268"/>
      <c r="O16" s="269"/>
    </row>
    <row r="17">
      <c r="A17" s="192" t="s">
        <v>423</v>
      </c>
      <c r="B17" s="191" t="s">
        <v>402</v>
      </c>
      <c r="C17" s="271">
        <f>'8thMAY'!E17</f>
        <v>1</v>
      </c>
      <c r="D17" s="272">
        <v>17.0</v>
      </c>
      <c r="E17" s="273">
        <v>6.0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24</v>
      </c>
      <c r="N17" s="268"/>
      <c r="O17" s="269"/>
    </row>
    <row r="18">
      <c r="A18" s="192" t="s">
        <v>425</v>
      </c>
      <c r="B18" s="191" t="s">
        <v>402</v>
      </c>
      <c r="C18" s="271">
        <f>'8thMAY'!E18</f>
        <v>4</v>
      </c>
      <c r="D18" s="268"/>
      <c r="E18" s="273">
        <v>3.0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2</v>
      </c>
      <c r="N18" s="268"/>
      <c r="O18" s="269"/>
    </row>
    <row r="19">
      <c r="A19" s="192" t="s">
        <v>426</v>
      </c>
      <c r="B19" s="191" t="s">
        <v>402</v>
      </c>
      <c r="C19" s="271">
        <f>'8thMAY'!E19</f>
        <v>4</v>
      </c>
      <c r="D19" s="268"/>
      <c r="E19" s="273">
        <v>3.0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1</v>
      </c>
      <c r="N19" s="268"/>
      <c r="O19" s="269"/>
    </row>
    <row r="20">
      <c r="A20" s="192" t="s">
        <v>428</v>
      </c>
      <c r="B20" s="191" t="s">
        <v>402</v>
      </c>
      <c r="C20" s="271">
        <f>'8thMAY'!E20</f>
        <v>6</v>
      </c>
      <c r="D20" s="268"/>
      <c r="E20" s="273">
        <v>6.0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0</v>
      </c>
      <c r="N20" s="268"/>
      <c r="O20" s="269"/>
    </row>
    <row r="21">
      <c r="A21" s="204" t="s">
        <v>429</v>
      </c>
      <c r="B21" s="191" t="s">
        <v>402</v>
      </c>
      <c r="C21" s="271">
        <f>'8thMAY'!E21</f>
        <v>8</v>
      </c>
      <c r="D21" s="272">
        <v>5.0</v>
      </c>
      <c r="E21" s="273">
        <v>6.0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28</v>
      </c>
      <c r="N21" s="268"/>
      <c r="O21" s="269"/>
    </row>
    <row r="22">
      <c r="A22" s="204" t="s">
        <v>431</v>
      </c>
      <c r="B22" s="191" t="s">
        <v>402</v>
      </c>
      <c r="C22" s="271" t="str">
        <f>'8thMAY'!E22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>
        <f>'8thMAY'!E23</f>
        <v>4</v>
      </c>
      <c r="D23" s="272">
        <v>7.0</v>
      </c>
      <c r="E23" s="273">
        <v>1.1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19.8</v>
      </c>
      <c r="N23" s="268"/>
      <c r="O23" s="269"/>
    </row>
    <row r="24">
      <c r="A24" s="192" t="s">
        <v>433</v>
      </c>
      <c r="B24" s="191" t="s">
        <v>402</v>
      </c>
      <c r="C24" s="271">
        <f>'8thMAY'!E24</f>
        <v>2</v>
      </c>
      <c r="D24" s="272">
        <v>22.0</v>
      </c>
      <c r="E24" s="273">
        <v>10.0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14</v>
      </c>
      <c r="N24" s="268"/>
      <c r="O24" s="269"/>
    </row>
    <row r="25">
      <c r="A25" s="204" t="s">
        <v>435</v>
      </c>
      <c r="B25" s="191" t="s">
        <v>402</v>
      </c>
      <c r="C25" s="271">
        <f>'8thMAY'!E25</f>
        <v>7</v>
      </c>
      <c r="D25" s="272">
        <v>5.0</v>
      </c>
      <c r="E25" s="273">
        <v>6.0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6</v>
      </c>
      <c r="N25" s="268"/>
      <c r="O25" s="269"/>
    </row>
    <row r="26">
      <c r="A26" s="192" t="s">
        <v>438</v>
      </c>
      <c r="B26" s="191" t="s">
        <v>402</v>
      </c>
      <c r="C26" s="271">
        <f>'8thMAY'!E26</f>
        <v>2</v>
      </c>
      <c r="D26" s="272">
        <v>5.0</v>
      </c>
      <c r="E26" s="273">
        <v>3.0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4</v>
      </c>
      <c r="N26" s="268"/>
      <c r="O26" s="269"/>
    </row>
    <row r="27">
      <c r="A27" s="192" t="s">
        <v>439</v>
      </c>
      <c r="B27" s="191" t="s">
        <v>402</v>
      </c>
      <c r="C27" s="271" t="str">
        <f>'8thMAY'!E27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f>'8thMAY'!E28</f>
        <v>6</v>
      </c>
      <c r="D28" s="268"/>
      <c r="E28" s="273"/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6</v>
      </c>
      <c r="N28" s="268"/>
      <c r="O28" s="269"/>
    </row>
    <row r="29">
      <c r="A29" s="204" t="s">
        <v>441</v>
      </c>
      <c r="B29" s="191" t="s">
        <v>402</v>
      </c>
      <c r="C29" s="271">
        <f>'8thMAY'!E29</f>
        <v>9.5</v>
      </c>
      <c r="D29" s="268"/>
      <c r="E29" s="273">
        <v>6.1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6.8</v>
      </c>
      <c r="N29" s="268"/>
      <c r="O29" s="269"/>
    </row>
    <row r="30">
      <c r="A30" s="204" t="s">
        <v>442</v>
      </c>
      <c r="B30" s="191" t="s">
        <v>402</v>
      </c>
      <c r="C30" s="271">
        <f>'8thMAY'!E30</f>
        <v>7</v>
      </c>
      <c r="D30" s="268"/>
      <c r="E30" s="273">
        <v>3.0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4</v>
      </c>
      <c r="N30" s="268"/>
      <c r="O30" s="269"/>
    </row>
    <row r="31">
      <c r="A31" s="204" t="s">
        <v>444</v>
      </c>
      <c r="B31" s="191" t="s">
        <v>402</v>
      </c>
      <c r="C31" s="271">
        <f>'8thMAY'!E31</f>
        <v>5</v>
      </c>
      <c r="D31" s="268"/>
      <c r="E31" s="273">
        <v>5.0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0</v>
      </c>
      <c r="N31" s="268"/>
      <c r="O31" s="269"/>
    </row>
    <row r="32">
      <c r="A32" s="204" t="s">
        <v>445</v>
      </c>
      <c r="B32" s="191" t="s">
        <v>402</v>
      </c>
      <c r="C32" s="271">
        <f>'8thMAY'!E32</f>
        <v>2</v>
      </c>
      <c r="D32" s="272">
        <v>6.0</v>
      </c>
      <c r="E32" s="273">
        <v>7.0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4</v>
      </c>
      <c r="N32" s="268"/>
      <c r="O32" s="269"/>
    </row>
    <row r="33">
      <c r="A33" s="192" t="s">
        <v>446</v>
      </c>
      <c r="B33" s="191" t="s">
        <v>402</v>
      </c>
      <c r="C33" s="271">
        <f>'8thMAY'!E33</f>
        <v>1</v>
      </c>
      <c r="D33" s="268"/>
      <c r="E33" s="273">
        <v>1.0</v>
      </c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192" t="s">
        <v>447</v>
      </c>
      <c r="B34" s="191" t="s">
        <v>402</v>
      </c>
      <c r="C34" s="271">
        <f>'8thMAY'!E34</f>
        <v>6</v>
      </c>
      <c r="D34" s="272">
        <v>5.0</v>
      </c>
      <c r="E34" s="273">
        <v>4.0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7</v>
      </c>
      <c r="N34" s="268"/>
      <c r="O34" s="269"/>
    </row>
    <row r="35">
      <c r="A35" s="204" t="s">
        <v>449</v>
      </c>
      <c r="B35" s="191" t="s">
        <v>402</v>
      </c>
      <c r="C35" s="271">
        <f>'8thMAY'!E35</f>
        <v>5</v>
      </c>
      <c r="D35" s="272"/>
      <c r="E35" s="273">
        <v>5.0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268"/>
      <c r="O35" s="269"/>
    </row>
    <row r="36">
      <c r="A36" s="192" t="s">
        <v>451</v>
      </c>
      <c r="B36" s="191" t="s">
        <v>402</v>
      </c>
      <c r="C36" s="271">
        <f>'8thMAY'!E36</f>
        <v>4.5</v>
      </c>
      <c r="D36" s="272">
        <v>10.0</v>
      </c>
      <c r="E36" s="273">
        <v>8.0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13</v>
      </c>
      <c r="N36" s="268"/>
      <c r="O36" s="269"/>
    </row>
    <row r="37">
      <c r="A37" s="225" t="s">
        <v>452</v>
      </c>
      <c r="B37" s="191" t="s">
        <v>402</v>
      </c>
      <c r="C37" s="271">
        <f>'8thMAY'!E37</f>
        <v>8</v>
      </c>
      <c r="D37" s="268"/>
      <c r="E37" s="273">
        <v>6.0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8</v>
      </c>
      <c r="N37" s="268"/>
      <c r="O37" s="269"/>
    </row>
    <row r="38">
      <c r="A38" s="225" t="s">
        <v>454</v>
      </c>
      <c r="B38" s="191" t="s">
        <v>402</v>
      </c>
      <c r="C38" s="271">
        <f>'8thMAY'!E38</f>
        <v>4</v>
      </c>
      <c r="D38" s="268"/>
      <c r="E38" s="273">
        <v>4.0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23" t="s">
        <v>455</v>
      </c>
      <c r="B39" s="191" t="s">
        <v>402</v>
      </c>
      <c r="C39" s="271">
        <f>'8thMAY'!E39</f>
        <v>8</v>
      </c>
      <c r="D39" s="272"/>
      <c r="E39" s="273">
        <v>6.2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7.2</v>
      </c>
      <c r="N39" s="268"/>
      <c r="O39" s="269"/>
    </row>
    <row r="40">
      <c r="A40" s="223" t="s">
        <v>456</v>
      </c>
      <c r="B40" s="191" t="s">
        <v>402</v>
      </c>
      <c r="C40" s="271">
        <f>'8thMAY'!E40</f>
        <v>5</v>
      </c>
      <c r="D40" s="272">
        <v>7.0</v>
      </c>
      <c r="E40" s="273">
        <v>3.0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9</v>
      </c>
      <c r="N40" s="268"/>
      <c r="O40" s="269"/>
    </row>
    <row r="41">
      <c r="A41" s="223" t="s">
        <v>457</v>
      </c>
      <c r="B41" s="191" t="s">
        <v>402</v>
      </c>
      <c r="C41" s="271">
        <f>'8thMAY'!E41</f>
        <v>1</v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1</v>
      </c>
      <c r="N41" s="268"/>
      <c r="O41" s="269"/>
    </row>
    <row r="42">
      <c r="A42" s="307" t="s">
        <v>762</v>
      </c>
      <c r="B42" s="191"/>
      <c r="C42" s="271" t="str">
        <f>'8thMAY'!E42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'8thMAY'!E43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'8thMAY'!E44</f>
        <v/>
      </c>
      <c r="D44" s="227">
        <v>1.0</v>
      </c>
      <c r="E44" s="280"/>
      <c r="F44" s="235" t="s">
        <v>14</v>
      </c>
      <c r="G44" s="235"/>
      <c r="H44" s="272">
        <f>'8thMAY'!J44</f>
        <v>1</v>
      </c>
      <c r="I44" s="281">
        <v>1.0</v>
      </c>
      <c r="J44" s="282">
        <v>0.25</v>
      </c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1.75</v>
      </c>
      <c r="N44" s="191"/>
      <c r="O44" s="247"/>
    </row>
    <row r="45">
      <c r="A45" s="12" t="s">
        <v>16</v>
      </c>
      <c r="B45" s="13" t="s">
        <v>17</v>
      </c>
      <c r="C45" s="271" t="str">
        <f>'8thMAY'!E45</f>
        <v/>
      </c>
      <c r="D45" s="227">
        <v>10.0</v>
      </c>
      <c r="E45" s="280"/>
      <c r="F45" s="235" t="s">
        <v>17</v>
      </c>
      <c r="G45" s="235"/>
      <c r="H45" s="272">
        <f>'8thMAY'!J45</f>
        <v>10</v>
      </c>
      <c r="I45" s="281">
        <v>1.0</v>
      </c>
      <c r="J45" s="282">
        <v>12.0</v>
      </c>
      <c r="K45" s="283"/>
      <c r="L45" s="235" t="s">
        <v>17</v>
      </c>
      <c r="M45" s="274">
        <f>IF(AND(H45&lt;&gt;"", J45&lt;&gt;""), H45-J45, IF(H45&lt;&gt;"", H45-I47*VLOOKUP(A45, BACKEND1!$A:$G,6,FALSE), IF(J45&lt;&gt;"", -J45+K45*VLOOKUP(A45, BACKEND1!$A:$G,6,FALSE),0)))+ (C45+D45-E45)*VLOOKUP(A45, BACKEND1!$A:$G,5,FALSE)+G45
</f>
        <v>8</v>
      </c>
      <c r="N45" s="191"/>
      <c r="O45" s="247"/>
    </row>
    <row r="46">
      <c r="A46" s="15" t="s">
        <v>19</v>
      </c>
      <c r="B46" s="13" t="s">
        <v>17</v>
      </c>
      <c r="C46" s="271" t="str">
        <f>'8thMAY'!E46</f>
        <v/>
      </c>
      <c r="D46" s="227"/>
      <c r="E46" s="280"/>
      <c r="F46" s="235" t="s">
        <v>17</v>
      </c>
      <c r="G46" s="235"/>
      <c r="H46" s="272">
        <f>'8thMAY'!J46</f>
        <v>5</v>
      </c>
      <c r="I46" s="281">
        <v>1.0</v>
      </c>
      <c r="J46" s="282">
        <v>4.0</v>
      </c>
      <c r="K46" s="283"/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1</v>
      </c>
      <c r="N46" s="191"/>
      <c r="O46" s="247"/>
    </row>
    <row r="47">
      <c r="A47" s="12" t="s">
        <v>20</v>
      </c>
      <c r="B47" s="13" t="s">
        <v>17</v>
      </c>
      <c r="C47" s="271" t="str">
        <f>'8thMAY'!E47</f>
        <v/>
      </c>
      <c r="D47" s="191"/>
      <c r="E47" s="280"/>
      <c r="F47" s="235" t="s">
        <v>17</v>
      </c>
      <c r="G47" s="235"/>
      <c r="H47" s="272">
        <v>12.0</v>
      </c>
      <c r="I47" s="281">
        <v>1.0</v>
      </c>
      <c r="J47" s="282">
        <v>12.0</v>
      </c>
      <c r="K47" s="283"/>
      <c r="L47" s="235" t="s">
        <v>17</v>
      </c>
      <c r="M47" s="274">
        <f>IF(AND(H47&lt;&gt;"", J47&lt;&gt;""), H47-J47, IF(H47&lt;&gt;"", H47-#REF!*VLOOKUP(A47, BACKEND1!$A:$G,6,FALSE), IF(J47&lt;&gt;"", -J47+K47*VLOOKUP(A47, BACKEND1!$A:$G,6,FALSE),0)))+ (C47+D47-E47)*VLOOKUP(A47, BACKEND1!$A:$G,5,FALSE)+G47
</f>
        <v>0</v>
      </c>
      <c r="N47" s="191"/>
      <c r="O47" s="247"/>
    </row>
    <row r="48">
      <c r="A48" s="12" t="s">
        <v>21</v>
      </c>
      <c r="B48" s="13" t="s">
        <v>17</v>
      </c>
      <c r="C48" s="271" t="str">
        <f>'8thMAY'!E48</f>
        <v/>
      </c>
      <c r="D48" s="227"/>
      <c r="E48" s="280"/>
      <c r="F48" s="235" t="s">
        <v>17</v>
      </c>
      <c r="G48" s="235"/>
      <c r="H48" s="272">
        <f>'8thMAY'!J48</f>
        <v>5</v>
      </c>
      <c r="I48" s="281">
        <v>1.0</v>
      </c>
      <c r="J48" s="282">
        <v>2.25</v>
      </c>
      <c r="K48" s="283"/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2.75</v>
      </c>
      <c r="N48" s="191"/>
      <c r="O48" s="247"/>
    </row>
    <row r="49">
      <c r="A49" s="12" t="s">
        <v>22</v>
      </c>
      <c r="B49" s="13" t="s">
        <v>17</v>
      </c>
      <c r="C49" s="271" t="str">
        <f>'8thMAY'!E49</f>
        <v/>
      </c>
      <c r="D49" s="191"/>
      <c r="E49" s="247"/>
      <c r="F49" s="235" t="s">
        <v>17</v>
      </c>
      <c r="G49" s="235"/>
      <c r="H49" s="272" t="str">
        <f>'8thMAY'!J49</f>
        <v/>
      </c>
      <c r="I49" s="281">
        <v>1.0</v>
      </c>
      <c r="J49" s="284"/>
      <c r="K49" s="283"/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'8thMAY'!E50</f>
        <v/>
      </c>
      <c r="D50" s="227">
        <v>1.0</v>
      </c>
      <c r="E50" s="247"/>
      <c r="F50" s="235" t="s">
        <v>25</v>
      </c>
      <c r="G50" s="235"/>
      <c r="H50" s="272">
        <f>'8thMAY'!J50</f>
        <v>0.319</v>
      </c>
      <c r="I50" s="281">
        <v>1.0</v>
      </c>
      <c r="J50" s="282">
        <v>0.673</v>
      </c>
      <c r="K50" s="283"/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0.346</v>
      </c>
      <c r="N50" s="191"/>
      <c r="O50" s="247"/>
    </row>
    <row r="51">
      <c r="A51" s="12" t="s">
        <v>27</v>
      </c>
      <c r="B51" s="12" t="s">
        <v>24</v>
      </c>
      <c r="C51" s="271" t="str">
        <f>'8thMAY'!E51</f>
        <v/>
      </c>
      <c r="D51" s="191"/>
      <c r="E51" s="247"/>
      <c r="F51" s="235" t="s">
        <v>24</v>
      </c>
      <c r="G51" s="235"/>
      <c r="H51" s="272" t="str">
        <f>'8thMAY'!J51</f>
        <v/>
      </c>
      <c r="I51" s="281">
        <v>1.0</v>
      </c>
      <c r="J51" s="284"/>
      <c r="K51" s="283"/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'8thMAY'!E52</f>
        <v/>
      </c>
      <c r="D52" s="191"/>
      <c r="E52" s="280"/>
      <c r="F52" s="235" t="s">
        <v>14</v>
      </c>
      <c r="G52" s="285"/>
      <c r="H52" s="272" t="str">
        <f>'8thMAY'!J52</f>
        <v/>
      </c>
      <c r="I52" s="281">
        <v>1.0</v>
      </c>
      <c r="J52" s="284"/>
      <c r="K52" s="283"/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16" t="s">
        <v>30</v>
      </c>
      <c r="B53" s="12" t="s">
        <v>24</v>
      </c>
      <c r="C53" s="271" t="str">
        <f>'8thMAY'!E53</f>
        <v/>
      </c>
      <c r="D53" s="227"/>
      <c r="E53" s="280"/>
      <c r="F53" s="235" t="s">
        <v>35</v>
      </c>
      <c r="G53" s="235"/>
      <c r="H53" s="272">
        <f>'8thMAY'!J53</f>
        <v>0.5</v>
      </c>
      <c r="I53" s="281">
        <v>1.0</v>
      </c>
      <c r="J53" s="282">
        <v>0.455</v>
      </c>
      <c r="K53" s="283"/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0.045</v>
      </c>
      <c r="N53" s="191"/>
      <c r="O53" s="247"/>
    </row>
    <row r="54">
      <c r="A54" s="12" t="s">
        <v>33</v>
      </c>
      <c r="B54" s="12" t="s">
        <v>34</v>
      </c>
      <c r="C54" s="271" t="str">
        <f>'8thMAY'!E54</f>
        <v/>
      </c>
      <c r="D54" s="227">
        <v>1.0</v>
      </c>
      <c r="E54" s="247"/>
      <c r="F54" s="235" t="s">
        <v>35</v>
      </c>
      <c r="G54" s="235"/>
      <c r="H54" s="272" t="str">
        <f>'8thMAY'!J54</f>
        <v/>
      </c>
      <c r="I54" s="281">
        <v>1.0</v>
      </c>
      <c r="J54" s="284"/>
      <c r="K54" s="283"/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0.4</v>
      </c>
      <c r="N54" s="191"/>
      <c r="O54" s="247"/>
    </row>
    <row r="55">
      <c r="A55" s="12" t="s">
        <v>37</v>
      </c>
      <c r="B55" s="12" t="s">
        <v>17</v>
      </c>
      <c r="C55" s="271" t="str">
        <f>'8thMAY'!E55</f>
        <v/>
      </c>
      <c r="D55" s="191"/>
      <c r="E55" s="247"/>
      <c r="F55" s="235" t="s">
        <v>752</v>
      </c>
      <c r="G55" s="235"/>
      <c r="H55" s="272" t="str">
        <f>'8thMAY'!J55</f>
        <v/>
      </c>
      <c r="I55" s="281">
        <v>1.0</v>
      </c>
      <c r="J55" s="284"/>
      <c r="K55" s="283"/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'8thMAY'!E56</f>
        <v/>
      </c>
      <c r="D56" s="227">
        <v>1.0</v>
      </c>
      <c r="E56" s="280">
        <v>1.0</v>
      </c>
      <c r="F56" s="235" t="s">
        <v>17</v>
      </c>
      <c r="G56" s="235"/>
      <c r="H56" s="272">
        <f>'8thMAY'!J56</f>
        <v>43</v>
      </c>
      <c r="I56" s="281">
        <v>1.0</v>
      </c>
      <c r="J56" s="282">
        <v>12.0</v>
      </c>
      <c r="K56" s="283"/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31</v>
      </c>
      <c r="N56" s="191"/>
      <c r="O56" s="247"/>
    </row>
    <row r="57">
      <c r="A57" s="12" t="s">
        <v>42</v>
      </c>
      <c r="B57" s="12" t="s">
        <v>24</v>
      </c>
      <c r="C57" s="271" t="str">
        <f>'8thMAY'!E57</f>
        <v/>
      </c>
      <c r="D57" s="191"/>
      <c r="E57" s="280"/>
      <c r="F57" s="235" t="s">
        <v>35</v>
      </c>
      <c r="G57" s="235"/>
      <c r="H57" s="272">
        <f>'8thMAY'!J57</f>
        <v>0.333</v>
      </c>
      <c r="I57" s="281">
        <v>1.0</v>
      </c>
      <c r="J57" s="282">
        <v>0.277</v>
      </c>
      <c r="K57" s="283"/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0.056</v>
      </c>
      <c r="N57" s="191"/>
      <c r="O57" s="247"/>
    </row>
    <row r="58">
      <c r="A58" s="12" t="s">
        <v>44</v>
      </c>
      <c r="B58" s="12" t="s">
        <v>24</v>
      </c>
      <c r="C58" s="271" t="str">
        <f>'8thMAY'!E58</f>
        <v/>
      </c>
      <c r="D58" s="191"/>
      <c r="E58" s="247"/>
      <c r="F58" s="235" t="s">
        <v>25</v>
      </c>
      <c r="G58" s="235"/>
      <c r="H58" s="272">
        <f>'8thMAY'!J58</f>
        <v>0.803</v>
      </c>
      <c r="I58" s="281">
        <v>1.0</v>
      </c>
      <c r="J58" s="282">
        <v>0.63</v>
      </c>
      <c r="K58" s="283"/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0.173</v>
      </c>
      <c r="N58" s="191"/>
      <c r="O58" s="247"/>
    </row>
    <row r="59">
      <c r="A59" s="12" t="s">
        <v>45</v>
      </c>
      <c r="B59" s="12" t="s">
        <v>24</v>
      </c>
      <c r="C59" s="271" t="str">
        <f>'8thMAY'!E59</f>
        <v/>
      </c>
      <c r="D59" s="191"/>
      <c r="E59" s="247"/>
      <c r="F59" s="235" t="s">
        <v>25</v>
      </c>
      <c r="G59" s="235"/>
      <c r="H59" s="272">
        <f>'8thMAY'!J59</f>
        <v>0.904</v>
      </c>
      <c r="I59" s="281">
        <v>1.0</v>
      </c>
      <c r="J59" s="282">
        <v>0.901</v>
      </c>
      <c r="K59" s="283"/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0.003</v>
      </c>
      <c r="N59" s="191"/>
      <c r="O59" s="247"/>
    </row>
    <row r="60">
      <c r="A60" s="17" t="s">
        <v>46</v>
      </c>
      <c r="B60" s="12" t="s">
        <v>47</v>
      </c>
      <c r="C60" s="271" t="str">
        <f>'8thMAY'!E60</f>
        <v/>
      </c>
      <c r="D60" s="191"/>
      <c r="E60" s="247"/>
      <c r="F60" s="235" t="s">
        <v>51</v>
      </c>
      <c r="G60" s="235"/>
      <c r="H60" s="272" t="str">
        <f>'8thMAY'!J60</f>
        <v/>
      </c>
      <c r="I60" s="281">
        <v>1.0</v>
      </c>
      <c r="J60" s="284"/>
      <c r="K60" s="283"/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'8thMAY'!E61</f>
        <v/>
      </c>
      <c r="D61" s="191"/>
      <c r="E61" s="247"/>
      <c r="F61" s="235" t="s">
        <v>51</v>
      </c>
      <c r="G61" s="235"/>
      <c r="H61" s="272" t="str">
        <f>'8thMAY'!J61</f>
        <v/>
      </c>
      <c r="I61" s="281">
        <v>1.0</v>
      </c>
      <c r="J61" s="284"/>
      <c r="K61" s="283"/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'8thMAY'!E62</f>
        <v/>
      </c>
      <c r="D62" s="191"/>
      <c r="E62" s="247"/>
      <c r="F62" s="235" t="s">
        <v>51</v>
      </c>
      <c r="G62" s="235"/>
      <c r="H62" s="272">
        <f>'8thMAY'!J62</f>
        <v>0.501</v>
      </c>
      <c r="I62" s="281">
        <v>1.0</v>
      </c>
      <c r="J62" s="282">
        <v>0.473</v>
      </c>
      <c r="K62" s="283"/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0.028</v>
      </c>
      <c r="N62" s="191"/>
      <c r="O62" s="247"/>
    </row>
    <row r="63">
      <c r="A63" s="12" t="s">
        <v>53</v>
      </c>
      <c r="B63" s="12" t="s">
        <v>35</v>
      </c>
      <c r="C63" s="271" t="str">
        <f>'8thMAY'!E63</f>
        <v/>
      </c>
      <c r="D63" s="191"/>
      <c r="E63" s="247"/>
      <c r="F63" s="235" t="s">
        <v>35</v>
      </c>
      <c r="G63" s="235"/>
      <c r="H63" s="272">
        <f>'8thMAY'!J63</f>
        <v>0.73</v>
      </c>
      <c r="I63" s="281">
        <v>1.0</v>
      </c>
      <c r="J63" s="282">
        <v>0.406</v>
      </c>
      <c r="K63" s="283"/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0.324</v>
      </c>
      <c r="N63" s="191"/>
      <c r="O63" s="247"/>
    </row>
    <row r="64">
      <c r="A64" s="11" t="s">
        <v>55</v>
      </c>
      <c r="B64" s="11" t="s">
        <v>56</v>
      </c>
      <c r="C64" s="271" t="str">
        <f>'8thMAY'!E64</f>
        <v/>
      </c>
      <c r="D64" s="191"/>
      <c r="E64" s="247"/>
      <c r="F64" s="235" t="s">
        <v>14</v>
      </c>
      <c r="G64" s="235"/>
      <c r="H64" s="272" t="str">
        <f>'8thMAY'!J64</f>
        <v/>
      </c>
      <c r="I64" s="281">
        <v>1.0</v>
      </c>
      <c r="J64" s="284"/>
      <c r="K64" s="283"/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</v>
      </c>
      <c r="N64" s="191"/>
      <c r="O64" s="247"/>
    </row>
    <row r="65">
      <c r="A65" s="10" t="s">
        <v>57</v>
      </c>
      <c r="B65" s="11"/>
      <c r="C65" s="271" t="str">
        <f>'8thMAY'!E65</f>
        <v/>
      </c>
      <c r="D65" s="191"/>
      <c r="E65" s="247"/>
      <c r="F65" s="235"/>
      <c r="G65" s="235"/>
      <c r="H65" s="272" t="str">
        <f>'8thMAY'!J65</f>
        <v/>
      </c>
      <c r="I65" s="281">
        <v>1.0</v>
      </c>
      <c r="J65" s="284"/>
      <c r="K65" s="283"/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'8thMAY'!E66</f>
        <v>1</v>
      </c>
      <c r="D66" s="227">
        <v>3.0</v>
      </c>
      <c r="E66" s="280"/>
      <c r="F66" s="235" t="s">
        <v>35</v>
      </c>
      <c r="G66" s="235"/>
      <c r="H66" s="272">
        <f>'8thMAY'!J66</f>
        <v>0.597</v>
      </c>
      <c r="I66" s="281">
        <v>1.0</v>
      </c>
      <c r="J66" s="282"/>
      <c r="K66" s="283"/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8.547</v>
      </c>
      <c r="N66" s="191"/>
      <c r="O66" s="247"/>
    </row>
    <row r="67">
      <c r="A67" s="12" t="s">
        <v>61</v>
      </c>
      <c r="B67" s="12" t="s">
        <v>59</v>
      </c>
      <c r="C67" s="271" t="str">
        <f>'8thMAY'!E67</f>
        <v/>
      </c>
      <c r="D67" s="227">
        <v>1.0</v>
      </c>
      <c r="E67" s="280">
        <v>1.0</v>
      </c>
      <c r="F67" s="235" t="s">
        <v>35</v>
      </c>
      <c r="G67" s="235"/>
      <c r="H67" s="272">
        <f>'8thMAY'!J67</f>
        <v>0.089</v>
      </c>
      <c r="I67" s="281">
        <v>1.0</v>
      </c>
      <c r="J67" s="282">
        <v>0.08</v>
      </c>
      <c r="K67" s="283"/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0.009</v>
      </c>
      <c r="N67" s="191"/>
      <c r="O67" s="247"/>
    </row>
    <row r="68">
      <c r="A68" s="12" t="s">
        <v>62</v>
      </c>
      <c r="B68" s="12" t="s">
        <v>35</v>
      </c>
      <c r="C68" s="271" t="str">
        <f>'8thMAY'!E68</f>
        <v/>
      </c>
      <c r="D68" s="227">
        <v>5.0</v>
      </c>
      <c r="E68" s="280"/>
      <c r="F68" s="235" t="s">
        <v>35</v>
      </c>
      <c r="G68" s="235"/>
      <c r="H68" s="272" t="str">
        <f>'8thMAY'!J68</f>
        <v/>
      </c>
      <c r="I68" s="281">
        <v>1.0</v>
      </c>
      <c r="J68" s="284"/>
      <c r="K68" s="283"/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5</v>
      </c>
      <c r="N68" s="191"/>
      <c r="O68" s="247"/>
    </row>
    <row r="69">
      <c r="A69" s="12" t="s">
        <v>64</v>
      </c>
      <c r="B69" s="12" t="s">
        <v>59</v>
      </c>
      <c r="C69" s="271" t="str">
        <f>'8thMAY'!E69</f>
        <v/>
      </c>
      <c r="D69" s="227"/>
      <c r="E69" s="247"/>
      <c r="F69" s="235" t="s">
        <v>35</v>
      </c>
      <c r="G69" s="285">
        <v>0.164</v>
      </c>
      <c r="H69" s="272">
        <f>'8thMAY'!J69</f>
        <v>0.164</v>
      </c>
      <c r="I69" s="281">
        <v>1.0</v>
      </c>
      <c r="J69" s="282">
        <v>0.321</v>
      </c>
      <c r="K69" s="283"/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0.007</v>
      </c>
      <c r="N69" s="191"/>
      <c r="O69" s="247"/>
    </row>
    <row r="70">
      <c r="A70" s="10" t="s">
        <v>65</v>
      </c>
      <c r="B70" s="11"/>
      <c r="C70" s="271" t="str">
        <f>'8thMAY'!E70</f>
        <v/>
      </c>
      <c r="D70" s="191"/>
      <c r="E70" s="247"/>
      <c r="F70" s="235"/>
      <c r="G70" s="235"/>
      <c r="H70" s="272" t="str">
        <f>'8thMAY'!J70</f>
        <v/>
      </c>
      <c r="I70" s="281">
        <v>1.0</v>
      </c>
      <c r="J70" s="284"/>
      <c r="K70" s="283"/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'8thMAY'!E71</f>
        <v/>
      </c>
      <c r="D71" s="227">
        <v>1.0</v>
      </c>
      <c r="E71" s="247"/>
      <c r="F71" s="235" t="s">
        <v>25</v>
      </c>
      <c r="G71" s="285">
        <v>3.5</v>
      </c>
      <c r="H71" s="272" t="str">
        <f>'8thMAY'!J71</f>
        <v/>
      </c>
      <c r="I71" s="281">
        <v>1.0</v>
      </c>
      <c r="J71" s="282"/>
      <c r="K71" s="283"/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21.9</v>
      </c>
      <c r="N71" s="191"/>
      <c r="O71" s="247"/>
    </row>
    <row r="72">
      <c r="A72" s="12" t="s">
        <v>68</v>
      </c>
      <c r="B72" s="12" t="s">
        <v>35</v>
      </c>
      <c r="C72" s="271" t="str">
        <f>'8thMAY'!E72</f>
        <v/>
      </c>
      <c r="D72" s="227">
        <v>0.8</v>
      </c>
      <c r="E72" s="247"/>
      <c r="F72" s="235" t="s">
        <v>35</v>
      </c>
      <c r="G72" s="235"/>
      <c r="H72" s="272" t="str">
        <f>'8thMAY'!J72</f>
        <v/>
      </c>
      <c r="I72" s="281">
        <v>1.0</v>
      </c>
      <c r="J72" s="284"/>
      <c r="K72" s="283"/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0.8</v>
      </c>
      <c r="N72" s="191"/>
      <c r="O72" s="247"/>
    </row>
    <row r="73">
      <c r="A73" s="12" t="s">
        <v>70</v>
      </c>
      <c r="B73" s="12" t="s">
        <v>35</v>
      </c>
      <c r="C73" s="271" t="str">
        <f>'8thMAY'!E73</f>
        <v/>
      </c>
      <c r="D73" s="191"/>
      <c r="E73" s="247"/>
      <c r="F73" s="235" t="s">
        <v>35</v>
      </c>
      <c r="G73" s="235"/>
      <c r="H73" s="272" t="str">
        <f>'8thMAY'!J73</f>
        <v/>
      </c>
      <c r="I73" s="281">
        <v>1.0</v>
      </c>
      <c r="J73" s="284"/>
      <c r="K73" s="283"/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'8thMAY'!E74</f>
        <v/>
      </c>
      <c r="D74" s="227">
        <v>1.0</v>
      </c>
      <c r="E74" s="247"/>
      <c r="F74" s="235" t="s">
        <v>25</v>
      </c>
      <c r="G74" s="235"/>
      <c r="H74" s="272">
        <f>'8thMAY'!J74</f>
        <v>0.577</v>
      </c>
      <c r="I74" s="281">
        <v>1.0</v>
      </c>
      <c r="J74" s="282">
        <v>0.509</v>
      </c>
      <c r="K74" s="283"/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1.068</v>
      </c>
      <c r="N74" s="191"/>
      <c r="O74" s="247"/>
    </row>
    <row r="75">
      <c r="A75" s="12" t="s">
        <v>74</v>
      </c>
      <c r="B75" s="12" t="s">
        <v>17</v>
      </c>
      <c r="C75" s="271" t="str">
        <f>'8thMAY'!E75</f>
        <v/>
      </c>
      <c r="D75" s="191"/>
      <c r="E75" s="247"/>
      <c r="F75" s="235" t="s">
        <v>25</v>
      </c>
      <c r="G75" s="235"/>
      <c r="H75" s="272" t="str">
        <f>'8thMAY'!J75</f>
        <v/>
      </c>
      <c r="I75" s="281">
        <v>1.0</v>
      </c>
      <c r="J75" s="284"/>
      <c r="K75" s="283"/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</v>
      </c>
      <c r="N75" s="191"/>
      <c r="O75" s="247"/>
    </row>
    <row r="76">
      <c r="A76" s="12" t="s">
        <v>76</v>
      </c>
      <c r="B76" s="12" t="s">
        <v>72</v>
      </c>
      <c r="C76" s="271" t="str">
        <f>'8thMAY'!E76</f>
        <v/>
      </c>
      <c r="D76" s="191"/>
      <c r="E76" s="247"/>
      <c r="F76" s="235" t="s">
        <v>35</v>
      </c>
      <c r="G76" s="235"/>
      <c r="H76" s="272">
        <f>'8thMAY'!J76</f>
        <v>1</v>
      </c>
      <c r="I76" s="281">
        <v>1.0</v>
      </c>
      <c r="J76" s="282">
        <v>1.0</v>
      </c>
      <c r="K76" s="283"/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'8thMAY'!E77</f>
        <v/>
      </c>
      <c r="D77" s="191"/>
      <c r="E77" s="247"/>
      <c r="F77" s="235" t="s">
        <v>25</v>
      </c>
      <c r="G77" s="285">
        <v>2.0</v>
      </c>
      <c r="H77" s="272">
        <f>'8thMAY'!J77</f>
        <v>1.073</v>
      </c>
      <c r="I77" s="281">
        <v>1.0</v>
      </c>
      <c r="J77" s="284"/>
      <c r="K77" s="283"/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2.993</v>
      </c>
      <c r="N77" s="191"/>
      <c r="O77" s="247"/>
    </row>
    <row r="78">
      <c r="A78" s="12" t="s">
        <v>80</v>
      </c>
      <c r="B78" s="12" t="s">
        <v>56</v>
      </c>
      <c r="C78" s="271" t="str">
        <f>'8thMAY'!E78</f>
        <v/>
      </c>
      <c r="D78" s="191"/>
      <c r="E78" s="247"/>
      <c r="F78" s="235" t="s">
        <v>35</v>
      </c>
      <c r="G78" s="235"/>
      <c r="H78" s="272" t="str">
        <f>'8thMAY'!J78</f>
        <v/>
      </c>
      <c r="I78" s="281">
        <v>1.0</v>
      </c>
      <c r="J78" s="284"/>
      <c r="K78" s="283"/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'8thMAY'!E79</f>
        <v/>
      </c>
      <c r="D79" s="227">
        <v>1.0</v>
      </c>
      <c r="E79" s="247"/>
      <c r="F79" s="235" t="s">
        <v>35</v>
      </c>
      <c r="G79" s="235"/>
      <c r="H79" s="272" t="str">
        <f>'8thMAY'!J79</f>
        <v/>
      </c>
      <c r="I79" s="281">
        <v>1.0</v>
      </c>
      <c r="J79" s="282">
        <f>0.697-0.2</f>
        <v>0.497</v>
      </c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0.003</v>
      </c>
      <c r="N79" s="191"/>
      <c r="O79" s="247"/>
    </row>
    <row r="80">
      <c r="A80" s="10" t="s">
        <v>85</v>
      </c>
      <c r="B80" s="11"/>
      <c r="C80" s="271" t="str">
        <f>'8thMAY'!E80</f>
        <v/>
      </c>
      <c r="D80" s="191"/>
      <c r="E80" s="247"/>
      <c r="F80" s="235"/>
      <c r="G80" s="235"/>
      <c r="H80" s="272" t="str">
        <f>'8thMAY'!J80</f>
        <v/>
      </c>
      <c r="I80" s="281">
        <v>1.0</v>
      </c>
      <c r="J80" s="284"/>
      <c r="K80" s="283"/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'8thMAY'!E81</f>
        <v/>
      </c>
      <c r="D81" s="191"/>
      <c r="E81" s="247"/>
      <c r="F81" s="235" t="s">
        <v>25</v>
      </c>
      <c r="G81" s="235"/>
      <c r="H81" s="272">
        <v>0.785</v>
      </c>
      <c r="I81" s="281">
        <v>1.0</v>
      </c>
      <c r="J81" s="282">
        <v>0.785</v>
      </c>
      <c r="K81" s="283"/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</v>
      </c>
      <c r="N81" s="191"/>
      <c r="O81" s="247"/>
    </row>
    <row r="82">
      <c r="A82" s="12" t="s">
        <v>87</v>
      </c>
      <c r="B82" s="12" t="s">
        <v>83</v>
      </c>
      <c r="C82" s="271" t="str">
        <f>'8thMAY'!E82</f>
        <v/>
      </c>
      <c r="D82" s="227">
        <v>1.0</v>
      </c>
      <c r="E82" s="280"/>
      <c r="F82" s="235" t="s">
        <v>25</v>
      </c>
      <c r="G82" s="235"/>
      <c r="H82" s="272">
        <f>'8thMAY'!J82</f>
        <v>0.434</v>
      </c>
      <c r="I82" s="281">
        <v>1.0</v>
      </c>
      <c r="J82" s="282">
        <v>0.841</v>
      </c>
      <c r="K82" s="283"/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0.093</v>
      </c>
      <c r="N82" s="191"/>
      <c r="O82" s="247"/>
    </row>
    <row r="83">
      <c r="A83" s="12" t="s">
        <v>88</v>
      </c>
      <c r="B83" s="12" t="s">
        <v>83</v>
      </c>
      <c r="C83" s="271" t="str">
        <f>'8thMAY'!E83</f>
        <v/>
      </c>
      <c r="D83" s="191"/>
      <c r="E83" s="247"/>
      <c r="F83" s="235" t="s">
        <v>25</v>
      </c>
      <c r="G83" s="235"/>
      <c r="H83" s="272">
        <f>'8thMAY'!J83</f>
        <v>0.694</v>
      </c>
      <c r="I83" s="281">
        <v>1.0</v>
      </c>
      <c r="J83" s="282"/>
      <c r="K83" s="283"/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0.194</v>
      </c>
      <c r="N83" s="191"/>
      <c r="O83" s="247"/>
    </row>
    <row r="84">
      <c r="A84" s="12" t="s">
        <v>89</v>
      </c>
      <c r="B84" s="12" t="s">
        <v>83</v>
      </c>
      <c r="C84" s="271" t="str">
        <f>'8thMAY'!E84</f>
        <v/>
      </c>
      <c r="D84" s="227">
        <v>1.0</v>
      </c>
      <c r="E84" s="280"/>
      <c r="F84" s="235" t="s">
        <v>25</v>
      </c>
      <c r="G84" s="235"/>
      <c r="H84" s="272" t="str">
        <f>'8thMAY'!J84</f>
        <v/>
      </c>
      <c r="I84" s="281">
        <v>1.0</v>
      </c>
      <c r="J84" s="284"/>
      <c r="K84" s="283"/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0.51</v>
      </c>
      <c r="N84" s="191"/>
      <c r="O84" s="247"/>
    </row>
    <row r="85">
      <c r="A85" s="12" t="s">
        <v>90</v>
      </c>
      <c r="B85" s="12" t="s">
        <v>24</v>
      </c>
      <c r="C85" s="271" t="str">
        <f>'8thMAY'!E85</f>
        <v/>
      </c>
      <c r="D85" s="227"/>
      <c r="E85" s="280"/>
      <c r="F85" s="235" t="s">
        <v>25</v>
      </c>
      <c r="G85" s="285">
        <v>1.0</v>
      </c>
      <c r="H85" s="272" t="str">
        <f>'8thMAY'!J85</f>
        <v/>
      </c>
      <c r="I85" s="281">
        <v>1.0</v>
      </c>
      <c r="J85" s="282">
        <v>1.0</v>
      </c>
      <c r="K85" s="283"/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</v>
      </c>
      <c r="N85" s="191"/>
      <c r="O85" s="247"/>
    </row>
    <row r="86">
      <c r="A86" s="12" t="s">
        <v>91</v>
      </c>
      <c r="B86" s="12" t="s">
        <v>56</v>
      </c>
      <c r="C86" s="271" t="str">
        <f>'8thMAY'!E86</f>
        <v/>
      </c>
      <c r="D86" s="227"/>
      <c r="E86" s="280"/>
      <c r="F86" s="235" t="s">
        <v>25</v>
      </c>
      <c r="G86" s="235"/>
      <c r="H86" s="272">
        <f>'8thMAY'!J86</f>
        <v>4</v>
      </c>
      <c r="I86" s="281">
        <v>1.0</v>
      </c>
      <c r="J86" s="282">
        <v>2.931</v>
      </c>
      <c r="K86" s="283"/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1.069</v>
      </c>
      <c r="N86" s="191"/>
      <c r="O86" s="247"/>
    </row>
    <row r="87">
      <c r="A87" s="12" t="s">
        <v>92</v>
      </c>
      <c r="B87" s="12" t="s">
        <v>83</v>
      </c>
      <c r="C87" s="271" t="str">
        <f>'8thMAY'!E87</f>
        <v/>
      </c>
      <c r="D87" s="191"/>
      <c r="E87" s="247"/>
      <c r="F87" s="235" t="s">
        <v>25</v>
      </c>
      <c r="G87" s="235"/>
      <c r="H87" s="272">
        <f>'8thMAY'!J87</f>
        <v>0.39</v>
      </c>
      <c r="I87" s="281">
        <v>1.0</v>
      </c>
      <c r="J87" s="282">
        <v>0.244</v>
      </c>
      <c r="K87" s="283"/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0.146</v>
      </c>
      <c r="N87" s="191"/>
      <c r="O87" s="247"/>
    </row>
    <row r="88">
      <c r="A88" s="12" t="s">
        <v>93</v>
      </c>
      <c r="B88" s="12" t="s">
        <v>83</v>
      </c>
      <c r="C88" s="271" t="str">
        <f>'8thMAY'!E88</f>
        <v/>
      </c>
      <c r="D88" s="191"/>
      <c r="E88" s="247"/>
      <c r="F88" s="235" t="s">
        <v>25</v>
      </c>
      <c r="G88" s="235"/>
      <c r="H88" s="272">
        <f>'8thMAY'!J88</f>
        <v>0.801</v>
      </c>
      <c r="I88" s="281">
        <v>1.0</v>
      </c>
      <c r="J88" s="282">
        <v>0.771</v>
      </c>
      <c r="K88" s="283"/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0.03</v>
      </c>
      <c r="N88" s="191"/>
      <c r="O88" s="247"/>
    </row>
    <row r="89">
      <c r="A89" s="12" t="s">
        <v>95</v>
      </c>
      <c r="B89" s="12" t="s">
        <v>83</v>
      </c>
      <c r="C89" s="271" t="str">
        <f>'8thMAY'!E89</f>
        <v/>
      </c>
      <c r="D89" s="191"/>
      <c r="E89" s="247"/>
      <c r="F89" s="235" t="s">
        <v>25</v>
      </c>
      <c r="G89" s="235"/>
      <c r="H89" s="272">
        <f>'8thMAY'!J89</f>
        <v>0.864</v>
      </c>
      <c r="I89" s="281">
        <v>1.0</v>
      </c>
      <c r="J89" s="282">
        <v>0.805</v>
      </c>
      <c r="K89" s="283"/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0.059</v>
      </c>
      <c r="N89" s="191"/>
      <c r="O89" s="247"/>
    </row>
    <row r="90">
      <c r="A90" s="10" t="s">
        <v>96</v>
      </c>
      <c r="B90" s="11"/>
      <c r="C90" s="271" t="str">
        <f>'8thMAY'!E90</f>
        <v/>
      </c>
      <c r="D90" s="191"/>
      <c r="E90" s="247"/>
      <c r="F90" s="235"/>
      <c r="G90" s="235"/>
      <c r="H90" s="272" t="str">
        <f>'8thMAY'!J90</f>
        <v/>
      </c>
      <c r="I90" s="281">
        <v>1.0</v>
      </c>
      <c r="J90" s="284"/>
      <c r="K90" s="283"/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'8thMAY'!E91</f>
        <v/>
      </c>
      <c r="D91" s="191"/>
      <c r="E91" s="247"/>
      <c r="F91" s="235" t="s">
        <v>35</v>
      </c>
      <c r="G91" s="235"/>
      <c r="H91" s="272" t="str">
        <f>'8thMAY'!J91</f>
        <v/>
      </c>
      <c r="I91" s="281">
        <v>1.0</v>
      </c>
      <c r="J91" s="284"/>
      <c r="K91" s="283"/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'8thMAY'!E92</f>
        <v/>
      </c>
      <c r="D92" s="191"/>
      <c r="E92" s="247"/>
      <c r="F92" s="235" t="s">
        <v>35</v>
      </c>
      <c r="G92" s="235"/>
      <c r="H92" s="272">
        <f>'8thMAY'!J92</f>
        <v>0.254</v>
      </c>
      <c r="I92" s="281">
        <v>1.0</v>
      </c>
      <c r="J92" s="282">
        <v>0.133</v>
      </c>
      <c r="K92" s="283"/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0.121</v>
      </c>
      <c r="N92" s="191"/>
      <c r="O92" s="247"/>
    </row>
    <row r="93">
      <c r="A93" s="12" t="s">
        <v>100</v>
      </c>
      <c r="B93" s="12" t="s">
        <v>40</v>
      </c>
      <c r="C93" s="271" t="str">
        <f>'8thMAY'!E93</f>
        <v/>
      </c>
      <c r="D93" s="191"/>
      <c r="E93" s="247"/>
      <c r="F93" s="235" t="s">
        <v>35</v>
      </c>
      <c r="G93" s="235"/>
      <c r="H93" s="272">
        <f>'8thMAY'!J93</f>
        <v>0.207</v>
      </c>
      <c r="I93" s="281">
        <v>1.0</v>
      </c>
      <c r="J93" s="282">
        <v>0.189</v>
      </c>
      <c r="K93" s="283"/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0.018</v>
      </c>
      <c r="N93" s="191"/>
      <c r="O93" s="247"/>
    </row>
    <row r="94">
      <c r="A94" s="12" t="s">
        <v>101</v>
      </c>
      <c r="B94" s="12" t="s">
        <v>40</v>
      </c>
      <c r="C94" s="271" t="str">
        <f>'8thMAY'!E94</f>
        <v/>
      </c>
      <c r="D94" s="191"/>
      <c r="E94" s="247"/>
      <c r="F94" s="235" t="s">
        <v>35</v>
      </c>
      <c r="G94" s="235"/>
      <c r="H94" s="272" t="str">
        <f>'8thMAY'!J94</f>
        <v/>
      </c>
      <c r="I94" s="281">
        <v>1.0</v>
      </c>
      <c r="J94" s="284"/>
      <c r="K94" s="283"/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'8thMAY'!E95</f>
        <v/>
      </c>
      <c r="D95" s="191"/>
      <c r="E95" s="247"/>
      <c r="F95" s="235" t="s">
        <v>35</v>
      </c>
      <c r="G95" s="235"/>
      <c r="H95" s="272">
        <f>'8thMAY'!J95</f>
        <v>0.107</v>
      </c>
      <c r="I95" s="281">
        <v>1.0</v>
      </c>
      <c r="J95" s="282">
        <v>0.103</v>
      </c>
      <c r="K95" s="283"/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0.004</v>
      </c>
      <c r="N95" s="191"/>
      <c r="O95" s="247"/>
    </row>
    <row r="96">
      <c r="A96" s="12" t="s">
        <v>103</v>
      </c>
      <c r="B96" s="12" t="s">
        <v>40</v>
      </c>
      <c r="C96" s="271" t="str">
        <f>'8thMAY'!E96</f>
        <v/>
      </c>
      <c r="D96" s="191"/>
      <c r="E96" s="247"/>
      <c r="F96" s="235" t="s">
        <v>35</v>
      </c>
      <c r="G96" s="235"/>
      <c r="H96" s="272" t="str">
        <f>'8thMAY'!J96</f>
        <v/>
      </c>
      <c r="I96" s="281">
        <v>1.0</v>
      </c>
      <c r="J96" s="282"/>
      <c r="K96" s="283"/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71" t="str">
        <f>'8thMAY'!E97</f>
        <v/>
      </c>
      <c r="D97" s="191"/>
      <c r="E97" s="247"/>
      <c r="F97" s="235" t="s">
        <v>35</v>
      </c>
      <c r="G97" s="235"/>
      <c r="H97" s="272" t="str">
        <f>'8thMAY'!J97</f>
        <v/>
      </c>
      <c r="I97" s="281">
        <v>1.0</v>
      </c>
      <c r="J97" s="284"/>
      <c r="K97" s="283"/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'8thMAY'!E98</f>
        <v/>
      </c>
      <c r="D98" s="191"/>
      <c r="E98" s="247"/>
      <c r="F98" s="235" t="s">
        <v>35</v>
      </c>
      <c r="G98" s="235"/>
      <c r="H98" s="272">
        <f>'8thMAY'!J98</f>
        <v>0.375</v>
      </c>
      <c r="I98" s="281">
        <v>1.0</v>
      </c>
      <c r="J98" s="282">
        <v>0.316</v>
      </c>
      <c r="K98" s="283"/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0.059</v>
      </c>
      <c r="N98" s="191"/>
      <c r="O98" s="247"/>
    </row>
    <row r="99">
      <c r="A99" s="12" t="s">
        <v>108</v>
      </c>
      <c r="B99" s="12" t="s">
        <v>40</v>
      </c>
      <c r="C99" s="271" t="str">
        <f>'8thMAY'!E99</f>
        <v/>
      </c>
      <c r="D99" s="191"/>
      <c r="E99" s="247"/>
      <c r="F99" s="235" t="s">
        <v>35</v>
      </c>
      <c r="G99" s="235"/>
      <c r="H99" s="272">
        <f>'8thMAY'!J99</f>
        <v>0.449</v>
      </c>
      <c r="I99" s="281">
        <v>1.0</v>
      </c>
      <c r="J99" s="282">
        <v>0.445</v>
      </c>
      <c r="K99" s="283"/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0.004</v>
      </c>
      <c r="N99" s="191"/>
      <c r="O99" s="247"/>
    </row>
    <row r="100">
      <c r="A100" s="12" t="s">
        <v>109</v>
      </c>
      <c r="B100" s="12" t="s">
        <v>40</v>
      </c>
      <c r="C100" s="271" t="str">
        <f>'8thMAY'!E100</f>
        <v/>
      </c>
      <c r="D100" s="191"/>
      <c r="E100" s="247"/>
      <c r="F100" s="235" t="s">
        <v>35</v>
      </c>
      <c r="G100" s="235"/>
      <c r="H100" s="272">
        <f>'8thMAY'!J100</f>
        <v>0.387</v>
      </c>
      <c r="I100" s="281">
        <v>1.0</v>
      </c>
      <c r="J100" s="282">
        <v>0.376</v>
      </c>
      <c r="K100" s="283"/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0.011</v>
      </c>
      <c r="N100" s="191"/>
      <c r="O100" s="247"/>
    </row>
    <row r="101">
      <c r="A101" s="12" t="s">
        <v>110</v>
      </c>
      <c r="B101" s="12" t="s">
        <v>40</v>
      </c>
      <c r="C101" s="271" t="str">
        <f>'8thMAY'!E101</f>
        <v/>
      </c>
      <c r="D101" s="191"/>
      <c r="E101" s="247"/>
      <c r="F101" s="235" t="s">
        <v>35</v>
      </c>
      <c r="G101" s="235"/>
      <c r="H101" s="272">
        <f>'8thMAY'!J101</f>
        <v>0.17</v>
      </c>
      <c r="I101" s="281">
        <v>1.0</v>
      </c>
      <c r="J101" s="282">
        <v>0.141</v>
      </c>
      <c r="K101" s="283"/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0.029</v>
      </c>
      <c r="N101" s="191"/>
      <c r="O101" s="247"/>
    </row>
    <row r="102">
      <c r="A102" s="12" t="s">
        <v>111</v>
      </c>
      <c r="B102" s="12" t="s">
        <v>40</v>
      </c>
      <c r="C102" s="271" t="str">
        <f>'8thMAY'!E102</f>
        <v/>
      </c>
      <c r="D102" s="191"/>
      <c r="E102" s="247"/>
      <c r="F102" s="235" t="s">
        <v>35</v>
      </c>
      <c r="G102" s="235"/>
      <c r="H102" s="272" t="str">
        <f>'8thMAY'!J102</f>
        <v/>
      </c>
      <c r="I102" s="281">
        <v>1.0</v>
      </c>
      <c r="J102" s="284"/>
      <c r="K102" s="283"/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>
        <f>'8thMAY'!E103</f>
        <v>1</v>
      </c>
      <c r="D103" s="191"/>
      <c r="E103" s="280">
        <v>1.0</v>
      </c>
      <c r="F103" s="235" t="s">
        <v>35</v>
      </c>
      <c r="G103" s="235"/>
      <c r="H103" s="272">
        <f>'8thMAY'!J103</f>
        <v>0.461</v>
      </c>
      <c r="I103" s="281">
        <v>1.0</v>
      </c>
      <c r="J103" s="282">
        <v>0.367</v>
      </c>
      <c r="K103" s="283"/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0.094</v>
      </c>
      <c r="N103" s="191"/>
      <c r="O103" s="247"/>
    </row>
    <row r="104">
      <c r="A104" s="12" t="s">
        <v>114</v>
      </c>
      <c r="B104" s="12" t="s">
        <v>40</v>
      </c>
      <c r="C104" s="271" t="str">
        <f>'8thMAY'!E104</f>
        <v/>
      </c>
      <c r="D104" s="191"/>
      <c r="E104" s="247"/>
      <c r="F104" s="235" t="s">
        <v>35</v>
      </c>
      <c r="G104" s="285"/>
      <c r="H104" s="272">
        <f>'8thMAY'!J104</f>
        <v>0.409</v>
      </c>
      <c r="I104" s="281">
        <v>1.0</v>
      </c>
      <c r="J104" s="282">
        <v>0.399</v>
      </c>
      <c r="K104" s="283"/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0.01</v>
      </c>
      <c r="N104" s="191"/>
      <c r="O104" s="247"/>
    </row>
    <row r="105">
      <c r="A105" s="12" t="s">
        <v>116</v>
      </c>
      <c r="B105" s="12" t="s">
        <v>40</v>
      </c>
      <c r="C105" s="271" t="str">
        <f>'8thMAY'!E105</f>
        <v/>
      </c>
      <c r="D105" s="191"/>
      <c r="E105" s="247"/>
      <c r="F105" s="235" t="s">
        <v>35</v>
      </c>
      <c r="G105" s="235"/>
      <c r="H105" s="272" t="str">
        <f>'8thMAY'!J105</f>
        <v/>
      </c>
      <c r="I105" s="281">
        <v>1.0</v>
      </c>
      <c r="J105" s="284"/>
      <c r="K105" s="283"/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'8thMAY'!E106</f>
        <v/>
      </c>
      <c r="D106" s="191"/>
      <c r="E106" s="247"/>
      <c r="F106" s="235" t="s">
        <v>35</v>
      </c>
      <c r="G106" s="285"/>
      <c r="H106" s="272">
        <f>'8thMAY'!J106</f>
        <v>0.182</v>
      </c>
      <c r="I106" s="281">
        <v>1.0</v>
      </c>
      <c r="J106" s="282">
        <v>0.138</v>
      </c>
      <c r="K106" s="283"/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0.044</v>
      </c>
      <c r="N106" s="191"/>
      <c r="O106" s="247"/>
    </row>
    <row r="107">
      <c r="A107" s="12" t="s">
        <v>118</v>
      </c>
      <c r="B107" s="12" t="s">
        <v>40</v>
      </c>
      <c r="C107" s="271" t="str">
        <f>'8thMAY'!E107</f>
        <v/>
      </c>
      <c r="D107" s="191"/>
      <c r="E107" s="247"/>
      <c r="F107" s="235" t="s">
        <v>35</v>
      </c>
      <c r="G107" s="235"/>
      <c r="H107" s="272">
        <f>'8thMAY'!J107</f>
        <v>0.067</v>
      </c>
      <c r="I107" s="281">
        <v>1.0</v>
      </c>
      <c r="J107" s="282">
        <v>0.03</v>
      </c>
      <c r="K107" s="283"/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0.037</v>
      </c>
      <c r="N107" s="191"/>
      <c r="O107" s="247"/>
    </row>
    <row r="108">
      <c r="A108" s="12" t="s">
        <v>119</v>
      </c>
      <c r="B108" s="12" t="s">
        <v>40</v>
      </c>
      <c r="C108" s="271" t="str">
        <f>'8thMAY'!E108</f>
        <v/>
      </c>
      <c r="D108" s="191"/>
      <c r="E108" s="247"/>
      <c r="F108" s="235" t="s">
        <v>35</v>
      </c>
      <c r="G108" s="235"/>
      <c r="H108" s="272">
        <f>'8thMAY'!J108</f>
        <v>0.741</v>
      </c>
      <c r="I108" s="281">
        <v>1.0</v>
      </c>
      <c r="J108" s="284">
        <f>0.241+0.5</f>
        <v>0.741</v>
      </c>
      <c r="K108" s="283"/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</v>
      </c>
      <c r="N108" s="191"/>
      <c r="O108" s="247"/>
    </row>
    <row r="109">
      <c r="A109" s="12" t="s">
        <v>120</v>
      </c>
      <c r="B109" s="12" t="s">
        <v>40</v>
      </c>
      <c r="C109" s="271" t="str">
        <f>'8thMAY'!E109</f>
        <v/>
      </c>
      <c r="D109" s="191"/>
      <c r="E109" s="247"/>
      <c r="F109" s="235" t="s">
        <v>35</v>
      </c>
      <c r="G109" s="235"/>
      <c r="H109" s="272">
        <f>'8thMAY'!J109</f>
        <v>0.087</v>
      </c>
      <c r="I109" s="281">
        <v>1.0</v>
      </c>
      <c r="J109" s="282"/>
      <c r="K109" s="283"/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0.074</v>
      </c>
      <c r="N109" s="191"/>
      <c r="O109" s="247"/>
    </row>
    <row r="110">
      <c r="A110" s="12" t="s">
        <v>121</v>
      </c>
      <c r="B110" s="12" t="s">
        <v>40</v>
      </c>
      <c r="C110" s="271" t="str">
        <f>'8thMAY'!E110</f>
        <v/>
      </c>
      <c r="D110" s="191"/>
      <c r="E110" s="247"/>
      <c r="F110" s="235" t="s">
        <v>35</v>
      </c>
      <c r="G110" s="235"/>
      <c r="H110" s="272">
        <f>'8thMAY'!J110</f>
        <v>0.799</v>
      </c>
      <c r="I110" s="281">
        <v>1.0</v>
      </c>
      <c r="J110" s="282">
        <v>0.089</v>
      </c>
      <c r="K110" s="283"/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0.71</v>
      </c>
      <c r="N110" s="191"/>
      <c r="O110" s="247"/>
    </row>
    <row r="111">
      <c r="A111" s="12" t="s">
        <v>122</v>
      </c>
      <c r="B111" s="12" t="s">
        <v>40</v>
      </c>
      <c r="C111" s="271" t="str">
        <f>'8thMAY'!E111</f>
        <v/>
      </c>
      <c r="D111" s="191"/>
      <c r="E111" s="247"/>
      <c r="F111" s="235" t="s">
        <v>35</v>
      </c>
      <c r="G111" s="235"/>
      <c r="H111" s="272" t="str">
        <f>'8thMAY'!J111</f>
        <v/>
      </c>
      <c r="I111" s="281">
        <v>1.0</v>
      </c>
      <c r="J111" s="284"/>
      <c r="K111" s="283"/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'8thMAY'!E112</f>
        <v/>
      </c>
      <c r="D112" s="191"/>
      <c r="E112" s="247"/>
      <c r="F112" s="235" t="s">
        <v>35</v>
      </c>
      <c r="G112" s="235"/>
      <c r="H112" s="272">
        <f>'8thMAY'!J112</f>
        <v>0.816</v>
      </c>
      <c r="I112" s="281">
        <v>1.0</v>
      </c>
      <c r="J112" s="282">
        <f>0.154+0.644</f>
        <v>0.798</v>
      </c>
      <c r="K112" s="283"/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0.018</v>
      </c>
      <c r="N112" s="191"/>
      <c r="O112" s="247"/>
    </row>
    <row r="113">
      <c r="A113" s="12" t="s">
        <v>124</v>
      </c>
      <c r="B113" s="12" t="s">
        <v>40</v>
      </c>
      <c r="C113" s="271" t="str">
        <f>'8thMAY'!E113</f>
        <v/>
      </c>
      <c r="D113" s="191"/>
      <c r="E113" s="247"/>
      <c r="F113" s="235" t="s">
        <v>35</v>
      </c>
      <c r="G113" s="235"/>
      <c r="H113" s="272">
        <f>'8thMAY'!J113</f>
        <v>0.107</v>
      </c>
      <c r="I113" s="281">
        <v>1.0</v>
      </c>
      <c r="J113" s="282">
        <v>0.107</v>
      </c>
      <c r="K113" s="283"/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</v>
      </c>
      <c r="N113" s="191"/>
      <c r="O113" s="247"/>
    </row>
    <row r="114">
      <c r="A114" s="12" t="s">
        <v>125</v>
      </c>
      <c r="B114" s="12" t="s">
        <v>40</v>
      </c>
      <c r="C114" s="271" t="str">
        <f>'8thMAY'!E114</f>
        <v/>
      </c>
      <c r="D114" s="191"/>
      <c r="E114" s="247"/>
      <c r="F114" s="235" t="s">
        <v>35</v>
      </c>
      <c r="G114" s="235"/>
      <c r="H114" s="272" t="str">
        <f>'8thMAY'!J114</f>
        <v/>
      </c>
      <c r="I114" s="281">
        <v>1.0</v>
      </c>
      <c r="J114" s="284"/>
      <c r="K114" s="283"/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'8thMAY'!E115</f>
        <v/>
      </c>
      <c r="D115" s="191"/>
      <c r="E115" s="247"/>
      <c r="F115" s="235" t="s">
        <v>35</v>
      </c>
      <c r="G115" s="235"/>
      <c r="H115" s="272">
        <f>'8thMAY'!J115</f>
        <v>0.712</v>
      </c>
      <c r="I115" s="281">
        <v>1.0</v>
      </c>
      <c r="J115" s="282">
        <f>0.161+0.5</f>
        <v>0.661</v>
      </c>
      <c r="K115" s="283"/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0.051</v>
      </c>
      <c r="N115" s="191"/>
      <c r="O115" s="247"/>
    </row>
    <row r="116">
      <c r="A116" s="12" t="s">
        <v>127</v>
      </c>
      <c r="B116" s="12" t="s">
        <v>40</v>
      </c>
      <c r="C116" s="271" t="str">
        <f>'8thMAY'!E116</f>
        <v/>
      </c>
      <c r="D116" s="191"/>
      <c r="E116" s="247"/>
      <c r="F116" s="235" t="s">
        <v>35</v>
      </c>
      <c r="G116" s="235"/>
      <c r="H116" s="272">
        <f>'8thMAY'!J116</f>
        <v>0.058</v>
      </c>
      <c r="I116" s="281">
        <v>1.0</v>
      </c>
      <c r="J116" s="282">
        <v>0.039</v>
      </c>
      <c r="K116" s="283"/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0.019</v>
      </c>
      <c r="N116" s="191"/>
      <c r="O116" s="247"/>
    </row>
    <row r="117">
      <c r="A117" s="12" t="s">
        <v>128</v>
      </c>
      <c r="B117" s="12" t="s">
        <v>40</v>
      </c>
      <c r="C117" s="271" t="str">
        <f>'8thMAY'!E117</f>
        <v/>
      </c>
      <c r="D117" s="191"/>
      <c r="E117" s="247"/>
      <c r="F117" s="235" t="s">
        <v>35</v>
      </c>
      <c r="G117" s="235"/>
      <c r="H117" s="272">
        <f>'8thMAY'!J117</f>
        <v>0.026</v>
      </c>
      <c r="I117" s="281">
        <v>1.0</v>
      </c>
      <c r="J117" s="282">
        <v>0.021</v>
      </c>
      <c r="K117" s="283"/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0.005</v>
      </c>
      <c r="N117" s="191"/>
      <c r="O117" s="247"/>
    </row>
    <row r="118">
      <c r="A118" s="12" t="s">
        <v>129</v>
      </c>
      <c r="B118" s="12" t="s">
        <v>40</v>
      </c>
      <c r="C118" s="271" t="str">
        <f>'8thMAY'!E118</f>
        <v/>
      </c>
      <c r="D118" s="191"/>
      <c r="E118" s="247"/>
      <c r="F118" s="235" t="s">
        <v>35</v>
      </c>
      <c r="G118" s="235"/>
      <c r="H118" s="272">
        <f>'8thMAY'!J118</f>
        <v>1</v>
      </c>
      <c r="I118" s="281">
        <v>1.0</v>
      </c>
      <c r="J118" s="282">
        <v>1.0</v>
      </c>
      <c r="K118" s="283"/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71" t="str">
        <f>'8thMAY'!E119</f>
        <v/>
      </c>
      <c r="D119" s="191"/>
      <c r="E119" s="247"/>
      <c r="F119" s="235" t="s">
        <v>35</v>
      </c>
      <c r="G119" s="235"/>
      <c r="H119" s="272">
        <f>'8thMAY'!J119</f>
        <v>0.666</v>
      </c>
      <c r="I119" s="281">
        <v>1.0</v>
      </c>
      <c r="J119" s="282">
        <v>0.237</v>
      </c>
      <c r="K119" s="283"/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0.429</v>
      </c>
      <c r="N119" s="191"/>
      <c r="O119" s="247"/>
    </row>
    <row r="120">
      <c r="A120" s="12" t="s">
        <v>131</v>
      </c>
      <c r="B120" s="12" t="s">
        <v>40</v>
      </c>
      <c r="C120" s="271" t="str">
        <f>'8thMAY'!E120</f>
        <v/>
      </c>
      <c r="D120" s="191"/>
      <c r="E120" s="247"/>
      <c r="F120" s="235" t="s">
        <v>35</v>
      </c>
      <c r="G120" s="235"/>
      <c r="H120" s="272" t="str">
        <f>'8thMAY'!J120</f>
        <v/>
      </c>
      <c r="I120" s="281">
        <v>1.0</v>
      </c>
      <c r="J120" s="282"/>
      <c r="K120" s="283"/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247"/>
    </row>
    <row r="121">
      <c r="A121" s="12" t="s">
        <v>132</v>
      </c>
      <c r="B121" s="12" t="s">
        <v>40</v>
      </c>
      <c r="C121" s="271" t="str">
        <f>'8thMAY'!E121</f>
        <v/>
      </c>
      <c r="D121" s="227">
        <v>2.0</v>
      </c>
      <c r="E121" s="247"/>
      <c r="F121" s="235" t="s">
        <v>35</v>
      </c>
      <c r="G121" s="285"/>
      <c r="H121" s="272" t="str">
        <f>'8thMAY'!J121</f>
        <v/>
      </c>
      <c r="I121" s="281">
        <v>1.0</v>
      </c>
      <c r="J121" s="282">
        <v>1.0</v>
      </c>
      <c r="K121" s="283"/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</v>
      </c>
      <c r="N121" s="191"/>
      <c r="O121" s="247"/>
    </row>
    <row r="122">
      <c r="A122" s="12" t="s">
        <v>133</v>
      </c>
      <c r="B122" s="12" t="s">
        <v>40</v>
      </c>
      <c r="C122" s="271" t="str">
        <f>'8thMAY'!E122</f>
        <v/>
      </c>
      <c r="D122" s="191"/>
      <c r="E122" s="247"/>
      <c r="F122" s="235" t="s">
        <v>35</v>
      </c>
      <c r="G122" s="235"/>
      <c r="H122" s="272">
        <f>'8thMAY'!J122</f>
        <v>0.014</v>
      </c>
      <c r="I122" s="281">
        <v>1.0</v>
      </c>
      <c r="J122" s="282"/>
      <c r="K122" s="283"/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0.004</v>
      </c>
      <c r="N122" s="191"/>
      <c r="O122" s="247"/>
    </row>
    <row r="123">
      <c r="A123" s="12" t="s">
        <v>134</v>
      </c>
      <c r="B123" s="12" t="s">
        <v>40</v>
      </c>
      <c r="C123" s="271" t="str">
        <f>'8thMAY'!E123</f>
        <v/>
      </c>
      <c r="D123" s="191"/>
      <c r="E123" s="247"/>
      <c r="F123" s="235" t="s">
        <v>35</v>
      </c>
      <c r="G123" s="235"/>
      <c r="H123" s="272" t="str">
        <f>'8thMAY'!J123</f>
        <v/>
      </c>
      <c r="I123" s="281">
        <v>1.0</v>
      </c>
      <c r="J123" s="284"/>
      <c r="K123" s="283"/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'8thMAY'!E124</f>
        <v/>
      </c>
      <c r="D124" s="191"/>
      <c r="E124" s="247"/>
      <c r="F124" s="235" t="s">
        <v>35</v>
      </c>
      <c r="G124" s="235"/>
      <c r="H124" s="272" t="str">
        <f>'8thMAY'!J124</f>
        <v/>
      </c>
      <c r="I124" s="281">
        <v>1.0</v>
      </c>
      <c r="J124" s="284"/>
      <c r="K124" s="283"/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'8thMAY'!E125</f>
        <v/>
      </c>
      <c r="D125" s="227">
        <v>3.0</v>
      </c>
      <c r="E125" s="247"/>
      <c r="F125" s="285" t="s">
        <v>35</v>
      </c>
      <c r="G125" s="235"/>
      <c r="H125" s="272" t="str">
        <f>'8thMAY'!J125</f>
        <v/>
      </c>
      <c r="I125" s="281">
        <v>1.0</v>
      </c>
      <c r="J125" s="284"/>
      <c r="K125" s="283"/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1.44</v>
      </c>
      <c r="N125" s="191"/>
      <c r="O125" s="247"/>
    </row>
    <row r="126">
      <c r="A126" s="21" t="s">
        <v>143</v>
      </c>
      <c r="B126" s="15" t="s">
        <v>40</v>
      </c>
      <c r="C126" s="271" t="str">
        <f>'8thMAY'!E126</f>
        <v/>
      </c>
      <c r="D126" s="191"/>
      <c r="E126" s="247"/>
      <c r="F126" s="285" t="s">
        <v>35</v>
      </c>
      <c r="G126" s="235"/>
      <c r="H126" s="272">
        <f>'8thMAY'!J126</f>
        <v>0.233</v>
      </c>
      <c r="I126" s="281">
        <v>1.0</v>
      </c>
      <c r="J126" s="282">
        <v>0.233</v>
      </c>
      <c r="K126" s="283"/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</v>
      </c>
      <c r="N126" s="191"/>
      <c r="O126" s="247"/>
    </row>
    <row r="127">
      <c r="A127" s="10" t="s">
        <v>146</v>
      </c>
      <c r="B127" s="11"/>
      <c r="C127" s="271" t="str">
        <f>'8thMAY'!E127</f>
        <v/>
      </c>
      <c r="D127" s="191"/>
      <c r="E127" s="247"/>
      <c r="F127" s="235"/>
      <c r="G127" s="235"/>
      <c r="H127" s="272" t="str">
        <f>'8thMAY'!J127</f>
        <v/>
      </c>
      <c r="I127" s="281">
        <v>1.0</v>
      </c>
      <c r="J127" s="284"/>
      <c r="K127" s="283"/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'8thMAY'!E128</f>
        <v/>
      </c>
      <c r="D128" s="191"/>
      <c r="E128" s="247"/>
      <c r="F128" s="235" t="s">
        <v>35</v>
      </c>
      <c r="G128" s="235"/>
      <c r="H128" s="272" t="str">
        <f>'8thMAY'!J128</f>
        <v/>
      </c>
      <c r="I128" s="281">
        <v>1.0</v>
      </c>
      <c r="J128" s="284"/>
      <c r="K128" s="283"/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'8thMAY'!E129</f>
        <v/>
      </c>
      <c r="D129" s="227">
        <v>0.8</v>
      </c>
      <c r="E129" s="247"/>
      <c r="F129" s="235" t="s">
        <v>35</v>
      </c>
      <c r="G129" s="285">
        <v>0.419</v>
      </c>
      <c r="H129" s="272">
        <f>'8thMAY'!J129</f>
        <v>0.419</v>
      </c>
      <c r="I129" s="281">
        <v>1.0</v>
      </c>
      <c r="J129" s="282">
        <v>1.271</v>
      </c>
      <c r="K129" s="283"/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0.367</v>
      </c>
      <c r="N129" s="191"/>
      <c r="O129" s="247"/>
    </row>
    <row r="130">
      <c r="A130" s="12" t="s">
        <v>149</v>
      </c>
      <c r="B130" s="12" t="s">
        <v>40</v>
      </c>
      <c r="C130" s="271" t="str">
        <f>'8thMAY'!E130</f>
        <v/>
      </c>
      <c r="D130" s="191"/>
      <c r="E130" s="247"/>
      <c r="F130" s="235" t="s">
        <v>35</v>
      </c>
      <c r="G130" s="235"/>
      <c r="H130" s="272">
        <f>'8thMAY'!J130</f>
        <v>0.178</v>
      </c>
      <c r="I130" s="281">
        <v>1.0</v>
      </c>
      <c r="J130" s="282"/>
      <c r="K130" s="283"/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0.078</v>
      </c>
      <c r="N130" s="191"/>
      <c r="O130" s="247"/>
    </row>
    <row r="131">
      <c r="A131" s="12" t="s">
        <v>150</v>
      </c>
      <c r="B131" s="12" t="s">
        <v>24</v>
      </c>
      <c r="C131" s="271" t="str">
        <f>'8thMAY'!E131</f>
        <v/>
      </c>
      <c r="D131" s="191"/>
      <c r="E131" s="247"/>
      <c r="F131" s="235" t="s">
        <v>25</v>
      </c>
      <c r="G131" s="235"/>
      <c r="H131" s="272" t="str">
        <f>'8thMAY'!J131</f>
        <v/>
      </c>
      <c r="I131" s="281">
        <v>1.0</v>
      </c>
      <c r="J131" s="284"/>
      <c r="K131" s="283"/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'8thMAY'!E132</f>
        <v/>
      </c>
      <c r="D132" s="191"/>
      <c r="E132" s="247"/>
      <c r="F132" s="235"/>
      <c r="G132" s="235"/>
      <c r="H132" s="272" t="str">
        <f>'8thMAY'!J132</f>
        <v/>
      </c>
      <c r="I132" s="281">
        <v>1.0</v>
      </c>
      <c r="J132" s="284"/>
      <c r="K132" s="283"/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'8thMAY'!E133</f>
        <v/>
      </c>
      <c r="D133" s="227">
        <v>2.0</v>
      </c>
      <c r="E133" s="247"/>
      <c r="F133" s="235" t="s">
        <v>35</v>
      </c>
      <c r="G133" s="235"/>
      <c r="H133" s="272" t="str">
        <f>'8thMAY'!J133</f>
        <v/>
      </c>
      <c r="I133" s="281">
        <v>1.0</v>
      </c>
      <c r="J133" s="284"/>
      <c r="K133" s="283"/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0.4</v>
      </c>
      <c r="N133" s="191"/>
      <c r="O133" s="247"/>
    </row>
    <row r="134">
      <c r="A134" s="12" t="s">
        <v>154</v>
      </c>
      <c r="B134" s="12" t="s">
        <v>155</v>
      </c>
      <c r="C134" s="271" t="str">
        <f>'8thMAY'!E134</f>
        <v/>
      </c>
      <c r="D134" s="191"/>
      <c r="E134" s="247"/>
      <c r="F134" s="235" t="s">
        <v>35</v>
      </c>
      <c r="G134" s="235"/>
      <c r="H134" s="272" t="str">
        <f>'8thMAY'!J134</f>
        <v/>
      </c>
      <c r="I134" s="281">
        <v>1.0</v>
      </c>
      <c r="J134" s="284"/>
      <c r="K134" s="283"/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 t="str">
        <f>'8thMAY'!E135</f>
        <v/>
      </c>
      <c r="D135" s="227"/>
      <c r="E135" s="280"/>
      <c r="F135" s="235" t="s">
        <v>35</v>
      </c>
      <c r="G135" s="235"/>
      <c r="H135" s="272">
        <v>0.446</v>
      </c>
      <c r="I135" s="281">
        <v>1.0</v>
      </c>
      <c r="J135" s="282">
        <v>0.446</v>
      </c>
      <c r="K135" s="283">
        <v>1.0</v>
      </c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</v>
      </c>
      <c r="N135" s="191"/>
      <c r="O135" s="247"/>
    </row>
    <row r="136">
      <c r="A136" s="12" t="s">
        <v>158</v>
      </c>
      <c r="B136" s="12" t="s">
        <v>34</v>
      </c>
      <c r="C136" s="271" t="str">
        <f>'8thMAY'!E136</f>
        <v/>
      </c>
      <c r="D136" s="227">
        <v>1.0</v>
      </c>
      <c r="E136" s="247"/>
      <c r="F136" s="235" t="s">
        <v>35</v>
      </c>
      <c r="G136" s="235"/>
      <c r="H136" s="272" t="str">
        <f>'8thMAY'!J136</f>
        <v/>
      </c>
      <c r="I136" s="281">
        <v>1.0</v>
      </c>
      <c r="J136" s="284"/>
      <c r="K136" s="283"/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0.425</v>
      </c>
      <c r="N136" s="191"/>
      <c r="O136" s="247"/>
    </row>
    <row r="137">
      <c r="A137" s="12" t="s">
        <v>159</v>
      </c>
      <c r="B137" s="12" t="s">
        <v>34</v>
      </c>
      <c r="C137" s="271" t="str">
        <f>'8thMAY'!E137</f>
        <v/>
      </c>
      <c r="D137" s="191"/>
      <c r="E137" s="247"/>
      <c r="F137" s="235" t="s">
        <v>35</v>
      </c>
      <c r="G137" s="235"/>
      <c r="H137" s="272" t="str">
        <f>'8thMAY'!J137</f>
        <v/>
      </c>
      <c r="I137" s="281">
        <v>1.0</v>
      </c>
      <c r="J137" s="284"/>
      <c r="K137" s="283"/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'8thMAY'!E138</f>
        <v/>
      </c>
      <c r="D138" s="191"/>
      <c r="E138" s="247"/>
      <c r="F138" s="235" t="s">
        <v>35</v>
      </c>
      <c r="G138" s="235"/>
      <c r="H138" s="272">
        <f>'8thMAY'!J138</f>
        <v>1</v>
      </c>
      <c r="I138" s="281">
        <v>1.0</v>
      </c>
      <c r="J138" s="282">
        <v>1.0</v>
      </c>
      <c r="K138" s="283"/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</v>
      </c>
      <c r="N138" s="191"/>
      <c r="O138" s="247"/>
    </row>
    <row r="139">
      <c r="A139" s="12" t="s">
        <v>161</v>
      </c>
      <c r="B139" s="12" t="s">
        <v>34</v>
      </c>
      <c r="C139" s="271" t="str">
        <f>'8thMAY'!E139</f>
        <v/>
      </c>
      <c r="D139" s="191"/>
      <c r="E139" s="247"/>
      <c r="F139" s="235" t="s">
        <v>35</v>
      </c>
      <c r="G139" s="235"/>
      <c r="H139" s="272">
        <f>'8thMAY'!J139</f>
        <v>0.433</v>
      </c>
      <c r="I139" s="281">
        <v>1.0</v>
      </c>
      <c r="J139" s="282">
        <v>0.433</v>
      </c>
      <c r="K139" s="283"/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</v>
      </c>
      <c r="N139" s="191"/>
      <c r="O139" s="247"/>
    </row>
    <row r="140">
      <c r="A140" s="12" t="s">
        <v>162</v>
      </c>
      <c r="B140" s="12" t="s">
        <v>34</v>
      </c>
      <c r="C140" s="271" t="str">
        <f>'8thMAY'!E140</f>
        <v/>
      </c>
      <c r="D140" s="191"/>
      <c r="E140" s="247"/>
      <c r="F140" s="235" t="s">
        <v>35</v>
      </c>
      <c r="G140" s="235"/>
      <c r="H140" s="272" t="str">
        <f>'8thMAY'!J140</f>
        <v/>
      </c>
      <c r="I140" s="281">
        <v>1.0</v>
      </c>
      <c r="J140" s="282"/>
      <c r="K140" s="283"/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 t="str">
        <f>'8thMAY'!E141</f>
        <v/>
      </c>
      <c r="D141" s="227">
        <v>1.0</v>
      </c>
      <c r="E141" s="247"/>
      <c r="F141" s="235" t="s">
        <v>35</v>
      </c>
      <c r="G141" s="235"/>
      <c r="H141" s="272" t="str">
        <f>'8thMAY'!J141</f>
        <v/>
      </c>
      <c r="I141" s="281">
        <v>1.0</v>
      </c>
      <c r="J141" s="282">
        <f>0.848-0.5</f>
        <v>0.348</v>
      </c>
      <c r="K141" s="283"/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0.022</v>
      </c>
      <c r="N141" s="191"/>
      <c r="O141" s="247"/>
    </row>
    <row r="142">
      <c r="A142" s="12" t="s">
        <v>164</v>
      </c>
      <c r="B142" s="12" t="s">
        <v>155</v>
      </c>
      <c r="C142" s="271" t="str">
        <f>'8thMAY'!E142</f>
        <v/>
      </c>
      <c r="D142" s="191"/>
      <c r="E142" s="247"/>
      <c r="F142" s="235" t="s">
        <v>35</v>
      </c>
      <c r="G142" s="285">
        <v>0.359</v>
      </c>
      <c r="H142" s="272">
        <f>'8thMAY'!J142</f>
        <v>0.359</v>
      </c>
      <c r="I142" s="281">
        <v>1.0</v>
      </c>
      <c r="J142" s="282">
        <v>0.5</v>
      </c>
      <c r="K142" s="283"/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0.218</v>
      </c>
      <c r="N142" s="191"/>
      <c r="O142" s="247"/>
    </row>
    <row r="143">
      <c r="A143" s="12" t="s">
        <v>165</v>
      </c>
      <c r="B143" s="12" t="s">
        <v>155</v>
      </c>
      <c r="C143" s="271" t="str">
        <f>'8thMAY'!E143</f>
        <v/>
      </c>
      <c r="D143" s="191"/>
      <c r="E143" s="247"/>
      <c r="F143" s="235" t="s">
        <v>35</v>
      </c>
      <c r="G143" s="235"/>
      <c r="H143" s="272" t="str">
        <f>'8thMAY'!J143</f>
        <v/>
      </c>
      <c r="I143" s="281">
        <v>1.0</v>
      </c>
      <c r="J143" s="284"/>
      <c r="K143" s="283"/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'8thMAY'!E144</f>
        <v/>
      </c>
      <c r="D144" s="227">
        <v>1.0</v>
      </c>
      <c r="E144" s="247"/>
      <c r="F144" s="235" t="s">
        <v>35</v>
      </c>
      <c r="G144" s="285"/>
      <c r="H144" s="272">
        <f>'8thMAY'!J144</f>
        <v>0.755</v>
      </c>
      <c r="I144" s="281">
        <v>1.0</v>
      </c>
      <c r="J144" s="282">
        <v>1.387</v>
      </c>
      <c r="K144" s="283"/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3.148</v>
      </c>
      <c r="N144" s="191"/>
      <c r="O144" s="247"/>
    </row>
    <row r="145">
      <c r="A145" s="12" t="s">
        <v>167</v>
      </c>
      <c r="B145" s="12" t="s">
        <v>106</v>
      </c>
      <c r="C145" s="271" t="str">
        <f>'8thMAY'!E145</f>
        <v/>
      </c>
      <c r="D145" s="227">
        <v>1.0</v>
      </c>
      <c r="E145" s="247"/>
      <c r="F145" s="235" t="s">
        <v>35</v>
      </c>
      <c r="G145" s="285"/>
      <c r="H145" s="272" t="str">
        <f>'8thMAY'!J145</f>
        <v/>
      </c>
      <c r="I145" s="281">
        <v>1.0</v>
      </c>
      <c r="J145" s="282">
        <v>0.052</v>
      </c>
      <c r="K145" s="283"/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0.363</v>
      </c>
      <c r="N145" s="191"/>
      <c r="O145" s="247"/>
    </row>
    <row r="146">
      <c r="A146" s="12" t="s">
        <v>168</v>
      </c>
      <c r="B146" s="12" t="s">
        <v>17</v>
      </c>
      <c r="C146" s="271" t="str">
        <f>'8thMAY'!E146</f>
        <v/>
      </c>
      <c r="D146" s="227">
        <v>1.0</v>
      </c>
      <c r="E146" s="247"/>
      <c r="F146" s="235" t="s">
        <v>35</v>
      </c>
      <c r="G146" s="285"/>
      <c r="H146" s="272" t="str">
        <f>'8thMAY'!J146</f>
        <v/>
      </c>
      <c r="I146" s="281">
        <v>1.0</v>
      </c>
      <c r="J146" s="282">
        <v>0.48</v>
      </c>
      <c r="K146" s="283"/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0.02</v>
      </c>
      <c r="N146" s="191"/>
      <c r="O146" s="247"/>
    </row>
    <row r="147">
      <c r="A147" s="12" t="s">
        <v>169</v>
      </c>
      <c r="B147" s="12" t="s">
        <v>106</v>
      </c>
      <c r="C147" s="271" t="str">
        <f>'8thMAY'!E147</f>
        <v/>
      </c>
      <c r="D147" s="191"/>
      <c r="E147" s="247"/>
      <c r="F147" s="235" t="s">
        <v>35</v>
      </c>
      <c r="G147" s="235"/>
      <c r="H147" s="272" t="str">
        <f>'8thMAY'!J147</f>
        <v/>
      </c>
      <c r="I147" s="281">
        <v>1.0</v>
      </c>
      <c r="J147" s="284"/>
      <c r="K147" s="283"/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'8thMAY'!E148</f>
        <v/>
      </c>
      <c r="D148" s="191"/>
      <c r="E148" s="247"/>
      <c r="F148" s="235" t="s">
        <v>35</v>
      </c>
      <c r="G148" s="235"/>
      <c r="H148" s="272" t="str">
        <f>'8thMAY'!J148</f>
        <v/>
      </c>
      <c r="I148" s="281">
        <v>1.0</v>
      </c>
      <c r="J148" s="284"/>
      <c r="K148" s="283"/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 t="str">
        <f>'8thMAY'!E149</f>
        <v/>
      </c>
      <c r="D149" s="191"/>
      <c r="E149" s="247"/>
      <c r="F149" s="235" t="s">
        <v>14</v>
      </c>
      <c r="G149" s="235"/>
      <c r="H149" s="272">
        <f>'8thMAY'!J149</f>
        <v>0.403</v>
      </c>
      <c r="I149" s="281">
        <v>1.0</v>
      </c>
      <c r="J149" s="282">
        <v>0.403</v>
      </c>
      <c r="K149" s="283"/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</v>
      </c>
      <c r="N149" s="191"/>
      <c r="O149" s="247"/>
    </row>
    <row r="150">
      <c r="A150" s="11" t="s">
        <v>173</v>
      </c>
      <c r="B150" s="11" t="s">
        <v>106</v>
      </c>
      <c r="C150" s="271" t="str">
        <f>'8thMAY'!E150</f>
        <v/>
      </c>
      <c r="D150" s="287"/>
      <c r="E150" s="288"/>
      <c r="F150" s="235" t="s">
        <v>14</v>
      </c>
      <c r="G150" s="289"/>
      <c r="H150" s="272" t="str">
        <f>'8thMAY'!J150</f>
        <v/>
      </c>
      <c r="I150" s="281">
        <v>1.0</v>
      </c>
      <c r="J150" s="291"/>
      <c r="K150" s="283"/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</v>
      </c>
      <c r="N150" s="216"/>
      <c r="O150" s="292"/>
    </row>
    <row r="151">
      <c r="A151" s="22" t="s">
        <v>174</v>
      </c>
      <c r="B151" s="23" t="s">
        <v>106</v>
      </c>
      <c r="C151" s="271" t="str">
        <f>'8thMAY'!E151</f>
        <v/>
      </c>
      <c r="D151" s="216"/>
      <c r="E151" s="288"/>
      <c r="F151" s="235" t="s">
        <v>14</v>
      </c>
      <c r="G151" s="289"/>
      <c r="H151" s="272">
        <f>'8thMAY'!J151</f>
        <v>0.38</v>
      </c>
      <c r="I151" s="281">
        <v>1.0</v>
      </c>
      <c r="J151" s="301">
        <v>0.374</v>
      </c>
      <c r="K151" s="283"/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0.006</v>
      </c>
      <c r="N151" s="216"/>
      <c r="O151" s="292"/>
    </row>
    <row r="152">
      <c r="A152" s="10" t="s">
        <v>175</v>
      </c>
      <c r="B152" s="11"/>
      <c r="C152" s="271" t="str">
        <f>'8thMAY'!E152</f>
        <v/>
      </c>
      <c r="D152" s="191"/>
      <c r="E152" s="247"/>
      <c r="F152" s="235"/>
      <c r="G152" s="235"/>
      <c r="H152" s="272" t="str">
        <f>'8thMAY'!J152</f>
        <v/>
      </c>
      <c r="I152" s="281">
        <v>1.0</v>
      </c>
      <c r="J152" s="284"/>
      <c r="K152" s="283"/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'8thMAY'!E153</f>
        <v/>
      </c>
      <c r="D153" s="227">
        <v>5.0</v>
      </c>
      <c r="E153" s="247"/>
      <c r="F153" s="235" t="s">
        <v>25</v>
      </c>
      <c r="G153" s="235"/>
      <c r="H153" s="272" t="str">
        <f>'8thMAY'!J153</f>
        <v/>
      </c>
      <c r="I153" s="281">
        <v>1.0</v>
      </c>
      <c r="J153" s="284"/>
      <c r="K153" s="283"/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5</v>
      </c>
      <c r="N153" s="191"/>
      <c r="O153" s="247"/>
    </row>
    <row r="154">
      <c r="A154" s="12" t="s">
        <v>178</v>
      </c>
      <c r="B154" s="12" t="s">
        <v>35</v>
      </c>
      <c r="C154" s="271" t="str">
        <f>'8thMAY'!E154</f>
        <v/>
      </c>
      <c r="D154" s="227">
        <v>6.0</v>
      </c>
      <c r="E154" s="280"/>
      <c r="F154" s="235" t="s">
        <v>35</v>
      </c>
      <c r="G154" s="235"/>
      <c r="H154" s="272">
        <f>'8thMAY'!J154</f>
        <v>2.801</v>
      </c>
      <c r="I154" s="281">
        <v>1.0</v>
      </c>
      <c r="J154" s="282">
        <v>1.0</v>
      </c>
      <c r="K154" s="283"/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4.801</v>
      </c>
      <c r="N154" s="191"/>
      <c r="O154" s="247"/>
    </row>
    <row r="155">
      <c r="A155" s="12" t="s">
        <v>180</v>
      </c>
      <c r="B155" s="12" t="s">
        <v>35</v>
      </c>
      <c r="C155" s="271" t="str">
        <f>'8thMAY'!E155</f>
        <v/>
      </c>
      <c r="D155" s="191"/>
      <c r="E155" s="247"/>
      <c r="F155" s="235" t="s">
        <v>35</v>
      </c>
      <c r="G155" s="235"/>
      <c r="H155" s="272">
        <f>'8thMAY'!J155</f>
        <v>0.203</v>
      </c>
      <c r="I155" s="281">
        <v>1.0</v>
      </c>
      <c r="J155" s="282">
        <v>0.076</v>
      </c>
      <c r="K155" s="283"/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0.127</v>
      </c>
      <c r="N155" s="191"/>
      <c r="O155" s="247"/>
    </row>
    <row r="156">
      <c r="A156" s="12" t="s">
        <v>181</v>
      </c>
      <c r="B156" s="12" t="s">
        <v>35</v>
      </c>
      <c r="C156" s="271" t="str">
        <f>'8thMAY'!E156</f>
        <v/>
      </c>
      <c r="D156" s="191"/>
      <c r="E156" s="280"/>
      <c r="F156" s="235" t="s">
        <v>35</v>
      </c>
      <c r="G156" s="235"/>
      <c r="H156" s="272">
        <f>'8thMAY'!J156</f>
        <v>1</v>
      </c>
      <c r="I156" s="281">
        <v>1.0</v>
      </c>
      <c r="J156" s="282">
        <v>0.972</v>
      </c>
      <c r="K156" s="283"/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0.028</v>
      </c>
      <c r="N156" s="191"/>
      <c r="O156" s="247"/>
    </row>
    <row r="157">
      <c r="A157" s="12" t="s">
        <v>182</v>
      </c>
      <c r="B157" s="12" t="s">
        <v>35</v>
      </c>
      <c r="C157" s="271" t="str">
        <f>'8thMAY'!E157</f>
        <v/>
      </c>
      <c r="D157" s="191"/>
      <c r="E157" s="247"/>
      <c r="F157" s="235" t="s">
        <v>35</v>
      </c>
      <c r="G157" s="285"/>
      <c r="H157" s="272">
        <f>'8thMAY'!J157</f>
        <v>0.214</v>
      </c>
      <c r="I157" s="281">
        <v>1.0</v>
      </c>
      <c r="J157" s="282"/>
      <c r="K157" s="283"/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0.194</v>
      </c>
      <c r="N157" s="191"/>
      <c r="O157" s="247"/>
    </row>
    <row r="158">
      <c r="A158" s="12" t="s">
        <v>183</v>
      </c>
      <c r="B158" s="12" t="s">
        <v>35</v>
      </c>
      <c r="C158" s="271" t="str">
        <f>'8thMAY'!E158</f>
        <v/>
      </c>
      <c r="D158" s="191"/>
      <c r="E158" s="247"/>
      <c r="F158" s="235" t="s">
        <v>14</v>
      </c>
      <c r="G158" s="235"/>
      <c r="H158" s="272" t="str">
        <f>'8thMAY'!J158</f>
        <v/>
      </c>
      <c r="I158" s="281">
        <v>1.0</v>
      </c>
      <c r="J158" s="284"/>
      <c r="K158" s="283"/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'8thMAY'!E159</f>
        <v/>
      </c>
      <c r="D159" s="191"/>
      <c r="E159" s="247"/>
      <c r="F159" s="235"/>
      <c r="G159" s="235"/>
      <c r="H159" s="272" t="str">
        <f>'8thMAY'!J159</f>
        <v/>
      </c>
      <c r="I159" s="281">
        <v>1.0</v>
      </c>
      <c r="J159" s="284"/>
      <c r="K159" s="283"/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'8thMAY'!E160</f>
        <v/>
      </c>
      <c r="D160" s="227">
        <v>1.0</v>
      </c>
      <c r="E160" s="247"/>
      <c r="F160" s="235" t="s">
        <v>17</v>
      </c>
      <c r="G160" s="235"/>
      <c r="H160" s="272">
        <f>'8thMAY'!J160</f>
        <v>2</v>
      </c>
      <c r="I160" s="281">
        <v>1.0</v>
      </c>
      <c r="J160" s="282">
        <v>1.24</v>
      </c>
      <c r="K160" s="283"/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1.76</v>
      </c>
      <c r="N160" s="191"/>
      <c r="O160" s="247"/>
    </row>
    <row r="161">
      <c r="A161" s="12" t="s">
        <v>187</v>
      </c>
      <c r="B161" s="12" t="s">
        <v>17</v>
      </c>
      <c r="C161" s="271" t="str">
        <f>'8thMAY'!E161</f>
        <v/>
      </c>
      <c r="D161" s="227">
        <v>1.0</v>
      </c>
      <c r="E161" s="247"/>
      <c r="F161" s="235" t="s">
        <v>17</v>
      </c>
      <c r="G161" s="235"/>
      <c r="H161" s="272">
        <f>'8thMAY'!J161</f>
        <v>2</v>
      </c>
      <c r="I161" s="281">
        <v>1.0</v>
      </c>
      <c r="J161" s="282">
        <v>0.5</v>
      </c>
      <c r="K161" s="283"/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2.5</v>
      </c>
      <c r="N161" s="191"/>
      <c r="O161" s="247"/>
    </row>
    <row r="162">
      <c r="A162" s="12" t="s">
        <v>188</v>
      </c>
      <c r="B162" s="12" t="s">
        <v>35</v>
      </c>
      <c r="C162" s="271" t="str">
        <f>'8thMAY'!E162</f>
        <v/>
      </c>
      <c r="D162" s="227">
        <v>7.0</v>
      </c>
      <c r="E162" s="247"/>
      <c r="F162" s="235" t="s">
        <v>35</v>
      </c>
      <c r="G162" s="235"/>
      <c r="H162" s="272" t="str">
        <f>'8thMAY'!J162</f>
        <v/>
      </c>
      <c r="I162" s="281">
        <v>1.0</v>
      </c>
      <c r="J162" s="282">
        <v>0.489</v>
      </c>
      <c r="K162" s="283"/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6.511</v>
      </c>
      <c r="N162" s="191"/>
      <c r="O162" s="247"/>
    </row>
    <row r="163">
      <c r="A163" s="12" t="s">
        <v>189</v>
      </c>
      <c r="B163" s="12" t="s">
        <v>17</v>
      </c>
      <c r="C163" s="271" t="str">
        <f>'8thMAY'!E163</f>
        <v/>
      </c>
      <c r="D163" s="227"/>
      <c r="E163" s="280"/>
      <c r="F163" s="235" t="s">
        <v>17</v>
      </c>
      <c r="G163" s="235"/>
      <c r="H163" s="272">
        <f>'8thMAY'!J163</f>
        <v>2</v>
      </c>
      <c r="I163" s="281">
        <v>1.0</v>
      </c>
      <c r="J163" s="282">
        <v>1.0</v>
      </c>
      <c r="K163" s="283"/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1</v>
      </c>
      <c r="N163" s="191"/>
      <c r="O163" s="247"/>
    </row>
    <row r="164">
      <c r="A164" s="12" t="s">
        <v>190</v>
      </c>
      <c r="B164" s="12" t="s">
        <v>17</v>
      </c>
      <c r="C164" s="271" t="str">
        <f>'8thMAY'!E164</f>
        <v/>
      </c>
      <c r="D164" s="191"/>
      <c r="E164" s="247"/>
      <c r="F164" s="235" t="s">
        <v>17</v>
      </c>
      <c r="G164" s="235"/>
      <c r="H164" s="272" t="str">
        <f>'8thMAY'!J164</f>
        <v/>
      </c>
      <c r="I164" s="281">
        <v>1.0</v>
      </c>
      <c r="J164" s="284"/>
      <c r="K164" s="283"/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'8thMAY'!E165</f>
        <v/>
      </c>
      <c r="D165" s="227">
        <v>0.8</v>
      </c>
      <c r="E165" s="247"/>
      <c r="F165" s="235" t="s">
        <v>35</v>
      </c>
      <c r="G165" s="235"/>
      <c r="H165" s="272" t="str">
        <f>'8thMAY'!J165</f>
        <v/>
      </c>
      <c r="I165" s="281">
        <v>1.0</v>
      </c>
      <c r="J165" s="284"/>
      <c r="K165" s="283"/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0.8</v>
      </c>
      <c r="N165" s="191"/>
      <c r="O165" s="247"/>
    </row>
    <row r="166">
      <c r="A166" s="12" t="s">
        <v>192</v>
      </c>
      <c r="B166" s="12" t="s">
        <v>35</v>
      </c>
      <c r="C166" s="271" t="str">
        <f>'8thMAY'!E166</f>
        <v/>
      </c>
      <c r="D166" s="191"/>
      <c r="E166" s="247"/>
      <c r="F166" s="235" t="s">
        <v>35</v>
      </c>
      <c r="G166" s="285">
        <v>0.832</v>
      </c>
      <c r="H166" s="272">
        <f>'8thMAY'!J166</f>
        <v>0.832</v>
      </c>
      <c r="I166" s="281">
        <v>1.0</v>
      </c>
      <c r="J166" s="282">
        <v>1.6</v>
      </c>
      <c r="K166" s="283"/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0.064</v>
      </c>
      <c r="N166" s="191"/>
      <c r="O166" s="247"/>
    </row>
    <row r="167">
      <c r="A167" s="12" t="s">
        <v>193</v>
      </c>
      <c r="B167" s="12" t="s">
        <v>35</v>
      </c>
      <c r="C167" s="271" t="str">
        <f>'8thMAY'!E167</f>
        <v/>
      </c>
      <c r="D167" s="227">
        <v>12.0</v>
      </c>
      <c r="E167" s="247"/>
      <c r="F167" s="235" t="s">
        <v>35</v>
      </c>
      <c r="G167" s="235"/>
      <c r="H167" s="272">
        <f>'8thMAY'!J167</f>
        <v>0.2</v>
      </c>
      <c r="I167" s="281">
        <v>1.0</v>
      </c>
      <c r="J167" s="282"/>
      <c r="K167" s="283"/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12.2</v>
      </c>
      <c r="N167" s="191"/>
      <c r="O167" s="247"/>
    </row>
    <row r="168">
      <c r="A168" s="12" t="s">
        <v>194</v>
      </c>
      <c r="B168" s="12" t="s">
        <v>17</v>
      </c>
      <c r="C168" s="271" t="str">
        <f>'8thMAY'!E168</f>
        <v/>
      </c>
      <c r="D168" s="227">
        <v>2.0</v>
      </c>
      <c r="E168" s="247"/>
      <c r="F168" s="235" t="s">
        <v>17</v>
      </c>
      <c r="G168" s="235"/>
      <c r="H168" s="272">
        <f>'8thMAY'!J168</f>
        <v>1.5</v>
      </c>
      <c r="I168" s="281">
        <v>1.0</v>
      </c>
      <c r="J168" s="282">
        <v>2.0</v>
      </c>
      <c r="K168" s="283"/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1.5</v>
      </c>
      <c r="N168" s="191"/>
      <c r="O168" s="247"/>
    </row>
    <row r="169">
      <c r="A169" s="12" t="s">
        <v>195</v>
      </c>
      <c r="B169" s="12" t="s">
        <v>35</v>
      </c>
      <c r="C169" s="271" t="str">
        <f>'8thMAY'!E169</f>
        <v/>
      </c>
      <c r="D169" s="227">
        <v>2.0</v>
      </c>
      <c r="E169" s="247"/>
      <c r="F169" s="235" t="s">
        <v>35</v>
      </c>
      <c r="G169" s="235"/>
      <c r="H169" s="272" t="str">
        <f>'8thMAY'!J169</f>
        <v/>
      </c>
      <c r="I169" s="281">
        <v>1.0</v>
      </c>
      <c r="J169" s="282">
        <v>1.827</v>
      </c>
      <c r="K169" s="283"/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0.173</v>
      </c>
      <c r="N169" s="191"/>
      <c r="O169" s="247"/>
    </row>
    <row r="170">
      <c r="A170" s="12" t="s">
        <v>196</v>
      </c>
      <c r="B170" s="12" t="s">
        <v>35</v>
      </c>
      <c r="C170" s="271" t="str">
        <f>'8thMAY'!E170</f>
        <v/>
      </c>
      <c r="D170" s="227">
        <v>0.8</v>
      </c>
      <c r="E170" s="247"/>
      <c r="F170" s="235" t="s">
        <v>35</v>
      </c>
      <c r="G170" s="235"/>
      <c r="H170" s="272">
        <f>'8thMAY'!J170</f>
        <v>0.61</v>
      </c>
      <c r="I170" s="281">
        <v>1.0</v>
      </c>
      <c r="J170" s="282">
        <v>0.511</v>
      </c>
      <c r="K170" s="283"/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0.899</v>
      </c>
      <c r="N170" s="191"/>
      <c r="O170" s="247"/>
    </row>
    <row r="171">
      <c r="A171" s="12" t="s">
        <v>197</v>
      </c>
      <c r="B171" s="12" t="s">
        <v>35</v>
      </c>
      <c r="C171" s="271" t="str">
        <f>'8thMAY'!E171</f>
        <v/>
      </c>
      <c r="D171" s="227">
        <v>0.8</v>
      </c>
      <c r="E171" s="247"/>
      <c r="F171" s="235" t="s">
        <v>35</v>
      </c>
      <c r="G171" s="285"/>
      <c r="H171" s="272" t="str">
        <f>'8thMAY'!J171</f>
        <v/>
      </c>
      <c r="I171" s="281">
        <v>1.0</v>
      </c>
      <c r="J171" s="282">
        <v>0.583</v>
      </c>
      <c r="K171" s="283"/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0.217</v>
      </c>
      <c r="N171" s="191"/>
      <c r="O171" s="247"/>
    </row>
    <row r="172">
      <c r="A172" s="12" t="s">
        <v>198</v>
      </c>
      <c r="B172" s="12" t="s">
        <v>35</v>
      </c>
      <c r="C172" s="271" t="str">
        <f>'8thMAY'!E172</f>
        <v/>
      </c>
      <c r="D172" s="227">
        <v>1.8</v>
      </c>
      <c r="E172" s="247"/>
      <c r="F172" s="235" t="s">
        <v>35</v>
      </c>
      <c r="G172" s="235"/>
      <c r="H172" s="272" t="str">
        <f>'8thMAY'!J172</f>
        <v/>
      </c>
      <c r="I172" s="281">
        <v>1.0</v>
      </c>
      <c r="J172" s="282"/>
      <c r="K172" s="283"/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1.8</v>
      </c>
      <c r="N172" s="191"/>
      <c r="O172" s="247"/>
    </row>
    <row r="173">
      <c r="A173" s="12" t="s">
        <v>199</v>
      </c>
      <c r="B173" s="12" t="s">
        <v>35</v>
      </c>
      <c r="C173" s="271" t="str">
        <f>'8thMAY'!E173</f>
        <v/>
      </c>
      <c r="D173" s="227">
        <v>0.8</v>
      </c>
      <c r="E173" s="247"/>
      <c r="F173" s="235" t="s">
        <v>35</v>
      </c>
      <c r="G173" s="235"/>
      <c r="H173" s="272">
        <f>'8thMAY'!J173</f>
        <v>0.1</v>
      </c>
      <c r="I173" s="281">
        <v>1.0</v>
      </c>
      <c r="J173" s="284"/>
      <c r="K173" s="283"/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0.9</v>
      </c>
      <c r="N173" s="191"/>
      <c r="O173" s="247"/>
    </row>
    <row r="174">
      <c r="A174" s="12" t="s">
        <v>200</v>
      </c>
      <c r="B174" s="12" t="s">
        <v>35</v>
      </c>
      <c r="C174" s="271" t="str">
        <f>'8thMAY'!E174</f>
        <v/>
      </c>
      <c r="D174" s="227">
        <v>0.8</v>
      </c>
      <c r="E174" s="247"/>
      <c r="F174" s="235" t="s">
        <v>35</v>
      </c>
      <c r="G174" s="235"/>
      <c r="H174" s="272" t="str">
        <f>'8thMAY'!J174</f>
        <v/>
      </c>
      <c r="I174" s="281">
        <v>1.0</v>
      </c>
      <c r="J174" s="284"/>
      <c r="K174" s="283"/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0.8</v>
      </c>
      <c r="N174" s="191"/>
      <c r="O174" s="247"/>
    </row>
    <row r="175">
      <c r="A175" s="12" t="s">
        <v>201</v>
      </c>
      <c r="B175" s="12" t="s">
        <v>202</v>
      </c>
      <c r="C175" s="271" t="str">
        <f>'8thMAY'!E175</f>
        <v/>
      </c>
      <c r="D175" s="191"/>
      <c r="E175" s="247"/>
      <c r="F175" s="235" t="s">
        <v>202</v>
      </c>
      <c r="G175" s="235"/>
      <c r="H175" s="272" t="str">
        <f>'8thMAY'!J175</f>
        <v/>
      </c>
      <c r="I175" s="281">
        <v>1.0</v>
      </c>
      <c r="J175" s="284"/>
      <c r="K175" s="283"/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'8thMAY'!E176</f>
        <v/>
      </c>
      <c r="D176" s="191"/>
      <c r="E176" s="247"/>
      <c r="F176" s="235" t="s">
        <v>202</v>
      </c>
      <c r="G176" s="235"/>
      <c r="H176" s="272">
        <f>'8thMAY'!J176</f>
        <v>1</v>
      </c>
      <c r="I176" s="281">
        <v>1.0</v>
      </c>
      <c r="J176" s="282">
        <v>1.0</v>
      </c>
      <c r="K176" s="283"/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0</v>
      </c>
      <c r="N176" s="191"/>
      <c r="O176" s="247"/>
    </row>
    <row r="177">
      <c r="A177" s="12" t="s">
        <v>205</v>
      </c>
      <c r="B177" s="12" t="s">
        <v>202</v>
      </c>
      <c r="C177" s="271" t="str">
        <f>'8thMAY'!E177</f>
        <v/>
      </c>
      <c r="D177" s="227">
        <v>5.0</v>
      </c>
      <c r="E177" s="247"/>
      <c r="F177" s="235" t="s">
        <v>202</v>
      </c>
      <c r="G177" s="235"/>
      <c r="H177" s="272" t="str">
        <f>'8thMAY'!J177</f>
        <v/>
      </c>
      <c r="I177" s="281">
        <v>1.0</v>
      </c>
      <c r="J177" s="282">
        <v>1.0</v>
      </c>
      <c r="K177" s="283"/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4</v>
      </c>
      <c r="N177" s="191"/>
      <c r="O177" s="247"/>
    </row>
    <row r="178">
      <c r="A178" s="12" t="s">
        <v>206</v>
      </c>
      <c r="B178" s="12" t="s">
        <v>207</v>
      </c>
      <c r="C178" s="271" t="str">
        <f>'8thMAY'!E178</f>
        <v/>
      </c>
      <c r="D178" s="227">
        <v>1.0</v>
      </c>
      <c r="E178" s="247"/>
      <c r="F178" s="235" t="s">
        <v>17</v>
      </c>
      <c r="G178" s="235"/>
      <c r="H178" s="272">
        <f>'8thMAY'!J178</f>
        <v>10</v>
      </c>
      <c r="I178" s="281">
        <v>1.0</v>
      </c>
      <c r="J178" s="282"/>
      <c r="K178" s="283"/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40</v>
      </c>
      <c r="N178" s="191"/>
      <c r="O178" s="247"/>
    </row>
    <row r="179">
      <c r="A179" s="12" t="s">
        <v>209</v>
      </c>
      <c r="B179" s="12" t="s">
        <v>17</v>
      </c>
      <c r="C179" s="271" t="str">
        <f>'8thMAY'!E179</f>
        <v/>
      </c>
      <c r="D179" s="191"/>
      <c r="E179" s="247"/>
      <c r="F179" s="235" t="s">
        <v>17</v>
      </c>
      <c r="G179" s="235"/>
      <c r="H179" s="272" t="str">
        <f>'8thMAY'!J179</f>
        <v/>
      </c>
      <c r="I179" s="281">
        <v>1.0</v>
      </c>
      <c r="J179" s="284"/>
      <c r="K179" s="283"/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'8thMAY'!E180</f>
        <v/>
      </c>
      <c r="D180" s="227">
        <v>1.0</v>
      </c>
      <c r="E180" s="247"/>
      <c r="F180" s="235" t="s">
        <v>202</v>
      </c>
      <c r="G180" s="285"/>
      <c r="H180" s="272">
        <f>'8thMAY'!J180</f>
        <v>1</v>
      </c>
      <c r="I180" s="281">
        <v>1.0</v>
      </c>
      <c r="J180" s="282"/>
      <c r="K180" s="283"/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2</v>
      </c>
      <c r="N180" s="191"/>
      <c r="O180" s="247"/>
    </row>
    <row r="181">
      <c r="A181" s="12" t="s">
        <v>211</v>
      </c>
      <c r="B181" s="12" t="s">
        <v>202</v>
      </c>
      <c r="C181" s="271" t="str">
        <f>'8thMAY'!E181</f>
        <v/>
      </c>
      <c r="D181" s="227"/>
      <c r="E181" s="247"/>
      <c r="F181" s="235" t="s">
        <v>202</v>
      </c>
      <c r="G181" s="235"/>
      <c r="H181" s="272">
        <f>'8thMAY'!J181</f>
        <v>1</v>
      </c>
      <c r="I181" s="281">
        <v>1.0</v>
      </c>
      <c r="J181" s="282">
        <v>1.0</v>
      </c>
      <c r="K181" s="283"/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71" t="str">
        <f>'8thMAY'!E182</f>
        <v/>
      </c>
      <c r="D182" s="191"/>
      <c r="E182" s="247"/>
      <c r="F182" s="235" t="s">
        <v>202</v>
      </c>
      <c r="G182" s="235"/>
      <c r="H182" s="272">
        <f>'8thMAY'!J182</f>
        <v>1</v>
      </c>
      <c r="I182" s="281">
        <v>1.0</v>
      </c>
      <c r="J182" s="282">
        <v>1.0</v>
      </c>
      <c r="K182" s="283"/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</v>
      </c>
      <c r="N182" s="191"/>
      <c r="O182" s="247"/>
    </row>
    <row r="183">
      <c r="A183" s="12" t="s">
        <v>213</v>
      </c>
      <c r="B183" s="12" t="s">
        <v>35</v>
      </c>
      <c r="C183" s="271" t="str">
        <f>'8thMAY'!E183</f>
        <v/>
      </c>
      <c r="D183" s="191"/>
      <c r="E183" s="247"/>
      <c r="F183" s="235" t="s">
        <v>35</v>
      </c>
      <c r="G183" s="235"/>
      <c r="H183" s="272" t="str">
        <f>'8thMAY'!J183</f>
        <v/>
      </c>
      <c r="I183" s="281">
        <v>1.0</v>
      </c>
      <c r="J183" s="284"/>
      <c r="K183" s="283"/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'8thMAY'!E184</f>
        <v/>
      </c>
      <c r="D184" s="227">
        <v>1.0</v>
      </c>
      <c r="E184" s="247"/>
      <c r="F184" s="235" t="s">
        <v>35</v>
      </c>
      <c r="G184" s="235"/>
      <c r="H184" s="272" t="str">
        <f>'8thMAY'!J184</f>
        <v/>
      </c>
      <c r="I184" s="281">
        <v>1.0</v>
      </c>
      <c r="J184" s="282">
        <v>0.157</v>
      </c>
      <c r="K184" s="283"/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0.093</v>
      </c>
      <c r="N184" s="191"/>
      <c r="O184" s="247"/>
    </row>
    <row r="185">
      <c r="A185" s="12" t="s">
        <v>215</v>
      </c>
      <c r="B185" s="12" t="s">
        <v>35</v>
      </c>
      <c r="C185" s="271" t="str">
        <f>'8thMAY'!E185</f>
        <v/>
      </c>
      <c r="D185" s="227">
        <v>1.0</v>
      </c>
      <c r="E185" s="247"/>
      <c r="F185" s="235" t="s">
        <v>35</v>
      </c>
      <c r="G185" s="235"/>
      <c r="H185" s="272" t="str">
        <f>'8thMAY'!J185</f>
        <v/>
      </c>
      <c r="I185" s="281">
        <v>1.0</v>
      </c>
      <c r="J185" s="282">
        <v>0.501</v>
      </c>
      <c r="K185" s="283"/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0.499</v>
      </c>
      <c r="N185" s="191"/>
      <c r="O185" s="247"/>
    </row>
    <row r="186">
      <c r="A186" s="12" t="s">
        <v>216</v>
      </c>
      <c r="B186" s="12" t="s">
        <v>17</v>
      </c>
      <c r="C186" s="271" t="str">
        <f>'8thMAY'!E186</f>
        <v/>
      </c>
      <c r="D186" s="227">
        <v>1.0</v>
      </c>
      <c r="E186" s="247"/>
      <c r="F186" s="235" t="s">
        <v>17</v>
      </c>
      <c r="G186" s="285">
        <v>0.25</v>
      </c>
      <c r="H186" s="272">
        <f>'8thMAY'!J186</f>
        <v>0.25</v>
      </c>
      <c r="I186" s="281">
        <v>1.0</v>
      </c>
      <c r="J186" s="282">
        <v>1.5</v>
      </c>
      <c r="K186" s="283"/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</v>
      </c>
      <c r="N186" s="191"/>
      <c r="O186" s="247"/>
    </row>
    <row r="187">
      <c r="A187" s="12" t="s">
        <v>217</v>
      </c>
      <c r="B187" s="12" t="s">
        <v>35</v>
      </c>
      <c r="C187" s="271" t="str">
        <f>'8thMAY'!E187</f>
        <v/>
      </c>
      <c r="D187" s="227">
        <v>1.5</v>
      </c>
      <c r="E187" s="247"/>
      <c r="F187" s="235" t="s">
        <v>35</v>
      </c>
      <c r="G187" s="235"/>
      <c r="H187" s="272" t="str">
        <f>'8thMAY'!J187</f>
        <v/>
      </c>
      <c r="I187" s="281">
        <v>1.0</v>
      </c>
      <c r="J187" s="282">
        <v>1.07</v>
      </c>
      <c r="K187" s="283"/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0.43</v>
      </c>
      <c r="N187" s="191"/>
      <c r="O187" s="247"/>
    </row>
    <row r="188">
      <c r="A188" s="12" t="s">
        <v>218</v>
      </c>
      <c r="B188" s="12" t="s">
        <v>17</v>
      </c>
      <c r="C188" s="271" t="str">
        <f>'8thMAY'!E188</f>
        <v/>
      </c>
      <c r="D188" s="227">
        <v>3.0</v>
      </c>
      <c r="E188" s="247"/>
      <c r="F188" s="235" t="s">
        <v>17</v>
      </c>
      <c r="G188" s="235"/>
      <c r="H188" s="272" t="str">
        <f>'8thMAY'!J188</f>
        <v/>
      </c>
      <c r="I188" s="281">
        <v>1.0</v>
      </c>
      <c r="J188" s="282">
        <v>3.0</v>
      </c>
      <c r="K188" s="283"/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0</v>
      </c>
      <c r="N188" s="191"/>
      <c r="O188" s="247"/>
    </row>
    <row r="189">
      <c r="A189" s="12" t="s">
        <v>220</v>
      </c>
      <c r="B189" s="12" t="s">
        <v>35</v>
      </c>
      <c r="C189" s="271" t="str">
        <f>'8thMAY'!E189</f>
        <v/>
      </c>
      <c r="D189" s="191"/>
      <c r="E189" s="247"/>
      <c r="F189" s="235" t="s">
        <v>35</v>
      </c>
      <c r="G189" s="235"/>
      <c r="H189" s="272" t="str">
        <f>'8thMAY'!J189</f>
        <v/>
      </c>
      <c r="I189" s="281">
        <v>1.0</v>
      </c>
      <c r="J189" s="284"/>
      <c r="K189" s="283"/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'8thMAY'!E190</f>
        <v/>
      </c>
      <c r="D190" s="227">
        <v>8.0</v>
      </c>
      <c r="E190" s="247"/>
      <c r="F190" s="235" t="s">
        <v>17</v>
      </c>
      <c r="G190" s="235"/>
      <c r="H190" s="272">
        <f>'8thMAY'!J190</f>
        <v>2</v>
      </c>
      <c r="I190" s="281">
        <v>1.0</v>
      </c>
      <c r="J190" s="282">
        <v>5.0</v>
      </c>
      <c r="K190" s="283"/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5</v>
      </c>
      <c r="N190" s="191"/>
      <c r="O190" s="247"/>
    </row>
    <row r="191">
      <c r="A191" s="12" t="s">
        <v>222</v>
      </c>
      <c r="B191" s="12" t="s">
        <v>17</v>
      </c>
      <c r="C191" s="271" t="str">
        <f>'8thMAY'!E191</f>
        <v/>
      </c>
      <c r="D191" s="191"/>
      <c r="E191" s="247"/>
      <c r="F191" s="235" t="s">
        <v>17</v>
      </c>
      <c r="G191" s="235"/>
      <c r="H191" s="272" t="str">
        <f>'8thMAY'!J191</f>
        <v/>
      </c>
      <c r="I191" s="281">
        <v>1.0</v>
      </c>
      <c r="J191" s="284"/>
      <c r="K191" s="283"/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'8thMAY'!E192</f>
        <v/>
      </c>
      <c r="D192" s="227">
        <v>3.0</v>
      </c>
      <c r="E192" s="247"/>
      <c r="F192" s="235" t="s">
        <v>17</v>
      </c>
      <c r="G192" s="235"/>
      <c r="H192" s="272" t="str">
        <f>'8thMAY'!J192</f>
        <v/>
      </c>
      <c r="I192" s="281">
        <v>1.0</v>
      </c>
      <c r="J192" s="282">
        <v>1.0</v>
      </c>
      <c r="K192" s="283"/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2</v>
      </c>
      <c r="N192" s="191"/>
      <c r="O192" s="247"/>
    </row>
    <row r="193">
      <c r="A193" s="12" t="s">
        <v>224</v>
      </c>
      <c r="B193" s="12" t="s">
        <v>202</v>
      </c>
      <c r="C193" s="271" t="str">
        <f>'8thMAY'!E193</f>
        <v/>
      </c>
      <c r="D193" s="227"/>
      <c r="E193" s="247"/>
      <c r="F193" s="235" t="s">
        <v>202</v>
      </c>
      <c r="G193" s="235"/>
      <c r="H193" s="272">
        <f>'8thMAY'!J193</f>
        <v>1</v>
      </c>
      <c r="I193" s="281">
        <v>1.0</v>
      </c>
      <c r="J193" s="282"/>
      <c r="K193" s="283"/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1</v>
      </c>
      <c r="N193" s="191"/>
      <c r="O193" s="247"/>
    </row>
    <row r="194">
      <c r="A194" s="12" t="s">
        <v>225</v>
      </c>
      <c r="B194" s="12" t="s">
        <v>35</v>
      </c>
      <c r="C194" s="271" t="str">
        <f>'8thMAY'!E194</f>
        <v/>
      </c>
      <c r="D194" s="191"/>
      <c r="E194" s="247"/>
      <c r="F194" s="235" t="s">
        <v>35</v>
      </c>
      <c r="G194" s="235"/>
      <c r="H194" s="272">
        <f>'8thMAY'!J194</f>
        <v>1</v>
      </c>
      <c r="I194" s="281">
        <v>1.0</v>
      </c>
      <c r="J194" s="282">
        <v>0.777</v>
      </c>
      <c r="K194" s="283"/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0.223</v>
      </c>
      <c r="N194" s="191"/>
      <c r="O194" s="247"/>
    </row>
    <row r="195">
      <c r="A195" s="12" t="s">
        <v>227</v>
      </c>
      <c r="B195" s="12" t="s">
        <v>35</v>
      </c>
      <c r="C195" s="271" t="str">
        <f>'8thMAY'!E195</f>
        <v/>
      </c>
      <c r="D195" s="191"/>
      <c r="E195" s="247"/>
      <c r="F195" s="235" t="s">
        <v>35</v>
      </c>
      <c r="G195" s="285"/>
      <c r="H195" s="272" t="str">
        <f>'8thMAY'!J195</f>
        <v/>
      </c>
      <c r="I195" s="281">
        <v>1.0</v>
      </c>
      <c r="J195" s="282"/>
      <c r="K195" s="283"/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</v>
      </c>
      <c r="N195" s="191"/>
      <c r="O195" s="247"/>
    </row>
    <row r="196">
      <c r="A196" s="12" t="s">
        <v>228</v>
      </c>
      <c r="B196" s="12" t="s">
        <v>155</v>
      </c>
      <c r="C196" s="271">
        <f>'8thMAY'!E196</f>
        <v>1</v>
      </c>
      <c r="D196" s="191"/>
      <c r="E196" s="280">
        <v>1.0</v>
      </c>
      <c r="F196" s="235" t="s">
        <v>35</v>
      </c>
      <c r="G196" s="235"/>
      <c r="H196" s="272">
        <v>0.11</v>
      </c>
      <c r="I196" s="281">
        <v>1.0</v>
      </c>
      <c r="J196" s="282">
        <v>0.099</v>
      </c>
      <c r="K196" s="283"/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0.011</v>
      </c>
      <c r="N196" s="191"/>
      <c r="O196" s="247"/>
    </row>
    <row r="197">
      <c r="A197" s="12" t="s">
        <v>229</v>
      </c>
      <c r="B197" s="12" t="s">
        <v>17</v>
      </c>
      <c r="C197" s="271" t="str">
        <f>'8thMAY'!E197</f>
        <v/>
      </c>
      <c r="D197" s="227">
        <v>2.0</v>
      </c>
      <c r="E197" s="247"/>
      <c r="F197" s="235" t="s">
        <v>17</v>
      </c>
      <c r="G197" s="235"/>
      <c r="H197" s="272">
        <f>'8thMAY'!J197</f>
        <v>0.5</v>
      </c>
      <c r="I197" s="281">
        <v>1.0</v>
      </c>
      <c r="J197" s="282"/>
      <c r="K197" s="283"/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2.5</v>
      </c>
      <c r="N197" s="191"/>
      <c r="O197" s="247"/>
    </row>
    <row r="198">
      <c r="A198" s="12" t="s">
        <v>231</v>
      </c>
      <c r="B198" s="12" t="s">
        <v>35</v>
      </c>
      <c r="C198" s="271" t="str">
        <f>'8thMAY'!E198</f>
        <v/>
      </c>
      <c r="D198" s="227">
        <v>0.8</v>
      </c>
      <c r="E198" s="247"/>
      <c r="F198" s="235" t="s">
        <v>35</v>
      </c>
      <c r="G198" s="235"/>
      <c r="H198" s="272" t="str">
        <f>'8thMAY'!J198</f>
        <v/>
      </c>
      <c r="I198" s="281">
        <v>1.0</v>
      </c>
      <c r="J198" s="282">
        <v>0.454</v>
      </c>
      <c r="K198" s="283"/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0.346</v>
      </c>
      <c r="N198" s="191"/>
      <c r="O198" s="247"/>
    </row>
    <row r="199">
      <c r="A199" s="12" t="s">
        <v>232</v>
      </c>
      <c r="B199" s="12" t="s">
        <v>202</v>
      </c>
      <c r="C199" s="271" t="str">
        <f>'8thMAY'!E199</f>
        <v/>
      </c>
      <c r="D199" s="191"/>
      <c r="E199" s="247"/>
      <c r="F199" s="235" t="s">
        <v>202</v>
      </c>
      <c r="G199" s="285"/>
      <c r="H199" s="272">
        <f>'8thMAY'!J199</f>
        <v>0.25</v>
      </c>
      <c r="I199" s="281">
        <v>1.0</v>
      </c>
      <c r="J199" s="282">
        <v>0.25</v>
      </c>
      <c r="K199" s="283"/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</v>
      </c>
      <c r="N199" s="191"/>
      <c r="O199" s="247"/>
    </row>
    <row r="200">
      <c r="A200" s="12" t="s">
        <v>233</v>
      </c>
      <c r="B200" s="12" t="s">
        <v>17</v>
      </c>
      <c r="C200" s="271" t="str">
        <f>'8thMAY'!E200</f>
        <v/>
      </c>
      <c r="D200" s="227">
        <v>1.0</v>
      </c>
      <c r="E200" s="280"/>
      <c r="F200" s="235" t="s">
        <v>234</v>
      </c>
      <c r="G200" s="285"/>
      <c r="H200" s="272">
        <v>1.25</v>
      </c>
      <c r="I200" s="281">
        <v>1.0</v>
      </c>
      <c r="J200" s="282">
        <v>2.25</v>
      </c>
      <c r="K200" s="283"/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0</v>
      </c>
      <c r="N200" s="191"/>
      <c r="O200" s="247"/>
    </row>
    <row r="201">
      <c r="A201" s="25" t="s">
        <v>235</v>
      </c>
      <c r="B201" s="26" t="s">
        <v>202</v>
      </c>
      <c r="C201" s="271" t="str">
        <f>'8thMAY'!E201</f>
        <v/>
      </c>
      <c r="D201" s="227"/>
      <c r="E201" s="247"/>
      <c r="F201" s="235" t="s">
        <v>202</v>
      </c>
      <c r="G201" s="285">
        <v>0.5</v>
      </c>
      <c r="H201" s="272">
        <f>'8thMAY'!J201</f>
        <v>0.5</v>
      </c>
      <c r="I201" s="281">
        <v>1.0</v>
      </c>
      <c r="J201" s="282">
        <v>1.0</v>
      </c>
      <c r="K201" s="283"/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</v>
      </c>
      <c r="N201" s="191"/>
      <c r="O201" s="247"/>
    </row>
    <row r="202">
      <c r="A202" s="25" t="s">
        <v>236</v>
      </c>
      <c r="B202" s="26" t="s">
        <v>237</v>
      </c>
      <c r="C202" s="271" t="str">
        <f>'8thMAY'!E202</f>
        <v/>
      </c>
      <c r="D202" s="191"/>
      <c r="E202" s="247"/>
      <c r="F202" s="235" t="s">
        <v>35</v>
      </c>
      <c r="G202" s="235"/>
      <c r="H202" s="272">
        <f>'8thMAY'!J202</f>
        <v>0.698</v>
      </c>
      <c r="I202" s="281">
        <v>1.0</v>
      </c>
      <c r="J202" s="282">
        <v>0.311</v>
      </c>
      <c r="K202" s="283"/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0.387</v>
      </c>
      <c r="N202" s="191"/>
      <c r="O202" s="247"/>
    </row>
    <row r="203">
      <c r="A203" s="25" t="s">
        <v>238</v>
      </c>
      <c r="B203" s="26" t="s">
        <v>202</v>
      </c>
      <c r="C203" s="271" t="str">
        <f>'8thMAY'!E203</f>
        <v/>
      </c>
      <c r="D203" s="227"/>
      <c r="E203" s="247"/>
      <c r="F203" s="235" t="s">
        <v>202</v>
      </c>
      <c r="G203" s="235"/>
      <c r="H203" s="272">
        <f>'8thMAY'!J203</f>
        <v>0.25</v>
      </c>
      <c r="I203" s="281">
        <v>1.0</v>
      </c>
      <c r="J203" s="282"/>
      <c r="K203" s="283"/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0.25</v>
      </c>
      <c r="N203" s="191"/>
      <c r="O203" s="247"/>
    </row>
    <row r="204">
      <c r="A204" s="25" t="s">
        <v>239</v>
      </c>
      <c r="B204" s="26" t="s">
        <v>35</v>
      </c>
      <c r="C204" s="271" t="str">
        <f>'8thMAY'!E204</f>
        <v/>
      </c>
      <c r="D204" s="191"/>
      <c r="E204" s="247"/>
      <c r="F204" s="235" t="s">
        <v>35</v>
      </c>
      <c r="G204" s="235"/>
      <c r="H204" s="272" t="str">
        <f>'8thMAY'!J204</f>
        <v/>
      </c>
      <c r="I204" s="281">
        <v>1.0</v>
      </c>
      <c r="J204" s="284"/>
      <c r="K204" s="283"/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'8thMAY'!E205</f>
        <v/>
      </c>
      <c r="D205" s="227">
        <v>2.0</v>
      </c>
      <c r="E205" s="247"/>
      <c r="F205" s="235" t="s">
        <v>17</v>
      </c>
      <c r="G205" s="235"/>
      <c r="H205" s="272">
        <f>'8thMAY'!J205</f>
        <v>2</v>
      </c>
      <c r="I205" s="281">
        <v>1.0</v>
      </c>
      <c r="J205" s="282">
        <v>2.0</v>
      </c>
      <c r="K205" s="283"/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2</v>
      </c>
      <c r="N205" s="191"/>
      <c r="O205" s="247"/>
    </row>
    <row r="206">
      <c r="A206" s="12" t="s">
        <v>242</v>
      </c>
      <c r="B206" s="12" t="s">
        <v>35</v>
      </c>
      <c r="C206" s="271" t="str">
        <f>'8thMAY'!E206</f>
        <v/>
      </c>
      <c r="D206" s="227"/>
      <c r="E206" s="247"/>
      <c r="F206" s="235" t="s">
        <v>35</v>
      </c>
      <c r="G206" s="235"/>
      <c r="H206" s="272">
        <f>'8thMAY'!J206</f>
        <v>160</v>
      </c>
      <c r="I206" s="281">
        <v>1.0</v>
      </c>
      <c r="J206" s="282">
        <v>85.0</v>
      </c>
      <c r="K206" s="283"/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75</v>
      </c>
      <c r="N206" s="191"/>
      <c r="O206" s="247"/>
    </row>
    <row r="207">
      <c r="A207" s="12" t="s">
        <v>243</v>
      </c>
      <c r="B207" s="12" t="s">
        <v>241</v>
      </c>
      <c r="C207" s="271">
        <f>'8thMAY'!E207</f>
        <v>5</v>
      </c>
      <c r="D207" s="227">
        <v>9.0</v>
      </c>
      <c r="E207" s="247"/>
      <c r="F207" s="235" t="s">
        <v>17</v>
      </c>
      <c r="G207" s="285"/>
      <c r="H207" s="272" t="str">
        <f>'8thMAY'!J207</f>
        <v/>
      </c>
      <c r="I207" s="281">
        <v>1.0</v>
      </c>
      <c r="J207" s="282"/>
      <c r="K207" s="283"/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14</v>
      </c>
      <c r="N207" s="191"/>
      <c r="O207" s="247"/>
    </row>
    <row r="208">
      <c r="A208" s="10" t="s">
        <v>245</v>
      </c>
      <c r="B208" s="11"/>
      <c r="C208" s="271" t="str">
        <f>'8thMAY'!E208</f>
        <v/>
      </c>
      <c r="D208" s="191"/>
      <c r="E208" s="247"/>
      <c r="F208" s="235"/>
      <c r="G208" s="235"/>
      <c r="H208" s="272" t="str">
        <f>'8thMAY'!J208</f>
        <v/>
      </c>
      <c r="I208" s="281">
        <v>1.0</v>
      </c>
      <c r="J208" s="284"/>
      <c r="K208" s="283"/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'8thMAY'!E209</f>
        <v/>
      </c>
      <c r="D209" s="227">
        <v>3.0</v>
      </c>
      <c r="E209" s="247"/>
      <c r="F209" s="235" t="s">
        <v>155</v>
      </c>
      <c r="G209" s="285"/>
      <c r="H209" s="272">
        <f>'8thMAY'!J209</f>
        <v>1</v>
      </c>
      <c r="I209" s="281">
        <v>1.0</v>
      </c>
      <c r="J209" s="282">
        <v>2.0</v>
      </c>
      <c r="K209" s="283"/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0.5</v>
      </c>
      <c r="N209" s="191"/>
      <c r="O209" s="247"/>
    </row>
    <row r="210">
      <c r="A210" s="12" t="s">
        <v>247</v>
      </c>
      <c r="B210" s="13" t="s">
        <v>59</v>
      </c>
      <c r="C210" s="271">
        <f>'8thMAY'!E210</f>
        <v>1</v>
      </c>
      <c r="D210" s="191"/>
      <c r="E210" s="280"/>
      <c r="F210" s="235" t="s">
        <v>35</v>
      </c>
      <c r="G210" s="235"/>
      <c r="H210" s="272" t="str">
        <f>'8thMAY'!J210</f>
        <v/>
      </c>
      <c r="I210" s="281">
        <v>1.0</v>
      </c>
      <c r="J210" s="282"/>
      <c r="K210" s="283"/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0.5</v>
      </c>
      <c r="N210" s="191"/>
      <c r="O210" s="247"/>
    </row>
    <row r="211">
      <c r="A211" s="12" t="s">
        <v>248</v>
      </c>
      <c r="B211" s="13" t="s">
        <v>59</v>
      </c>
      <c r="C211" s="271">
        <f>'8thMAY'!E211</f>
        <v>1</v>
      </c>
      <c r="D211" s="191"/>
      <c r="E211" s="280">
        <v>1.0</v>
      </c>
      <c r="F211" s="235" t="s">
        <v>35</v>
      </c>
      <c r="G211" s="235"/>
      <c r="H211" s="272" t="str">
        <f>'8thMAY'!J211</f>
        <v/>
      </c>
      <c r="I211" s="281">
        <v>1.0</v>
      </c>
      <c r="J211" s="284"/>
      <c r="K211" s="283"/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247"/>
    </row>
    <row r="212">
      <c r="A212" s="12" t="s">
        <v>250</v>
      </c>
      <c r="B212" s="13" t="s">
        <v>59</v>
      </c>
      <c r="C212" s="271" t="str">
        <f>'8thMAY'!E212</f>
        <v/>
      </c>
      <c r="D212" s="191"/>
      <c r="E212" s="280"/>
      <c r="F212" s="235" t="s">
        <v>35</v>
      </c>
      <c r="G212" s="235"/>
      <c r="H212" s="272">
        <f>'8thMAY'!J212</f>
        <v>0.227</v>
      </c>
      <c r="I212" s="281">
        <v>1.0</v>
      </c>
      <c r="J212" s="282">
        <v>0.045</v>
      </c>
      <c r="K212" s="283"/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0.182</v>
      </c>
      <c r="N212" s="191"/>
      <c r="O212" s="247"/>
    </row>
    <row r="213">
      <c r="A213" s="12" t="s">
        <v>251</v>
      </c>
      <c r="B213" s="13" t="s">
        <v>34</v>
      </c>
      <c r="C213" s="271" t="str">
        <f>'8thMAY'!E213</f>
        <v/>
      </c>
      <c r="D213" s="191"/>
      <c r="E213" s="247"/>
      <c r="F213" s="235" t="s">
        <v>35</v>
      </c>
      <c r="G213" s="235"/>
      <c r="H213" s="272" t="str">
        <f>'8thMAY'!J213</f>
        <v/>
      </c>
      <c r="I213" s="281">
        <v>1.0</v>
      </c>
      <c r="J213" s="284"/>
      <c r="K213" s="283"/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'8thMAY'!E214</f>
        <v/>
      </c>
      <c r="D214" s="191"/>
      <c r="E214" s="247"/>
      <c r="F214" s="235"/>
      <c r="G214" s="235"/>
      <c r="H214" s="272" t="str">
        <f>'8thMAY'!J214</f>
        <v/>
      </c>
      <c r="I214" s="281">
        <v>1.0</v>
      </c>
      <c r="J214" s="284"/>
      <c r="K214" s="283"/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'8thMAY'!E215</f>
        <v/>
      </c>
      <c r="D215" s="191"/>
      <c r="E215" s="247"/>
      <c r="F215" s="235" t="s">
        <v>254</v>
      </c>
      <c r="G215" s="235"/>
      <c r="H215" s="272" t="str">
        <f>'8thMAY'!J215</f>
        <v/>
      </c>
      <c r="I215" s="281">
        <v>1.0</v>
      </c>
      <c r="J215" s="284"/>
      <c r="K215" s="283"/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'8thMAY'!E216</f>
        <v/>
      </c>
      <c r="D216" s="191"/>
      <c r="E216" s="247"/>
      <c r="F216" s="235" t="s">
        <v>234</v>
      </c>
      <c r="G216" s="235"/>
      <c r="H216" s="272" t="str">
        <f>'8thMAY'!J216</f>
        <v/>
      </c>
      <c r="I216" s="281">
        <v>1.0</v>
      </c>
      <c r="J216" s="284"/>
      <c r="K216" s="283"/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'8thMAY'!E217</f>
        <v/>
      </c>
      <c r="D217" s="227"/>
      <c r="E217" s="247"/>
      <c r="F217" s="235" t="s">
        <v>17</v>
      </c>
      <c r="G217" s="235"/>
      <c r="H217" s="272">
        <f>'8thMAY'!J217</f>
        <v>21</v>
      </c>
      <c r="I217" s="281">
        <v>1.0</v>
      </c>
      <c r="J217" s="282">
        <v>21.0</v>
      </c>
      <c r="K217" s="283"/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0</v>
      </c>
      <c r="N217" s="191"/>
      <c r="O217" s="247"/>
    </row>
    <row r="218">
      <c r="A218" s="12" t="s">
        <v>260</v>
      </c>
      <c r="B218" s="12" t="s">
        <v>261</v>
      </c>
      <c r="C218" s="271" t="str">
        <f>'8thMAY'!E218</f>
        <v/>
      </c>
      <c r="D218" s="191"/>
      <c r="E218" s="247"/>
      <c r="F218" s="235" t="s">
        <v>35</v>
      </c>
      <c r="G218" s="235"/>
      <c r="H218" s="272">
        <f>'8thMAY'!J218</f>
        <v>4.217</v>
      </c>
      <c r="I218" s="281">
        <v>1.0</v>
      </c>
      <c r="J218" s="282">
        <v>3.585</v>
      </c>
      <c r="K218" s="283"/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0.632</v>
      </c>
      <c r="N218" s="191"/>
      <c r="O218" s="247"/>
    </row>
    <row r="219">
      <c r="A219" s="12" t="s">
        <v>263</v>
      </c>
      <c r="B219" s="12" t="s">
        <v>17</v>
      </c>
      <c r="C219" s="271" t="str">
        <f>'8thMAY'!E219</f>
        <v/>
      </c>
      <c r="D219" s="227">
        <v>50.0</v>
      </c>
      <c r="E219" s="247"/>
      <c r="F219" s="235" t="s">
        <v>17</v>
      </c>
      <c r="G219" s="235"/>
      <c r="H219" s="272">
        <f>'8thMAY'!J219</f>
        <v>38</v>
      </c>
      <c r="I219" s="281">
        <v>1.0</v>
      </c>
      <c r="J219" s="282">
        <v>49.0</v>
      </c>
      <c r="K219" s="283"/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39</v>
      </c>
      <c r="N219" s="191"/>
      <c r="O219" s="247"/>
    </row>
    <row r="220">
      <c r="A220" s="12" t="s">
        <v>264</v>
      </c>
      <c r="B220" s="12" t="s">
        <v>261</v>
      </c>
      <c r="C220" s="271" t="str">
        <f>'8thMAY'!E220</f>
        <v/>
      </c>
      <c r="D220" s="191"/>
      <c r="E220" s="247"/>
      <c r="F220" s="235" t="s">
        <v>35</v>
      </c>
      <c r="G220" s="235"/>
      <c r="H220" s="272">
        <f>'8thMAY'!J220</f>
        <v>1.638</v>
      </c>
      <c r="I220" s="281">
        <v>1.0</v>
      </c>
      <c r="J220" s="282">
        <v>1.495</v>
      </c>
      <c r="K220" s="283"/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0.143</v>
      </c>
      <c r="N220" s="191"/>
      <c r="O220" s="247"/>
    </row>
    <row r="221">
      <c r="A221" s="12" t="s">
        <v>265</v>
      </c>
      <c r="B221" s="12" t="s">
        <v>40</v>
      </c>
      <c r="C221" s="271" t="str">
        <f>'8thMAY'!E221</f>
        <v/>
      </c>
      <c r="D221" s="227">
        <v>2.0</v>
      </c>
      <c r="E221" s="247"/>
      <c r="F221" s="235" t="s">
        <v>17</v>
      </c>
      <c r="G221" s="235"/>
      <c r="H221" s="272">
        <f>'8thMAY'!J221</f>
        <v>31</v>
      </c>
      <c r="I221" s="281">
        <v>1.0</v>
      </c>
      <c r="J221" s="282">
        <v>53.0</v>
      </c>
      <c r="K221" s="283"/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28</v>
      </c>
      <c r="N221" s="191"/>
      <c r="O221" s="247"/>
    </row>
    <row r="222">
      <c r="A222" s="12" t="s">
        <v>266</v>
      </c>
      <c r="B222" s="12" t="s">
        <v>267</v>
      </c>
      <c r="C222" s="271" t="str">
        <f>'8thMAY'!E222</f>
        <v/>
      </c>
      <c r="D222" s="191"/>
      <c r="E222" s="247"/>
      <c r="F222" s="235" t="s">
        <v>17</v>
      </c>
      <c r="G222" s="235"/>
      <c r="H222" s="272">
        <f>'8thMAY'!J222</f>
        <v>33</v>
      </c>
      <c r="I222" s="281">
        <v>1.0</v>
      </c>
      <c r="J222" s="282">
        <v>11.0</v>
      </c>
      <c r="K222" s="283"/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22</v>
      </c>
      <c r="N222" s="191"/>
      <c r="O222" s="247"/>
    </row>
    <row r="223">
      <c r="A223" s="12" t="s">
        <v>268</v>
      </c>
      <c r="B223" s="12" t="s">
        <v>40</v>
      </c>
      <c r="C223" s="271" t="str">
        <f>'8thMAY'!E223</f>
        <v/>
      </c>
      <c r="D223" s="191"/>
      <c r="E223" s="247"/>
      <c r="F223" s="235" t="s">
        <v>17</v>
      </c>
      <c r="G223" s="235"/>
      <c r="H223" s="272">
        <f>'8thMAY'!J223</f>
        <v>19</v>
      </c>
      <c r="I223" s="281">
        <v>1.0</v>
      </c>
      <c r="J223" s="282">
        <v>8.0</v>
      </c>
      <c r="K223" s="283"/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11</v>
      </c>
      <c r="N223" s="191"/>
      <c r="O223" s="247"/>
    </row>
    <row r="224">
      <c r="A224" s="12" t="s">
        <v>269</v>
      </c>
      <c r="B224" s="294" t="s">
        <v>40</v>
      </c>
      <c r="C224" s="271" t="str">
        <f>'8thMAY'!E224</f>
        <v/>
      </c>
      <c r="D224" s="227">
        <v>1.0</v>
      </c>
      <c r="E224" s="191"/>
      <c r="F224" s="191" t="s">
        <v>17</v>
      </c>
      <c r="G224" s="191"/>
      <c r="H224" s="272">
        <f>'8thMAY'!J224</f>
        <v>21</v>
      </c>
      <c r="I224" s="281">
        <v>1.0</v>
      </c>
      <c r="J224" s="227">
        <v>42.0</v>
      </c>
      <c r="K224" s="283"/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29</v>
      </c>
      <c r="N224" s="191"/>
      <c r="O224" s="247"/>
    </row>
    <row r="225">
      <c r="A225" s="12" t="s">
        <v>270</v>
      </c>
      <c r="B225" s="294" t="s">
        <v>40</v>
      </c>
      <c r="C225" s="271" t="str">
        <f>'8thMAY'!E225</f>
        <v/>
      </c>
      <c r="D225" s="227">
        <v>1.0</v>
      </c>
      <c r="E225" s="227">
        <v>1.0</v>
      </c>
      <c r="F225" s="191" t="s">
        <v>17</v>
      </c>
      <c r="G225" s="191"/>
      <c r="H225" s="272">
        <f>'8thMAY'!J225</f>
        <v>27</v>
      </c>
      <c r="I225" s="281">
        <v>1.0</v>
      </c>
      <c r="J225" s="227">
        <v>19.0</v>
      </c>
      <c r="K225" s="283"/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8</v>
      </c>
      <c r="N225" s="191"/>
      <c r="O225" s="247"/>
    </row>
    <row r="226">
      <c r="A226" s="12" t="s">
        <v>271</v>
      </c>
      <c r="B226" s="294" t="s">
        <v>40</v>
      </c>
      <c r="C226" s="271" t="str">
        <f>'8thMAY'!E226</f>
        <v/>
      </c>
      <c r="D226" s="227"/>
      <c r="E226" s="191"/>
      <c r="F226" s="191" t="s">
        <v>17</v>
      </c>
      <c r="G226" s="191"/>
      <c r="H226" s="272">
        <f>'8thMAY'!J226</f>
        <v>58</v>
      </c>
      <c r="I226" s="281">
        <v>1.0</v>
      </c>
      <c r="J226" s="227">
        <v>21.0</v>
      </c>
      <c r="K226" s="283"/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37</v>
      </c>
      <c r="N226" s="191"/>
      <c r="O226" s="247"/>
    </row>
    <row r="227">
      <c r="A227" s="12" t="s">
        <v>272</v>
      </c>
      <c r="B227" s="294" t="s">
        <v>40</v>
      </c>
      <c r="C227" s="271" t="str">
        <f>'8thMAY'!E227</f>
        <v/>
      </c>
      <c r="D227" s="297"/>
      <c r="E227" s="296"/>
      <c r="F227" s="296" t="s">
        <v>17</v>
      </c>
      <c r="G227" s="297">
        <v>2.0</v>
      </c>
      <c r="H227" s="272">
        <f>'8thMAY'!J227</f>
        <v>13</v>
      </c>
      <c r="I227" s="281">
        <v>1.0</v>
      </c>
      <c r="J227" s="297">
        <v>15.0</v>
      </c>
      <c r="K227" s="283"/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0</v>
      </c>
      <c r="N227" s="296"/>
      <c r="O227" s="299"/>
    </row>
    <row r="228">
      <c r="A228" s="23"/>
      <c r="B228" s="11"/>
      <c r="C228" s="271" t="str">
        <f>'8thMAY'!E228</f>
        <v/>
      </c>
      <c r="D228" s="11"/>
      <c r="E228" s="11"/>
      <c r="F228" s="11"/>
      <c r="G228" s="23"/>
      <c r="H228" s="272" t="str">
        <f>'8thMAY'!J228</f>
        <v/>
      </c>
      <c r="I228" s="28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'8thMAY'!E229</f>
        <v/>
      </c>
      <c r="D229" s="11"/>
      <c r="E229" s="11"/>
      <c r="F229" s="11"/>
      <c r="G229" s="11"/>
      <c r="H229" s="272" t="str">
        <f>'8thMAY'!J229</f>
        <v/>
      </c>
      <c r="I229" s="281"/>
      <c r="J229" s="11"/>
      <c r="K229" s="11"/>
      <c r="L229" s="11"/>
      <c r="M229" s="11"/>
      <c r="N229" s="11"/>
      <c r="O229" s="11"/>
    </row>
    <row r="230">
      <c r="A230" s="11"/>
      <c r="B230" s="11"/>
      <c r="C230" s="271" t="str">
        <f>'8thMAY'!E230</f>
        <v/>
      </c>
      <c r="D230" s="11"/>
      <c r="E230" s="11"/>
      <c r="F230" s="11"/>
      <c r="G230" s="11"/>
      <c r="H230" s="272" t="str">
        <f>'8thMAY'!J230</f>
        <v/>
      </c>
      <c r="I230" s="281"/>
      <c r="J230" s="11"/>
      <c r="K230" s="11"/>
      <c r="L230" s="11"/>
      <c r="M230" s="11"/>
      <c r="N230" s="11"/>
      <c r="O230" s="11"/>
    </row>
    <row r="231">
      <c r="A231" s="11"/>
      <c r="B231" s="11"/>
      <c r="C231" s="271" t="str">
        <f>'8thMAY'!E231</f>
        <v/>
      </c>
      <c r="D231" s="11"/>
      <c r="E231" s="11"/>
      <c r="F231" s="11"/>
      <c r="G231" s="11"/>
      <c r="H231" s="272" t="str">
        <f>'8thMAY'!J231</f>
        <v/>
      </c>
      <c r="I231" s="281"/>
      <c r="J231" s="11"/>
      <c r="K231" s="11"/>
      <c r="L231" s="11"/>
      <c r="M231" s="11"/>
      <c r="N231" s="11"/>
      <c r="O231" s="11"/>
    </row>
    <row r="232">
      <c r="A232" s="11"/>
      <c r="B232" s="11"/>
      <c r="C232" s="271" t="str">
        <f>'8thMAY'!E232</f>
        <v/>
      </c>
      <c r="D232" s="11"/>
      <c r="E232" s="11"/>
      <c r="F232" s="11"/>
      <c r="G232" s="11"/>
      <c r="H232" s="272" t="str">
        <f>'8thMAY'!J232</f>
        <v/>
      </c>
      <c r="I232" s="281"/>
      <c r="J232" s="11"/>
      <c r="K232" s="11"/>
      <c r="L232" s="11"/>
      <c r="M232" s="11"/>
      <c r="N232" s="11"/>
      <c r="O232" s="11"/>
    </row>
    <row r="233">
      <c r="A233" s="11"/>
      <c r="B233" s="11"/>
      <c r="C233" s="271" t="str">
        <f>'8thMAY'!E233</f>
        <v/>
      </c>
      <c r="D233" s="11"/>
      <c r="E233" s="11"/>
      <c r="F233" s="11"/>
      <c r="G233" s="11"/>
      <c r="H233" s="272" t="str">
        <f>'8thMAY'!J233</f>
        <v/>
      </c>
      <c r="I233" s="281"/>
      <c r="J233" s="11"/>
      <c r="K233" s="11"/>
      <c r="L233" s="11"/>
      <c r="M233" s="11"/>
      <c r="N233" s="11"/>
      <c r="O233" s="11"/>
    </row>
    <row r="234">
      <c r="A234" s="11"/>
      <c r="B234" s="11"/>
      <c r="C234" s="271" t="str">
        <f>'8thMAY'!E234</f>
        <v/>
      </c>
      <c r="D234" s="11"/>
      <c r="E234" s="11"/>
      <c r="F234" s="11"/>
      <c r="G234" s="11"/>
      <c r="H234" s="272" t="str">
        <f>'8thMAY'!J234</f>
        <v/>
      </c>
      <c r="I234" s="281"/>
      <c r="J234" s="11"/>
      <c r="K234" s="11"/>
      <c r="L234" s="11"/>
      <c r="M234" s="11"/>
      <c r="N234" s="11"/>
      <c r="O234" s="11"/>
    </row>
    <row r="235">
      <c r="A235" s="11"/>
      <c r="B235" s="11"/>
      <c r="C235" s="271" t="str">
        <f>'8thMAY'!E235</f>
        <v/>
      </c>
      <c r="D235" s="11"/>
      <c r="E235" s="11"/>
      <c r="F235" s="11"/>
      <c r="G235" s="11"/>
      <c r="H235" s="272" t="str">
        <f>'8thMAY'!J235</f>
        <v/>
      </c>
      <c r="I235" s="281"/>
      <c r="J235" s="11"/>
      <c r="K235" s="11"/>
      <c r="L235" s="11"/>
      <c r="M235" s="11"/>
      <c r="N235" s="11"/>
      <c r="O235" s="11"/>
    </row>
    <row r="236">
      <c r="A236" s="11"/>
      <c r="B236" s="11"/>
      <c r="C236" s="271" t="str">
        <f>'8thMAY'!E236</f>
        <v/>
      </c>
      <c r="D236" s="11"/>
      <c r="E236" s="11"/>
      <c r="F236" s="11"/>
      <c r="G236" s="11"/>
      <c r="H236" s="272" t="str">
        <f>'8thMAY'!J236</f>
        <v/>
      </c>
      <c r="I236" s="281"/>
      <c r="J236" s="11"/>
      <c r="K236" s="11"/>
      <c r="L236" s="11"/>
      <c r="M236" s="11"/>
      <c r="N236" s="11"/>
      <c r="O236" s="11"/>
    </row>
    <row r="237">
      <c r="A237" s="11"/>
      <c r="B237" s="11"/>
      <c r="C237" s="271" t="str">
        <f>'8thMAY'!E237</f>
        <v/>
      </c>
      <c r="D237" s="11"/>
      <c r="E237" s="11"/>
      <c r="F237" s="11"/>
      <c r="G237" s="11"/>
      <c r="H237" s="272" t="str">
        <f>'8thMAY'!J237</f>
        <v/>
      </c>
      <c r="I237" s="281"/>
      <c r="J237" s="11"/>
      <c r="K237" s="11"/>
      <c r="L237" s="11"/>
      <c r="M237" s="11"/>
      <c r="N237" s="11"/>
      <c r="O237" s="11"/>
    </row>
    <row r="238">
      <c r="A238" s="11"/>
      <c r="B238" s="11"/>
      <c r="C238" s="271" t="str">
        <f>'8thMAY'!E238</f>
        <v/>
      </c>
      <c r="D238" s="11"/>
      <c r="E238" s="11"/>
      <c r="F238" s="11"/>
      <c r="G238" s="11"/>
      <c r="H238" s="272" t="str">
        <f>'8thMAY'!J238</f>
        <v/>
      </c>
      <c r="I238" s="281"/>
      <c r="J238" s="11"/>
      <c r="K238" s="11"/>
      <c r="L238" s="11"/>
      <c r="M238" s="11"/>
      <c r="N238" s="11"/>
      <c r="O238" s="11"/>
    </row>
    <row r="239">
      <c r="A239" s="11"/>
      <c r="B239" s="11"/>
      <c r="C239" s="271" t="str">
        <f>'8thMAY'!E239</f>
        <v/>
      </c>
      <c r="D239" s="11"/>
      <c r="E239" s="11"/>
      <c r="F239" s="11"/>
      <c r="G239" s="11"/>
      <c r="H239" s="272" t="str">
        <f>'8thMAY'!J239</f>
        <v/>
      </c>
      <c r="I239" s="281"/>
      <c r="J239" s="11"/>
      <c r="K239" s="11"/>
      <c r="L239" s="11"/>
      <c r="M239" s="11"/>
      <c r="N239" s="11"/>
      <c r="O239" s="11"/>
    </row>
    <row r="240">
      <c r="A240" s="11"/>
      <c r="B240" s="11"/>
      <c r="C240" s="271" t="str">
        <f>'8thMAY'!E240</f>
        <v/>
      </c>
      <c r="D240" s="11"/>
      <c r="E240" s="11"/>
      <c r="F240" s="11"/>
      <c r="G240" s="11"/>
      <c r="H240" s="272" t="str">
        <f>'8thMAY'!J240</f>
        <v/>
      </c>
      <c r="I240" s="281"/>
      <c r="J240" s="11"/>
      <c r="K240" s="11"/>
      <c r="L240" s="11"/>
      <c r="M240" s="11"/>
      <c r="N240" s="11"/>
      <c r="O240" s="11"/>
    </row>
    <row r="241">
      <c r="A241" s="11"/>
      <c r="B241" s="11"/>
      <c r="C241" s="271" t="str">
        <f>'8thMAY'!E241</f>
        <v/>
      </c>
      <c r="D241" s="11"/>
      <c r="E241" s="11"/>
      <c r="F241" s="11"/>
      <c r="G241" s="11"/>
      <c r="H241" s="272" t="str">
        <f>'8thMAY'!J241</f>
        <v/>
      </c>
      <c r="I241" s="281"/>
      <c r="J241" s="11"/>
      <c r="K241" s="11"/>
      <c r="L241" s="11"/>
      <c r="M241" s="11"/>
      <c r="N241" s="11"/>
      <c r="O241" s="11"/>
    </row>
    <row r="242">
      <c r="A242" s="11"/>
      <c r="B242" s="11"/>
      <c r="C242" s="271" t="str">
        <f>'8thMAY'!E242</f>
        <v/>
      </c>
      <c r="D242" s="11"/>
      <c r="E242" s="11"/>
      <c r="F242" s="11"/>
      <c r="G242" s="11"/>
      <c r="H242" s="272" t="str">
        <f>'8thMAY'!J242</f>
        <v/>
      </c>
      <c r="I242" s="281"/>
      <c r="J242" s="11"/>
      <c r="K242" s="11"/>
      <c r="L242" s="11"/>
      <c r="M242" s="11"/>
      <c r="N242" s="11"/>
      <c r="O242" s="11"/>
    </row>
    <row r="243">
      <c r="A243" s="11"/>
      <c r="B243" s="11"/>
      <c r="C243" s="271" t="str">
        <f>'8thMAY'!E243</f>
        <v/>
      </c>
      <c r="D243" s="11"/>
      <c r="E243" s="11"/>
      <c r="F243" s="11"/>
      <c r="G243" s="11"/>
      <c r="H243" s="272" t="str">
        <f>'8thMAY'!J243</f>
        <v/>
      </c>
      <c r="I243" s="281"/>
      <c r="J243" s="11"/>
      <c r="K243" s="11"/>
      <c r="L243" s="11"/>
      <c r="M243" s="11"/>
      <c r="N243" s="11"/>
      <c r="O243" s="11"/>
    </row>
    <row r="244">
      <c r="A244" s="11"/>
      <c r="B244" s="11"/>
      <c r="C244" s="271" t="str">
        <f>'8thMAY'!E244</f>
        <v/>
      </c>
      <c r="D244" s="11"/>
      <c r="E244" s="11"/>
      <c r="F244" s="11"/>
      <c r="G244" s="11"/>
      <c r="H244" s="272" t="str">
        <f>'8thMAY'!J244</f>
        <v/>
      </c>
      <c r="I244" s="281"/>
      <c r="J244" s="11"/>
      <c r="K244" s="11"/>
      <c r="L244" s="11"/>
      <c r="M244" s="11"/>
      <c r="N244" s="11"/>
      <c r="O244" s="11"/>
    </row>
    <row r="245">
      <c r="A245" s="11"/>
      <c r="B245" s="11"/>
      <c r="C245" s="271" t="str">
        <f>'8thMAY'!E245</f>
        <v/>
      </c>
      <c r="D245" s="11"/>
      <c r="E245" s="11"/>
      <c r="F245" s="11"/>
      <c r="G245" s="11"/>
      <c r="H245" s="272" t="str">
        <f>'8thMAY'!J245</f>
        <v/>
      </c>
      <c r="I245" s="281"/>
      <c r="J245" s="11"/>
      <c r="K245" s="11"/>
      <c r="L245" s="11"/>
      <c r="M245" s="11"/>
      <c r="N245" s="11"/>
      <c r="O245" s="11"/>
    </row>
    <row r="246">
      <c r="A246" s="11"/>
      <c r="B246" s="11"/>
      <c r="C246" s="271" t="str">
        <f>'8thMAY'!E246</f>
        <v/>
      </c>
      <c r="D246" s="11"/>
      <c r="E246" s="11"/>
      <c r="F246" s="11"/>
      <c r="G246" s="11"/>
      <c r="H246" s="272" t="str">
        <f>'8thMAY'!J246</f>
        <v/>
      </c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271" t="str">
        <f>'8thMAY'!E247</f>
        <v/>
      </c>
      <c r="D247" s="11"/>
      <c r="E247" s="11"/>
      <c r="F247" s="11"/>
      <c r="G247" s="11"/>
      <c r="H247" s="272" t="str">
        <f>'8thMAY'!J247</f>
        <v/>
      </c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271" t="str">
        <f>'8thMAY'!E248</f>
        <v/>
      </c>
      <c r="D248" s="11"/>
      <c r="E248" s="11"/>
      <c r="F248" s="11"/>
      <c r="G248" s="11"/>
      <c r="H248" s="272" t="str">
        <f>'8thMAY'!J248</f>
        <v/>
      </c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271" t="str">
        <f>'8thMAY'!E249</f>
        <v/>
      </c>
      <c r="D249" s="11"/>
      <c r="E249" s="11"/>
      <c r="F249" s="11"/>
      <c r="G249" s="11"/>
      <c r="H249" s="272" t="str">
        <f>'8thMAY'!J249</f>
        <v/>
      </c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271" t="str">
        <f>'8thMAY'!E250</f>
        <v/>
      </c>
      <c r="D250" s="11"/>
      <c r="E250" s="11"/>
      <c r="F250" s="11"/>
      <c r="G250" s="11"/>
      <c r="H250" s="272" t="str">
        <f>'8thMAY'!J250</f>
        <v/>
      </c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271" t="str">
        <f>'8thMAY'!E251</f>
        <v/>
      </c>
      <c r="D251" s="11"/>
      <c r="E251" s="11"/>
      <c r="F251" s="11"/>
      <c r="G251" s="11"/>
      <c r="H251" s="272" t="str">
        <f>'8thMAY'!J251</f>
        <v/>
      </c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271" t="str">
        <f>'8thMAY'!E252</f>
        <v/>
      </c>
      <c r="D252" s="11"/>
      <c r="E252" s="11"/>
      <c r="F252" s="11"/>
      <c r="G252" s="11"/>
      <c r="H252" s="272" t="str">
        <f>'8thMAY'!J252</f>
        <v/>
      </c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271" t="str">
        <f>'8thMAY'!E253</f>
        <v/>
      </c>
      <c r="D253" s="11"/>
      <c r="E253" s="11"/>
      <c r="F253" s="11"/>
      <c r="G253" s="11"/>
      <c r="H253" s="272" t="str">
        <f>'8thMAY'!J253</f>
        <v/>
      </c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271" t="str">
        <f>'8thMAY'!E254</f>
        <v/>
      </c>
      <c r="D254" s="11"/>
      <c r="E254" s="11"/>
      <c r="F254" s="11"/>
      <c r="G254" s="11"/>
      <c r="H254" s="272" t="str">
        <f>'8thMAY'!J254</f>
        <v/>
      </c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271" t="str">
        <f>'8thMAY'!E255</f>
        <v/>
      </c>
      <c r="D255" s="11"/>
      <c r="E255" s="11"/>
      <c r="F255" s="11"/>
      <c r="G255" s="11"/>
      <c r="H255" s="272" t="str">
        <f>'8thMAY'!J255</f>
        <v/>
      </c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271" t="str">
        <f>'8thMAY'!E256</f>
        <v/>
      </c>
      <c r="D256" s="11"/>
      <c r="E256" s="11"/>
      <c r="F256" s="11"/>
      <c r="G256" s="11"/>
      <c r="H256" s="272" t="str">
        <f>'8thMAY'!J256</f>
        <v/>
      </c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271" t="str">
        <f>'8thMAY'!E257</f>
        <v/>
      </c>
      <c r="D257" s="11"/>
      <c r="E257" s="11"/>
      <c r="F257" s="11"/>
      <c r="G257" s="11"/>
      <c r="H257" s="272" t="str">
        <f>'8thMAY'!J257</f>
        <v/>
      </c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271" t="str">
        <f>'8thMAY'!E258</f>
        <v/>
      </c>
      <c r="D258" s="11"/>
      <c r="E258" s="11"/>
      <c r="F258" s="11"/>
      <c r="G258" s="11"/>
      <c r="H258" s="272" t="str">
        <f>'8thMAY'!J258</f>
        <v/>
      </c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271" t="str">
        <f>'8thMAY'!E259</f>
        <v/>
      </c>
      <c r="D259" s="11"/>
      <c r="E259" s="11"/>
      <c r="F259" s="11"/>
      <c r="G259" s="11"/>
      <c r="H259" s="272" t="str">
        <f>'8thMAY'!J259</f>
        <v/>
      </c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271" t="str">
        <f>'8thMAY'!E260</f>
        <v/>
      </c>
      <c r="D260" s="11"/>
      <c r="E260" s="11"/>
      <c r="F260" s="11"/>
      <c r="G260" s="11"/>
      <c r="H260" s="272" t="str">
        <f>'8thMAY'!J260</f>
        <v/>
      </c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271" t="str">
        <f>'8thMAY'!E261</f>
        <v/>
      </c>
      <c r="D261" s="11"/>
      <c r="E261" s="11"/>
      <c r="F261" s="11"/>
      <c r="G261" s="11"/>
      <c r="H261" s="272" t="str">
        <f>'8thMAY'!J261</f>
        <v/>
      </c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271" t="str">
        <f>'8thMAY'!E262</f>
        <v/>
      </c>
      <c r="D262" s="11"/>
      <c r="E262" s="11"/>
      <c r="F262" s="11"/>
      <c r="G262" s="11"/>
      <c r="H262" s="272" t="str">
        <f>'8thMAY'!J262</f>
        <v/>
      </c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272" t="str">
        <f>'8thMAY'!J263</f>
        <v/>
      </c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272" t="str">
        <f>'8thMAY'!J264</f>
        <v/>
      </c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272" t="str">
        <f>'8thMAY'!J265</f>
        <v/>
      </c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272" t="str">
        <f>'8thMAY'!J266</f>
        <v/>
      </c>
      <c r="I266" s="11"/>
      <c r="J266" s="11"/>
      <c r="K266" s="11"/>
      <c r="L266" s="11"/>
      <c r="M266" s="11"/>
      <c r="N266" s="11"/>
      <c r="O266" s="11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19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</sheetData>
  <mergeCells count="4">
    <mergeCell ref="A1:O1"/>
    <mergeCell ref="B2:E2"/>
    <mergeCell ref="F2:K2"/>
    <mergeCell ref="L2:O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1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f>'7thMAY'!E5</f>
        <v>24</v>
      </c>
      <c r="D5" s="272">
        <v>20.0</v>
      </c>
      <c r="E5" s="273">
        <v>9.0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105</v>
      </c>
      <c r="N5" s="268"/>
      <c r="O5" s="269"/>
    </row>
    <row r="6">
      <c r="A6" s="192" t="s">
        <v>401</v>
      </c>
      <c r="B6" s="191" t="s">
        <v>402</v>
      </c>
      <c r="C6" s="271">
        <f>'7thMAY'!E6</f>
        <v>3</v>
      </c>
      <c r="D6" s="272">
        <v>4.0</v>
      </c>
      <c r="E6" s="273">
        <v>4.0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6</v>
      </c>
      <c r="N6" s="268"/>
      <c r="O6" s="269"/>
    </row>
    <row r="7">
      <c r="A7" s="192" t="s">
        <v>404</v>
      </c>
      <c r="B7" s="191" t="s">
        <v>402</v>
      </c>
      <c r="C7" s="271">
        <f>'7thMAY'!E7</f>
        <v>6</v>
      </c>
      <c r="D7" s="272">
        <v>4.0</v>
      </c>
      <c r="E7" s="273">
        <v>4.0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30</v>
      </c>
      <c r="N7" s="268"/>
      <c r="O7" s="269"/>
    </row>
    <row r="8">
      <c r="A8" s="192" t="s">
        <v>406</v>
      </c>
      <c r="B8" s="191" t="s">
        <v>402</v>
      </c>
      <c r="C8" s="271">
        <f>'7thMAY'!E8</f>
        <v>7</v>
      </c>
      <c r="D8" s="272"/>
      <c r="E8" s="273">
        <v>2.0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5</v>
      </c>
      <c r="N8" s="268"/>
      <c r="O8" s="269"/>
    </row>
    <row r="9">
      <c r="A9" s="192" t="s">
        <v>409</v>
      </c>
      <c r="B9" s="191" t="s">
        <v>402</v>
      </c>
      <c r="C9" s="271" t="str">
        <f>'7thMAY'!E9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192" t="s">
        <v>411</v>
      </c>
      <c r="B10" s="191" t="s">
        <v>402</v>
      </c>
      <c r="C10" s="271">
        <f>'7thMAY'!E10</f>
        <v>7</v>
      </c>
      <c r="D10" s="268"/>
      <c r="E10" s="273">
        <v>7.0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0</v>
      </c>
      <c r="N10" s="268"/>
      <c r="O10" s="269"/>
    </row>
    <row r="11">
      <c r="A11" s="204" t="s">
        <v>413</v>
      </c>
      <c r="B11" s="191" t="s">
        <v>402</v>
      </c>
      <c r="C11" s="271">
        <f>'7thMAY'!E11</f>
        <v>14</v>
      </c>
      <c r="D11" s="272">
        <v>3.0</v>
      </c>
      <c r="E11" s="273">
        <v>6.0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11</v>
      </c>
      <c r="N11" s="268"/>
      <c r="O11" s="269"/>
    </row>
    <row r="12">
      <c r="A12" s="192" t="s">
        <v>414</v>
      </c>
      <c r="B12" s="191" t="s">
        <v>402</v>
      </c>
      <c r="C12" s="271" t="str">
        <f>'7thMAY'!E12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>
        <f>'7thMAY'!E13</f>
        <v>1</v>
      </c>
      <c r="D13" s="272"/>
      <c r="E13" s="273"/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9</v>
      </c>
      <c r="N13" s="268"/>
      <c r="O13" s="269"/>
    </row>
    <row r="14">
      <c r="A14" s="204" t="s">
        <v>418</v>
      </c>
      <c r="B14" s="191" t="s">
        <v>402</v>
      </c>
      <c r="C14" s="271">
        <f>'7thMAY'!E14</f>
        <v>6</v>
      </c>
      <c r="D14" s="272"/>
      <c r="E14" s="273">
        <v>5.0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1</v>
      </c>
      <c r="N14" s="268"/>
      <c r="O14" s="269"/>
    </row>
    <row r="15">
      <c r="A15" s="204" t="s">
        <v>420</v>
      </c>
      <c r="B15" s="191" t="s">
        <v>402</v>
      </c>
      <c r="C15" s="271">
        <f>'7thMAY'!E15</f>
        <v>2</v>
      </c>
      <c r="D15" s="272">
        <v>2.0</v>
      </c>
      <c r="E15" s="273">
        <v>4.0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0</v>
      </c>
      <c r="N15" s="268"/>
      <c r="O15" s="269"/>
    </row>
    <row r="16">
      <c r="A16" s="192" t="s">
        <v>422</v>
      </c>
      <c r="B16" s="191" t="s">
        <v>402</v>
      </c>
      <c r="C16" s="271">
        <f>'7thMAY'!E16</f>
        <v>2</v>
      </c>
      <c r="D16" s="272">
        <v>6.0</v>
      </c>
      <c r="E16" s="273">
        <v>7.0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4</v>
      </c>
      <c r="N16" s="268"/>
      <c r="O16" s="269"/>
    </row>
    <row r="17">
      <c r="A17" s="192" t="s">
        <v>423</v>
      </c>
      <c r="B17" s="191" t="s">
        <v>402</v>
      </c>
      <c r="C17" s="271">
        <f>'7thMAY'!E17</f>
        <v>4</v>
      </c>
      <c r="D17" s="272">
        <v>11.0</v>
      </c>
      <c r="E17" s="273">
        <v>1.0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28</v>
      </c>
      <c r="N17" s="268"/>
      <c r="O17" s="269"/>
    </row>
    <row r="18">
      <c r="A18" s="192" t="s">
        <v>425</v>
      </c>
      <c r="B18" s="191" t="s">
        <v>402</v>
      </c>
      <c r="C18" s="271">
        <f>'7thMAY'!E18</f>
        <v>3</v>
      </c>
      <c r="D18" s="272">
        <v>4.0</v>
      </c>
      <c r="E18" s="273">
        <v>4.0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6</v>
      </c>
      <c r="N18" s="268"/>
      <c r="O18" s="269"/>
    </row>
    <row r="19">
      <c r="A19" s="192" t="s">
        <v>426</v>
      </c>
      <c r="B19" s="191" t="s">
        <v>402</v>
      </c>
      <c r="C19" s="271" t="str">
        <f>'7thMAY'!E19</f>
        <v/>
      </c>
      <c r="D19" s="272">
        <v>4.0</v>
      </c>
      <c r="E19" s="273">
        <v>4.0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0</v>
      </c>
      <c r="N19" s="268"/>
      <c r="O19" s="269"/>
    </row>
    <row r="20">
      <c r="A20" s="192" t="s">
        <v>428</v>
      </c>
      <c r="B20" s="191" t="s">
        <v>402</v>
      </c>
      <c r="C20" s="271">
        <f>'7thMAY'!E20</f>
        <v>3</v>
      </c>
      <c r="D20" s="272">
        <v>3.0</v>
      </c>
      <c r="E20" s="273">
        <v>6.0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0</v>
      </c>
      <c r="N20" s="268"/>
      <c r="O20" s="269"/>
    </row>
    <row r="21">
      <c r="A21" s="204" t="s">
        <v>429</v>
      </c>
      <c r="B21" s="191" t="s">
        <v>402</v>
      </c>
      <c r="C21" s="271">
        <f>'7thMAY'!E21</f>
        <v>4</v>
      </c>
      <c r="D21" s="272">
        <v>5.0</v>
      </c>
      <c r="E21" s="273">
        <v>8.0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4</v>
      </c>
      <c r="N21" s="268"/>
      <c r="O21" s="269"/>
    </row>
    <row r="22">
      <c r="A22" s="204" t="s">
        <v>431</v>
      </c>
      <c r="B22" s="191" t="s">
        <v>402</v>
      </c>
      <c r="C22" s="271" t="str">
        <f>'7thMAY'!E22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>
        <f>'7thMAY'!E23</f>
        <v>5.5</v>
      </c>
      <c r="D23" s="272"/>
      <c r="E23" s="273">
        <v>4.0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3</v>
      </c>
      <c r="N23" s="268"/>
      <c r="O23" s="269"/>
    </row>
    <row r="24">
      <c r="A24" s="192" t="s">
        <v>433</v>
      </c>
      <c r="B24" s="191" t="s">
        <v>402</v>
      </c>
      <c r="C24" s="271">
        <f>'7thMAY'!E24</f>
        <v>2</v>
      </c>
      <c r="D24" s="272">
        <v>10.0</v>
      </c>
      <c r="E24" s="273">
        <v>2.0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10</v>
      </c>
      <c r="N24" s="268"/>
      <c r="O24" s="269"/>
    </row>
    <row r="25">
      <c r="A25" s="204" t="s">
        <v>435</v>
      </c>
      <c r="B25" s="191" t="s">
        <v>402</v>
      </c>
      <c r="C25" s="271" t="str">
        <f>'7thMAY'!E25</f>
        <v/>
      </c>
      <c r="D25" s="272">
        <v>7.0</v>
      </c>
      <c r="E25" s="273">
        <v>7.0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0</v>
      </c>
      <c r="N25" s="268"/>
      <c r="O25" s="269"/>
    </row>
    <row r="26">
      <c r="A26" s="192" t="s">
        <v>438</v>
      </c>
      <c r="B26" s="191" t="s">
        <v>402</v>
      </c>
      <c r="C26" s="271">
        <f>'7thMAY'!E26</f>
        <v>5</v>
      </c>
      <c r="D26" s="268"/>
      <c r="E26" s="273">
        <v>2.0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3</v>
      </c>
      <c r="N26" s="268"/>
      <c r="O26" s="269"/>
    </row>
    <row r="27">
      <c r="A27" s="192" t="s">
        <v>439</v>
      </c>
      <c r="B27" s="191" t="s">
        <v>402</v>
      </c>
      <c r="C27" s="271" t="str">
        <f>'7thMAY'!E27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f>'7thMAY'!E28</f>
        <v>6</v>
      </c>
      <c r="D28" s="268"/>
      <c r="E28" s="273">
        <v>6.0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0</v>
      </c>
      <c r="N28" s="268"/>
      <c r="O28" s="269"/>
    </row>
    <row r="29">
      <c r="A29" s="204" t="s">
        <v>441</v>
      </c>
      <c r="B29" s="191" t="s">
        <v>402</v>
      </c>
      <c r="C29" s="271">
        <f>'7thMAY'!E29</f>
        <v>10.5</v>
      </c>
      <c r="D29" s="268"/>
      <c r="E29" s="273">
        <v>9.5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2</v>
      </c>
      <c r="N29" s="268"/>
      <c r="O29" s="269"/>
    </row>
    <row r="30">
      <c r="A30" s="204" t="s">
        <v>442</v>
      </c>
      <c r="B30" s="191" t="s">
        <v>402</v>
      </c>
      <c r="C30" s="271" t="str">
        <f>'7thMAY'!E30</f>
        <v/>
      </c>
      <c r="D30" s="272">
        <v>8.0</v>
      </c>
      <c r="E30" s="273">
        <v>7.0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1</v>
      </c>
      <c r="N30" s="268"/>
      <c r="O30" s="269"/>
    </row>
    <row r="31">
      <c r="A31" s="204" t="s">
        <v>444</v>
      </c>
      <c r="B31" s="191" t="s">
        <v>402</v>
      </c>
      <c r="C31" s="271">
        <f>'7thMAY'!E31</f>
        <v>5</v>
      </c>
      <c r="D31" s="268"/>
      <c r="E31" s="273">
        <v>5.0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0</v>
      </c>
      <c r="N31" s="268"/>
      <c r="O31" s="269"/>
    </row>
    <row r="32">
      <c r="A32" s="204" t="s">
        <v>445</v>
      </c>
      <c r="B32" s="191" t="s">
        <v>402</v>
      </c>
      <c r="C32" s="271">
        <f>'7thMAY'!E32</f>
        <v>3</v>
      </c>
      <c r="D32" s="268"/>
      <c r="E32" s="273">
        <v>2.0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4</v>
      </c>
      <c r="N32" s="268"/>
      <c r="O32" s="269"/>
    </row>
    <row r="33">
      <c r="A33" s="192" t="s">
        <v>446</v>
      </c>
      <c r="B33" s="191" t="s">
        <v>402</v>
      </c>
      <c r="C33" s="271">
        <f>'7thMAY'!E33</f>
        <v>1</v>
      </c>
      <c r="D33" s="268"/>
      <c r="E33" s="273">
        <v>1.0</v>
      </c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192" t="s">
        <v>447</v>
      </c>
      <c r="B34" s="191" t="s">
        <v>402</v>
      </c>
      <c r="C34" s="271">
        <f>'7thMAY'!E34</f>
        <v>3</v>
      </c>
      <c r="D34" s="272">
        <v>5.0</v>
      </c>
      <c r="E34" s="273">
        <v>6.0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2</v>
      </c>
      <c r="N34" s="268"/>
      <c r="O34" s="269"/>
    </row>
    <row r="35">
      <c r="A35" s="204" t="s">
        <v>449</v>
      </c>
      <c r="B35" s="191" t="s">
        <v>402</v>
      </c>
      <c r="C35" s="271">
        <f>'7thMAY'!E35</f>
        <v>5</v>
      </c>
      <c r="D35" s="272"/>
      <c r="E35" s="273">
        <v>5.0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268"/>
      <c r="O35" s="269"/>
    </row>
    <row r="36">
      <c r="A36" s="192" t="s">
        <v>451</v>
      </c>
      <c r="B36" s="191" t="s">
        <v>402</v>
      </c>
      <c r="C36" s="271">
        <f>'7thMAY'!E36</f>
        <v>3.5</v>
      </c>
      <c r="D36" s="272">
        <v>5.0</v>
      </c>
      <c r="E36" s="273">
        <v>4.5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8</v>
      </c>
      <c r="N36" s="268"/>
      <c r="O36" s="269"/>
    </row>
    <row r="37">
      <c r="A37" s="225" t="s">
        <v>452</v>
      </c>
      <c r="B37" s="191" t="s">
        <v>402</v>
      </c>
      <c r="C37" s="271">
        <f>'7thMAY'!E37</f>
        <v>11</v>
      </c>
      <c r="D37" s="268"/>
      <c r="E37" s="273">
        <v>8.0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12</v>
      </c>
      <c r="N37" s="268"/>
      <c r="O37" s="269"/>
    </row>
    <row r="38">
      <c r="A38" s="225" t="s">
        <v>454</v>
      </c>
      <c r="B38" s="191" t="s">
        <v>402</v>
      </c>
      <c r="C38" s="271">
        <f>'7thMAY'!E38</f>
        <v>4.5</v>
      </c>
      <c r="D38" s="268"/>
      <c r="E38" s="273">
        <v>4.0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2</v>
      </c>
      <c r="N38" s="268"/>
      <c r="O38" s="269"/>
    </row>
    <row r="39">
      <c r="A39" s="223" t="s">
        <v>455</v>
      </c>
      <c r="B39" s="191" t="s">
        <v>402</v>
      </c>
      <c r="C39" s="271">
        <f>'7thMAY'!E39</f>
        <v>8</v>
      </c>
      <c r="D39" s="268"/>
      <c r="E39" s="273">
        <v>8.0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0</v>
      </c>
      <c r="N39" s="268"/>
      <c r="O39" s="269"/>
    </row>
    <row r="40">
      <c r="A40" s="223" t="s">
        <v>456</v>
      </c>
      <c r="B40" s="191" t="s">
        <v>402</v>
      </c>
      <c r="C40" s="271">
        <f>'7thMAY'!E40</f>
        <v>5</v>
      </c>
      <c r="D40" s="272"/>
      <c r="E40" s="273">
        <v>5.0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0</v>
      </c>
      <c r="N40" s="268"/>
      <c r="O40" s="269"/>
    </row>
    <row r="41">
      <c r="A41" s="223" t="s">
        <v>457</v>
      </c>
      <c r="B41" s="191" t="s">
        <v>402</v>
      </c>
      <c r="C41" s="271" t="str">
        <f>'7thMAY'!E41</f>
        <v/>
      </c>
      <c r="D41" s="272">
        <v>1.0</v>
      </c>
      <c r="E41" s="273">
        <v>1.0</v>
      </c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307" t="s">
        <v>762</v>
      </c>
      <c r="B42" s="191"/>
      <c r="C42" s="271" t="str">
        <f>'7thMAY'!E42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'7thMAY'!E43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'7thMAY'!E44</f>
        <v/>
      </c>
      <c r="D44" s="227"/>
      <c r="E44" s="280"/>
      <c r="F44" s="235" t="s">
        <v>14</v>
      </c>
      <c r="G44" s="235"/>
      <c r="H44" s="272">
        <f>'7thMAY'!J44</f>
        <v>1.5</v>
      </c>
      <c r="I44" s="281">
        <v>1.0</v>
      </c>
      <c r="J44" s="282">
        <v>1.0</v>
      </c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0.5</v>
      </c>
      <c r="N44" s="191"/>
      <c r="O44" s="247"/>
    </row>
    <row r="45">
      <c r="A45" s="12" t="s">
        <v>16</v>
      </c>
      <c r="B45" s="13" t="s">
        <v>17</v>
      </c>
      <c r="C45" s="271" t="str">
        <f>'7thMAY'!E45</f>
        <v/>
      </c>
      <c r="D45" s="227"/>
      <c r="E45" s="280"/>
      <c r="F45" s="235" t="s">
        <v>17</v>
      </c>
      <c r="G45" s="285">
        <v>3.0</v>
      </c>
      <c r="H45" s="272">
        <f>'7thMAY'!J45</f>
        <v>7</v>
      </c>
      <c r="I45" s="281">
        <v>1.0</v>
      </c>
      <c r="J45" s="282">
        <v>10.0</v>
      </c>
      <c r="K45" s="283"/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0</v>
      </c>
      <c r="N45" s="191"/>
      <c r="O45" s="247"/>
    </row>
    <row r="46">
      <c r="A46" s="15" t="s">
        <v>19</v>
      </c>
      <c r="B46" s="13" t="s">
        <v>17</v>
      </c>
      <c r="C46" s="271" t="str">
        <f>'7thMAY'!E46</f>
        <v/>
      </c>
      <c r="D46" s="227"/>
      <c r="E46" s="280"/>
      <c r="F46" s="235" t="s">
        <v>17</v>
      </c>
      <c r="G46" s="235"/>
      <c r="H46" s="272">
        <f>'7thMAY'!J46</f>
        <v>7</v>
      </c>
      <c r="I46" s="281">
        <v>1.0</v>
      </c>
      <c r="J46" s="282">
        <v>5.0</v>
      </c>
      <c r="K46" s="283"/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2</v>
      </c>
      <c r="N46" s="191"/>
      <c r="O46" s="247"/>
    </row>
    <row r="47">
      <c r="A47" s="12" t="s">
        <v>20</v>
      </c>
      <c r="B47" s="13" t="s">
        <v>17</v>
      </c>
      <c r="C47" s="271" t="str">
        <f>'7thMAY'!E47</f>
        <v/>
      </c>
      <c r="D47" s="191"/>
      <c r="E47" s="280"/>
      <c r="F47" s="235" t="s">
        <v>17</v>
      </c>
      <c r="G47" s="285">
        <v>9.0</v>
      </c>
      <c r="H47" s="272" t="str">
        <f>'7thMAY'!J47</f>
        <v/>
      </c>
      <c r="I47" s="281">
        <v>1.0</v>
      </c>
      <c r="J47" s="282">
        <v>9.0</v>
      </c>
      <c r="K47" s="283"/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0</v>
      </c>
      <c r="N47" s="191"/>
      <c r="O47" s="247"/>
    </row>
    <row r="48">
      <c r="A48" s="12" t="s">
        <v>21</v>
      </c>
      <c r="B48" s="13" t="s">
        <v>17</v>
      </c>
      <c r="C48" s="271" t="str">
        <f>'7thMAY'!E48</f>
        <v/>
      </c>
      <c r="D48" s="227"/>
      <c r="E48" s="280"/>
      <c r="F48" s="235" t="s">
        <v>17</v>
      </c>
      <c r="G48" s="285">
        <v>2.0</v>
      </c>
      <c r="H48" s="272">
        <f>'7thMAY'!J48</f>
        <v>3</v>
      </c>
      <c r="I48" s="281">
        <v>1.0</v>
      </c>
      <c r="J48" s="282">
        <v>5.0</v>
      </c>
      <c r="K48" s="283"/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0</v>
      </c>
      <c r="N48" s="191"/>
      <c r="O48" s="247"/>
    </row>
    <row r="49">
      <c r="A49" s="12" t="s">
        <v>22</v>
      </c>
      <c r="B49" s="13" t="s">
        <v>17</v>
      </c>
      <c r="C49" s="271" t="str">
        <f>'7thMAY'!E49</f>
        <v/>
      </c>
      <c r="D49" s="191"/>
      <c r="E49" s="247"/>
      <c r="F49" s="235" t="s">
        <v>17</v>
      </c>
      <c r="G49" s="235"/>
      <c r="H49" s="272" t="str">
        <f>'7thMAY'!J49</f>
        <v/>
      </c>
      <c r="I49" s="281">
        <v>1.0</v>
      </c>
      <c r="J49" s="284"/>
      <c r="K49" s="283"/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'7thMAY'!E50</f>
        <v/>
      </c>
      <c r="D50" s="227">
        <v>1.0</v>
      </c>
      <c r="E50" s="247"/>
      <c r="F50" s="235" t="s">
        <v>25</v>
      </c>
      <c r="G50" s="235"/>
      <c r="H50" s="272">
        <f>'7thMAY'!J50</f>
        <v>0.383</v>
      </c>
      <c r="I50" s="281">
        <v>1.0</v>
      </c>
      <c r="J50" s="282">
        <v>0.319</v>
      </c>
      <c r="K50" s="283"/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0.764</v>
      </c>
      <c r="N50" s="191"/>
      <c r="O50" s="247"/>
    </row>
    <row r="51">
      <c r="A51" s="12" t="s">
        <v>27</v>
      </c>
      <c r="B51" s="12" t="s">
        <v>24</v>
      </c>
      <c r="C51" s="271" t="str">
        <f>'7thMAY'!E51</f>
        <v/>
      </c>
      <c r="D51" s="191"/>
      <c r="E51" s="247"/>
      <c r="F51" s="235" t="s">
        <v>24</v>
      </c>
      <c r="G51" s="235"/>
      <c r="H51" s="272" t="str">
        <f>'7thMAY'!J51</f>
        <v/>
      </c>
      <c r="I51" s="281">
        <v>1.0</v>
      </c>
      <c r="J51" s="284"/>
      <c r="K51" s="283"/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'7thMAY'!E52</f>
        <v/>
      </c>
      <c r="D52" s="191"/>
      <c r="E52" s="280"/>
      <c r="F52" s="235" t="s">
        <v>14</v>
      </c>
      <c r="G52" s="285"/>
      <c r="H52" s="272" t="str">
        <f>'7thMAY'!J52</f>
        <v/>
      </c>
      <c r="I52" s="281">
        <v>1.0</v>
      </c>
      <c r="J52" s="284"/>
      <c r="K52" s="283"/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16" t="s">
        <v>30</v>
      </c>
      <c r="B53" s="12" t="s">
        <v>24</v>
      </c>
      <c r="C53" s="271" t="str">
        <f>'7thMAY'!E53</f>
        <v/>
      </c>
      <c r="D53" s="227"/>
      <c r="E53" s="280"/>
      <c r="F53" s="235" t="s">
        <v>35</v>
      </c>
      <c r="G53" s="235"/>
      <c r="H53" s="272">
        <f>'7thMAY'!J53</f>
        <v>0.629</v>
      </c>
      <c r="I53" s="281">
        <v>1.0</v>
      </c>
      <c r="J53" s="282">
        <v>0.5</v>
      </c>
      <c r="K53" s="283"/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0.129</v>
      </c>
      <c r="N53" s="191"/>
      <c r="O53" s="247"/>
    </row>
    <row r="54">
      <c r="A54" s="12" t="s">
        <v>33</v>
      </c>
      <c r="B54" s="12" t="s">
        <v>34</v>
      </c>
      <c r="C54" s="271" t="str">
        <f>'7thMAY'!E54</f>
        <v/>
      </c>
      <c r="D54" s="227">
        <v>1.0</v>
      </c>
      <c r="E54" s="247"/>
      <c r="F54" s="235" t="s">
        <v>35</v>
      </c>
      <c r="G54" s="235"/>
      <c r="H54" s="272">
        <f>'7thMAY'!J54</f>
        <v>0.201</v>
      </c>
      <c r="I54" s="281">
        <v>1.0</v>
      </c>
      <c r="J54" s="284"/>
      <c r="K54" s="283"/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0.538</v>
      </c>
      <c r="N54" s="191"/>
      <c r="O54" s="247"/>
    </row>
    <row r="55">
      <c r="A55" s="12" t="s">
        <v>37</v>
      </c>
      <c r="B55" s="12" t="s">
        <v>17</v>
      </c>
      <c r="C55" s="271" t="str">
        <f>'7thMAY'!E55</f>
        <v/>
      </c>
      <c r="D55" s="191"/>
      <c r="E55" s="247"/>
      <c r="F55" s="235" t="s">
        <v>752</v>
      </c>
      <c r="G55" s="235"/>
      <c r="H55" s="272" t="str">
        <f>'7thMAY'!J55</f>
        <v/>
      </c>
      <c r="I55" s="281">
        <v>1.0</v>
      </c>
      <c r="J55" s="284"/>
      <c r="K55" s="283"/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'7thMAY'!E56</f>
        <v/>
      </c>
      <c r="D56" s="191"/>
      <c r="E56" s="247"/>
      <c r="F56" s="235" t="s">
        <v>17</v>
      </c>
      <c r="G56" s="235"/>
      <c r="H56" s="272">
        <f>'7thMAY'!J56</f>
        <v>63</v>
      </c>
      <c r="I56" s="281">
        <v>1.0</v>
      </c>
      <c r="J56" s="282">
        <v>43.0</v>
      </c>
      <c r="K56" s="283"/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20</v>
      </c>
      <c r="N56" s="191"/>
      <c r="O56" s="247"/>
    </row>
    <row r="57">
      <c r="A57" s="12" t="s">
        <v>42</v>
      </c>
      <c r="B57" s="12" t="s">
        <v>24</v>
      </c>
      <c r="C57" s="271" t="str">
        <f>'7thMAY'!E57</f>
        <v/>
      </c>
      <c r="D57" s="191"/>
      <c r="E57" s="280"/>
      <c r="F57" s="235" t="s">
        <v>35</v>
      </c>
      <c r="G57" s="235"/>
      <c r="H57" s="272">
        <f>'7thMAY'!J57</f>
        <v>0.353</v>
      </c>
      <c r="I57" s="281">
        <v>1.0</v>
      </c>
      <c r="J57" s="282">
        <v>0.333</v>
      </c>
      <c r="K57" s="283"/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0.02</v>
      </c>
      <c r="N57" s="191"/>
      <c r="O57" s="247"/>
    </row>
    <row r="58">
      <c r="A58" s="12" t="s">
        <v>44</v>
      </c>
      <c r="B58" s="12" t="s">
        <v>24</v>
      </c>
      <c r="C58" s="271" t="str">
        <f>'7thMAY'!E58</f>
        <v/>
      </c>
      <c r="D58" s="191"/>
      <c r="E58" s="247"/>
      <c r="F58" s="235" t="s">
        <v>25</v>
      </c>
      <c r="G58" s="235"/>
      <c r="H58" s="272">
        <f>'7thMAY'!J58</f>
        <v>0.823</v>
      </c>
      <c r="I58" s="281">
        <v>1.0</v>
      </c>
      <c r="J58" s="282">
        <v>0.803</v>
      </c>
      <c r="K58" s="283"/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0.02</v>
      </c>
      <c r="N58" s="191"/>
      <c r="O58" s="247"/>
    </row>
    <row r="59">
      <c r="A59" s="12" t="s">
        <v>45</v>
      </c>
      <c r="B59" s="12" t="s">
        <v>24</v>
      </c>
      <c r="C59" s="271" t="str">
        <f>'7thMAY'!E59</f>
        <v/>
      </c>
      <c r="D59" s="191"/>
      <c r="E59" s="247"/>
      <c r="F59" s="235" t="s">
        <v>25</v>
      </c>
      <c r="G59" s="235"/>
      <c r="H59" s="272">
        <f>'7thMAY'!J59</f>
        <v>0.905</v>
      </c>
      <c r="I59" s="281">
        <v>1.0</v>
      </c>
      <c r="J59" s="282">
        <v>0.904</v>
      </c>
      <c r="K59" s="283"/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0.001</v>
      </c>
      <c r="N59" s="191"/>
      <c r="O59" s="247"/>
    </row>
    <row r="60">
      <c r="A60" s="17" t="s">
        <v>46</v>
      </c>
      <c r="B60" s="12" t="s">
        <v>47</v>
      </c>
      <c r="C60" s="271" t="str">
        <f>'7thMAY'!E60</f>
        <v/>
      </c>
      <c r="D60" s="191"/>
      <c r="E60" s="247"/>
      <c r="F60" s="235" t="s">
        <v>51</v>
      </c>
      <c r="G60" s="235"/>
      <c r="H60" s="272" t="str">
        <f>'7thMAY'!J60</f>
        <v/>
      </c>
      <c r="I60" s="281">
        <v>1.0</v>
      </c>
      <c r="J60" s="284"/>
      <c r="K60" s="283"/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'7thMAY'!E61</f>
        <v/>
      </c>
      <c r="D61" s="191"/>
      <c r="E61" s="247"/>
      <c r="F61" s="235" t="s">
        <v>51</v>
      </c>
      <c r="G61" s="235"/>
      <c r="H61" s="272" t="str">
        <f>'7thMAY'!J61</f>
        <v/>
      </c>
      <c r="I61" s="281">
        <v>1.0</v>
      </c>
      <c r="J61" s="284"/>
      <c r="K61" s="283"/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'7thMAY'!E62</f>
        <v/>
      </c>
      <c r="D62" s="191"/>
      <c r="E62" s="247"/>
      <c r="F62" s="235" t="s">
        <v>51</v>
      </c>
      <c r="G62" s="235"/>
      <c r="H62" s="272">
        <f>'7thMAY'!J62</f>
        <v>0.524</v>
      </c>
      <c r="I62" s="281">
        <v>1.0</v>
      </c>
      <c r="J62" s="282">
        <v>0.501</v>
      </c>
      <c r="K62" s="283"/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0.023</v>
      </c>
      <c r="N62" s="191"/>
      <c r="O62" s="247"/>
    </row>
    <row r="63">
      <c r="A63" s="12" t="s">
        <v>53</v>
      </c>
      <c r="B63" s="12" t="s">
        <v>35</v>
      </c>
      <c r="C63" s="271" t="str">
        <f>'7thMAY'!E63</f>
        <v/>
      </c>
      <c r="D63" s="191"/>
      <c r="E63" s="247"/>
      <c r="F63" s="235" t="s">
        <v>35</v>
      </c>
      <c r="G63" s="235"/>
      <c r="H63" s="272">
        <f>'7thMAY'!J63</f>
        <v>0.9</v>
      </c>
      <c r="I63" s="281">
        <v>1.0</v>
      </c>
      <c r="J63" s="282">
        <v>0.73</v>
      </c>
      <c r="K63" s="283"/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0.17</v>
      </c>
      <c r="N63" s="191"/>
      <c r="O63" s="247"/>
    </row>
    <row r="64">
      <c r="A64" s="11" t="s">
        <v>55</v>
      </c>
      <c r="B64" s="11" t="s">
        <v>56</v>
      </c>
      <c r="C64" s="271" t="str">
        <f>'7thMAY'!E64</f>
        <v/>
      </c>
      <c r="D64" s="191"/>
      <c r="E64" s="247"/>
      <c r="F64" s="235" t="s">
        <v>14</v>
      </c>
      <c r="G64" s="235"/>
      <c r="H64" s="272" t="str">
        <f>'7thMAY'!J64</f>
        <v/>
      </c>
      <c r="I64" s="281">
        <v>1.0</v>
      </c>
      <c r="J64" s="284"/>
      <c r="K64" s="283"/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</v>
      </c>
      <c r="N64" s="191"/>
      <c r="O64" s="247"/>
    </row>
    <row r="65">
      <c r="A65" s="10" t="s">
        <v>57</v>
      </c>
      <c r="B65" s="11"/>
      <c r="C65" s="271" t="str">
        <f>'7thMAY'!E65</f>
        <v/>
      </c>
      <c r="D65" s="191"/>
      <c r="E65" s="247"/>
      <c r="F65" s="235"/>
      <c r="G65" s="235"/>
      <c r="H65" s="272" t="str">
        <f>'7thMAY'!J65</f>
        <v/>
      </c>
      <c r="I65" s="281">
        <v>1.0</v>
      </c>
      <c r="J65" s="284"/>
      <c r="K65" s="283"/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'7thMAY'!E66</f>
        <v>1</v>
      </c>
      <c r="D66" s="227">
        <v>2.0</v>
      </c>
      <c r="E66" s="280">
        <v>1.0</v>
      </c>
      <c r="F66" s="235" t="s">
        <v>35</v>
      </c>
      <c r="G66" s="235"/>
      <c r="H66" s="272">
        <f>'7thMAY'!J66</f>
        <v>0.437</v>
      </c>
      <c r="I66" s="281">
        <v>1.0</v>
      </c>
      <c r="J66" s="282">
        <v>0.597</v>
      </c>
      <c r="K66" s="283"/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3.84</v>
      </c>
      <c r="N66" s="191"/>
      <c r="O66" s="247"/>
    </row>
    <row r="67">
      <c r="A67" s="12" t="s">
        <v>61</v>
      </c>
      <c r="B67" s="12" t="s">
        <v>59</v>
      </c>
      <c r="C67" s="271" t="str">
        <f>'7thMAY'!E67</f>
        <v/>
      </c>
      <c r="D67" s="191"/>
      <c r="E67" s="247"/>
      <c r="F67" s="235" t="s">
        <v>35</v>
      </c>
      <c r="G67" s="235"/>
      <c r="H67" s="272">
        <f>'7thMAY'!J67</f>
        <v>0.095</v>
      </c>
      <c r="I67" s="281">
        <v>1.0</v>
      </c>
      <c r="J67" s="282">
        <v>0.089</v>
      </c>
      <c r="K67" s="283"/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0.006</v>
      </c>
      <c r="N67" s="191"/>
      <c r="O67" s="247"/>
    </row>
    <row r="68">
      <c r="A68" s="12" t="s">
        <v>62</v>
      </c>
      <c r="B68" s="12" t="s">
        <v>35</v>
      </c>
      <c r="C68" s="271" t="str">
        <f>'7thMAY'!E68</f>
        <v/>
      </c>
      <c r="D68" s="227"/>
      <c r="E68" s="280"/>
      <c r="F68" s="235" t="s">
        <v>35</v>
      </c>
      <c r="G68" s="235"/>
      <c r="H68" s="272">
        <f>'7thMAY'!J68</f>
        <v>2.509</v>
      </c>
      <c r="I68" s="281">
        <v>1.0</v>
      </c>
      <c r="J68" s="284"/>
      <c r="K68" s="283"/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2.409</v>
      </c>
      <c r="N68" s="191"/>
      <c r="O68" s="247"/>
    </row>
    <row r="69">
      <c r="A69" s="12" t="s">
        <v>64</v>
      </c>
      <c r="B69" s="12" t="s">
        <v>59</v>
      </c>
      <c r="C69" s="271">
        <f>'7thMAY'!E69</f>
        <v>1</v>
      </c>
      <c r="D69" s="227"/>
      <c r="E69" s="247"/>
      <c r="F69" s="235" t="s">
        <v>35</v>
      </c>
      <c r="G69" s="235"/>
      <c r="H69" s="272">
        <f>'7thMAY'!J69</f>
        <v>0.168</v>
      </c>
      <c r="I69" s="281">
        <v>1.0</v>
      </c>
      <c r="J69" s="282">
        <v>0.164</v>
      </c>
      <c r="K69" s="283"/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0.404</v>
      </c>
      <c r="N69" s="191"/>
      <c r="O69" s="247"/>
    </row>
    <row r="70">
      <c r="A70" s="10" t="s">
        <v>65</v>
      </c>
      <c r="B70" s="11"/>
      <c r="C70" s="271" t="str">
        <f>'7thMAY'!E70</f>
        <v/>
      </c>
      <c r="D70" s="191"/>
      <c r="E70" s="247"/>
      <c r="F70" s="235"/>
      <c r="G70" s="235"/>
      <c r="H70" s="272" t="str">
        <f>'7thMAY'!J70</f>
        <v/>
      </c>
      <c r="I70" s="281">
        <v>1.0</v>
      </c>
      <c r="J70" s="284"/>
      <c r="K70" s="283"/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'7thMAY'!E71</f>
        <v/>
      </c>
      <c r="D71" s="191"/>
      <c r="E71" s="247"/>
      <c r="F71" s="235" t="s">
        <v>25</v>
      </c>
      <c r="G71" s="285">
        <v>4.0</v>
      </c>
      <c r="H71" s="272" t="str">
        <f>'7thMAY'!J71</f>
        <v/>
      </c>
      <c r="I71" s="281">
        <v>1.0</v>
      </c>
      <c r="J71" s="282"/>
      <c r="K71" s="283"/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4</v>
      </c>
      <c r="N71" s="191"/>
      <c r="O71" s="247"/>
    </row>
    <row r="72">
      <c r="A72" s="12" t="s">
        <v>68</v>
      </c>
      <c r="B72" s="12" t="s">
        <v>35</v>
      </c>
      <c r="C72" s="271" t="str">
        <f>'7thMAY'!E72</f>
        <v/>
      </c>
      <c r="D72" s="227">
        <v>0.8</v>
      </c>
      <c r="E72" s="247"/>
      <c r="F72" s="235" t="s">
        <v>35</v>
      </c>
      <c r="G72" s="235"/>
      <c r="H72" s="272" t="str">
        <f>'7thMAY'!J72</f>
        <v/>
      </c>
      <c r="I72" s="281">
        <v>1.0</v>
      </c>
      <c r="J72" s="284"/>
      <c r="K72" s="283"/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0.8</v>
      </c>
      <c r="N72" s="191"/>
      <c r="O72" s="247"/>
    </row>
    <row r="73">
      <c r="A73" s="12" t="s">
        <v>70</v>
      </c>
      <c r="B73" s="12" t="s">
        <v>35</v>
      </c>
      <c r="C73" s="271" t="str">
        <f>'7thMAY'!E73</f>
        <v/>
      </c>
      <c r="D73" s="191"/>
      <c r="E73" s="247"/>
      <c r="F73" s="235" t="s">
        <v>35</v>
      </c>
      <c r="G73" s="235"/>
      <c r="H73" s="272" t="str">
        <f>'7thMAY'!J73</f>
        <v/>
      </c>
      <c r="I73" s="281">
        <v>1.0</v>
      </c>
      <c r="J73" s="284"/>
      <c r="K73" s="283"/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'7thMAY'!E74</f>
        <v/>
      </c>
      <c r="D74" s="227">
        <v>1.0</v>
      </c>
      <c r="E74" s="247"/>
      <c r="F74" s="235" t="s">
        <v>25</v>
      </c>
      <c r="G74" s="235"/>
      <c r="H74" s="272">
        <f>'7thMAY'!J74</f>
        <v>0.9</v>
      </c>
      <c r="I74" s="281">
        <v>1.0</v>
      </c>
      <c r="J74" s="282">
        <v>0.577</v>
      </c>
      <c r="K74" s="283"/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1.323</v>
      </c>
      <c r="N74" s="191"/>
      <c r="O74" s="247"/>
    </row>
    <row r="75">
      <c r="A75" s="12" t="s">
        <v>74</v>
      </c>
      <c r="B75" s="12" t="s">
        <v>17</v>
      </c>
      <c r="C75" s="271" t="str">
        <f>'7thMAY'!E75</f>
        <v/>
      </c>
      <c r="D75" s="191"/>
      <c r="E75" s="247"/>
      <c r="F75" s="235" t="s">
        <v>25</v>
      </c>
      <c r="G75" s="235"/>
      <c r="H75" s="272" t="str">
        <f>'7thMAY'!J75</f>
        <v/>
      </c>
      <c r="I75" s="281">
        <v>1.0</v>
      </c>
      <c r="J75" s="284"/>
      <c r="K75" s="283"/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</v>
      </c>
      <c r="N75" s="191"/>
      <c r="O75" s="247"/>
    </row>
    <row r="76">
      <c r="A76" s="12" t="s">
        <v>76</v>
      </c>
      <c r="B76" s="12" t="s">
        <v>72</v>
      </c>
      <c r="C76" s="271" t="str">
        <f>'7thMAY'!E76</f>
        <v/>
      </c>
      <c r="D76" s="191"/>
      <c r="E76" s="247"/>
      <c r="F76" s="235" t="s">
        <v>35</v>
      </c>
      <c r="G76" s="235"/>
      <c r="H76" s="272">
        <v>1.0</v>
      </c>
      <c r="I76" s="281">
        <v>1.0</v>
      </c>
      <c r="J76" s="282">
        <v>1.0</v>
      </c>
      <c r="K76" s="283"/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'7thMAY'!E77</f>
        <v/>
      </c>
      <c r="D77" s="227"/>
      <c r="E77" s="247"/>
      <c r="F77" s="235" t="s">
        <v>25</v>
      </c>
      <c r="G77" s="285">
        <v>1.35</v>
      </c>
      <c r="H77" s="272" t="str">
        <f>'7thMAY'!J77</f>
        <v/>
      </c>
      <c r="I77" s="281">
        <v>1.0</v>
      </c>
      <c r="J77" s="282">
        <v>1.073</v>
      </c>
      <c r="K77" s="283"/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0.277</v>
      </c>
      <c r="N77" s="191"/>
      <c r="O77" s="247"/>
    </row>
    <row r="78">
      <c r="A78" s="12" t="s">
        <v>80</v>
      </c>
      <c r="B78" s="12" t="s">
        <v>56</v>
      </c>
      <c r="C78" s="271" t="str">
        <f>'7thMAY'!E78</f>
        <v/>
      </c>
      <c r="D78" s="191"/>
      <c r="E78" s="247"/>
      <c r="F78" s="235" t="s">
        <v>35</v>
      </c>
      <c r="G78" s="235"/>
      <c r="H78" s="272" t="str">
        <f>'7thMAY'!J78</f>
        <v/>
      </c>
      <c r="I78" s="281">
        <v>1.0</v>
      </c>
      <c r="J78" s="284"/>
      <c r="K78" s="283"/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'7thMAY'!E79</f>
        <v/>
      </c>
      <c r="D79" s="191"/>
      <c r="E79" s="247"/>
      <c r="F79" s="235" t="s">
        <v>35</v>
      </c>
      <c r="G79" s="235"/>
      <c r="H79" s="272" t="str">
        <f>'7thMAY'!J79</f>
        <v/>
      </c>
      <c r="I79" s="281">
        <v>1.0</v>
      </c>
      <c r="J79" s="282"/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</v>
      </c>
      <c r="N79" s="191"/>
      <c r="O79" s="247"/>
    </row>
    <row r="80">
      <c r="A80" s="10" t="s">
        <v>85</v>
      </c>
      <c r="B80" s="11"/>
      <c r="C80" s="271" t="str">
        <f>'7thMAY'!E80</f>
        <v/>
      </c>
      <c r="D80" s="191"/>
      <c r="E80" s="247"/>
      <c r="F80" s="235"/>
      <c r="G80" s="235"/>
      <c r="H80" s="272" t="str">
        <f>'7thMAY'!J80</f>
        <v/>
      </c>
      <c r="I80" s="281">
        <v>1.0</v>
      </c>
      <c r="J80" s="284"/>
      <c r="K80" s="283"/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'7thMAY'!E81</f>
        <v/>
      </c>
      <c r="D81" s="191"/>
      <c r="E81" s="247"/>
      <c r="F81" s="235" t="s">
        <v>25</v>
      </c>
      <c r="G81" s="235"/>
      <c r="H81" s="272" t="str">
        <f>'7thMAY'!J81</f>
        <v/>
      </c>
      <c r="I81" s="281">
        <v>1.0</v>
      </c>
      <c r="J81" s="282"/>
      <c r="K81" s="283"/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</v>
      </c>
      <c r="N81" s="191"/>
      <c r="O81" s="247"/>
    </row>
    <row r="82">
      <c r="A82" s="12" t="s">
        <v>87</v>
      </c>
      <c r="B82" s="12" t="s">
        <v>83</v>
      </c>
      <c r="C82" s="271" t="str">
        <f>'7thMAY'!E82</f>
        <v/>
      </c>
      <c r="D82" s="227"/>
      <c r="E82" s="280"/>
      <c r="F82" s="235" t="s">
        <v>25</v>
      </c>
      <c r="G82" s="235"/>
      <c r="H82" s="272">
        <f>'7thMAY'!J82</f>
        <v>0.66</v>
      </c>
      <c r="I82" s="281">
        <v>1.0</v>
      </c>
      <c r="J82" s="282">
        <v>0.434</v>
      </c>
      <c r="K82" s="283"/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0.226</v>
      </c>
      <c r="N82" s="191"/>
      <c r="O82" s="247"/>
    </row>
    <row r="83">
      <c r="A83" s="12" t="s">
        <v>88</v>
      </c>
      <c r="B83" s="12" t="s">
        <v>83</v>
      </c>
      <c r="C83" s="271" t="str">
        <f>'7thMAY'!E83</f>
        <v/>
      </c>
      <c r="D83" s="227">
        <v>1.0</v>
      </c>
      <c r="E83" s="247"/>
      <c r="F83" s="235" t="s">
        <v>25</v>
      </c>
      <c r="G83" s="235"/>
      <c r="H83" s="272" t="str">
        <f>'7thMAY'!J83</f>
        <v/>
      </c>
      <c r="I83" s="281">
        <v>1.0</v>
      </c>
      <c r="J83" s="282">
        <f>1.194-0.5</f>
        <v>0.694</v>
      </c>
      <c r="K83" s="283"/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0.116</v>
      </c>
      <c r="N83" s="191"/>
      <c r="O83" s="247"/>
    </row>
    <row r="84">
      <c r="A84" s="12" t="s">
        <v>89</v>
      </c>
      <c r="B84" s="12" t="s">
        <v>83</v>
      </c>
      <c r="C84" s="271" t="str">
        <f>'7thMAY'!E84</f>
        <v/>
      </c>
      <c r="D84" s="191"/>
      <c r="E84" s="280"/>
      <c r="F84" s="235" t="s">
        <v>25</v>
      </c>
      <c r="G84" s="235"/>
      <c r="H84" s="272">
        <f>'7thMAY'!J84</f>
        <v>0.519</v>
      </c>
      <c r="I84" s="281">
        <v>1.0</v>
      </c>
      <c r="J84" s="284"/>
      <c r="K84" s="283"/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0.226</v>
      </c>
      <c r="N84" s="191"/>
      <c r="O84" s="247"/>
    </row>
    <row r="85">
      <c r="A85" s="12" t="s">
        <v>90</v>
      </c>
      <c r="B85" s="12" t="s">
        <v>24</v>
      </c>
      <c r="C85" s="271" t="str">
        <f>'7thMAY'!E85</f>
        <v/>
      </c>
      <c r="D85" s="191"/>
      <c r="E85" s="280"/>
      <c r="F85" s="235" t="s">
        <v>25</v>
      </c>
      <c r="G85" s="235"/>
      <c r="H85" s="272" t="str">
        <f>'7thMAY'!J85</f>
        <v/>
      </c>
      <c r="I85" s="281">
        <v>1.0</v>
      </c>
      <c r="J85" s="284"/>
      <c r="K85" s="283"/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</v>
      </c>
      <c r="N85" s="191"/>
      <c r="O85" s="247"/>
    </row>
    <row r="86">
      <c r="A86" s="12" t="s">
        <v>91</v>
      </c>
      <c r="B86" s="12" t="s">
        <v>56</v>
      </c>
      <c r="C86" s="271" t="str">
        <f>'7thMAY'!E86</f>
        <v/>
      </c>
      <c r="D86" s="227"/>
      <c r="E86" s="280"/>
      <c r="F86" s="235" t="s">
        <v>25</v>
      </c>
      <c r="G86" s="235"/>
      <c r="H86" s="272">
        <f>'7thMAY'!J86</f>
        <v>4</v>
      </c>
      <c r="I86" s="281">
        <v>1.0</v>
      </c>
      <c r="J86" s="282">
        <v>4.0</v>
      </c>
      <c r="K86" s="283"/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0</v>
      </c>
      <c r="N86" s="191"/>
      <c r="O86" s="247"/>
    </row>
    <row r="87">
      <c r="A87" s="12" t="s">
        <v>92</v>
      </c>
      <c r="B87" s="12" t="s">
        <v>83</v>
      </c>
      <c r="C87" s="271" t="str">
        <f>'7thMAY'!E87</f>
        <v/>
      </c>
      <c r="D87" s="191"/>
      <c r="E87" s="247"/>
      <c r="F87" s="235" t="s">
        <v>25</v>
      </c>
      <c r="G87" s="235"/>
      <c r="H87" s="272">
        <f>'7thMAY'!J87</f>
        <v>0.402</v>
      </c>
      <c r="I87" s="281">
        <v>1.0</v>
      </c>
      <c r="J87" s="282">
        <v>0.39</v>
      </c>
      <c r="K87" s="283"/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0.012</v>
      </c>
      <c r="N87" s="191"/>
      <c r="O87" s="247"/>
    </row>
    <row r="88">
      <c r="A88" s="12" t="s">
        <v>93</v>
      </c>
      <c r="B88" s="12" t="s">
        <v>83</v>
      </c>
      <c r="C88" s="271" t="str">
        <f>'7thMAY'!E88</f>
        <v/>
      </c>
      <c r="D88" s="191"/>
      <c r="E88" s="247"/>
      <c r="F88" s="235" t="s">
        <v>25</v>
      </c>
      <c r="G88" s="235"/>
      <c r="H88" s="272">
        <f>'7thMAY'!J88</f>
        <v>0.804</v>
      </c>
      <c r="I88" s="281">
        <v>1.0</v>
      </c>
      <c r="J88" s="282">
        <v>0.801</v>
      </c>
      <c r="K88" s="283"/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0.003</v>
      </c>
      <c r="N88" s="191"/>
      <c r="O88" s="247"/>
    </row>
    <row r="89">
      <c r="A89" s="12" t="s">
        <v>95</v>
      </c>
      <c r="B89" s="12" t="s">
        <v>83</v>
      </c>
      <c r="C89" s="271" t="str">
        <f>'7thMAY'!E89</f>
        <v/>
      </c>
      <c r="D89" s="191"/>
      <c r="E89" s="247"/>
      <c r="F89" s="235" t="s">
        <v>25</v>
      </c>
      <c r="G89" s="235"/>
      <c r="H89" s="272">
        <f>'7thMAY'!J89</f>
        <v>0.902</v>
      </c>
      <c r="I89" s="281">
        <v>1.0</v>
      </c>
      <c r="J89" s="282">
        <v>0.864</v>
      </c>
      <c r="K89" s="283"/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0.038</v>
      </c>
      <c r="N89" s="191"/>
      <c r="O89" s="247"/>
    </row>
    <row r="90">
      <c r="A90" s="10" t="s">
        <v>96</v>
      </c>
      <c r="B90" s="11"/>
      <c r="C90" s="271" t="str">
        <f>'7thMAY'!E90</f>
        <v/>
      </c>
      <c r="D90" s="191"/>
      <c r="E90" s="247"/>
      <c r="F90" s="235"/>
      <c r="G90" s="235"/>
      <c r="H90" s="272" t="str">
        <f>'7thMAY'!J90</f>
        <v/>
      </c>
      <c r="I90" s="281">
        <v>1.0</v>
      </c>
      <c r="J90" s="284"/>
      <c r="K90" s="283"/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'7thMAY'!E91</f>
        <v/>
      </c>
      <c r="D91" s="191"/>
      <c r="E91" s="247"/>
      <c r="F91" s="235" t="s">
        <v>35</v>
      </c>
      <c r="G91" s="235"/>
      <c r="H91" s="272" t="str">
        <f>'7thMAY'!J91</f>
        <v/>
      </c>
      <c r="I91" s="281">
        <v>1.0</v>
      </c>
      <c r="J91" s="284"/>
      <c r="K91" s="283"/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'7thMAY'!E92</f>
        <v/>
      </c>
      <c r="D92" s="191"/>
      <c r="E92" s="247"/>
      <c r="F92" s="235" t="s">
        <v>35</v>
      </c>
      <c r="G92" s="235"/>
      <c r="H92" s="272">
        <f>'7thMAY'!J92</f>
        <v>0.334</v>
      </c>
      <c r="I92" s="281">
        <v>1.0</v>
      </c>
      <c r="J92" s="282">
        <v>0.254</v>
      </c>
      <c r="K92" s="283"/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0.08</v>
      </c>
      <c r="N92" s="191"/>
      <c r="O92" s="247"/>
    </row>
    <row r="93">
      <c r="A93" s="12" t="s">
        <v>100</v>
      </c>
      <c r="B93" s="12" t="s">
        <v>40</v>
      </c>
      <c r="C93" s="271" t="str">
        <f>'7thMAY'!E93</f>
        <v/>
      </c>
      <c r="D93" s="191"/>
      <c r="E93" s="247"/>
      <c r="F93" s="235" t="s">
        <v>35</v>
      </c>
      <c r="G93" s="235"/>
      <c r="H93" s="272">
        <f>'7thMAY'!J93</f>
        <v>0.227</v>
      </c>
      <c r="I93" s="281">
        <v>1.0</v>
      </c>
      <c r="J93" s="282">
        <v>0.207</v>
      </c>
      <c r="K93" s="283"/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0.02</v>
      </c>
      <c r="N93" s="191"/>
      <c r="O93" s="247"/>
    </row>
    <row r="94">
      <c r="A94" s="12" t="s">
        <v>101</v>
      </c>
      <c r="B94" s="12" t="s">
        <v>40</v>
      </c>
      <c r="C94" s="271" t="str">
        <f>'7thMAY'!E94</f>
        <v/>
      </c>
      <c r="D94" s="191"/>
      <c r="E94" s="247"/>
      <c r="F94" s="235" t="s">
        <v>35</v>
      </c>
      <c r="G94" s="235"/>
      <c r="H94" s="272" t="str">
        <f>'7thMAY'!J94</f>
        <v/>
      </c>
      <c r="I94" s="281">
        <v>1.0</v>
      </c>
      <c r="J94" s="284"/>
      <c r="K94" s="283"/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'7thMAY'!E95</f>
        <v/>
      </c>
      <c r="D95" s="191"/>
      <c r="E95" s="247"/>
      <c r="F95" s="235" t="s">
        <v>35</v>
      </c>
      <c r="G95" s="235"/>
      <c r="H95" s="272">
        <f>'7thMAY'!J95</f>
        <v>0.115</v>
      </c>
      <c r="I95" s="281">
        <v>1.0</v>
      </c>
      <c r="J95" s="282">
        <v>0.107</v>
      </c>
      <c r="K95" s="283"/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0.008</v>
      </c>
      <c r="N95" s="191"/>
      <c r="O95" s="247"/>
    </row>
    <row r="96">
      <c r="A96" s="12" t="s">
        <v>103</v>
      </c>
      <c r="B96" s="12" t="s">
        <v>40</v>
      </c>
      <c r="C96" s="271" t="str">
        <f>'7thMAY'!E96</f>
        <v/>
      </c>
      <c r="D96" s="191"/>
      <c r="E96" s="247"/>
      <c r="F96" s="235" t="s">
        <v>35</v>
      </c>
      <c r="G96" s="235"/>
      <c r="H96" s="272" t="str">
        <f>'7thMAY'!J96</f>
        <v/>
      </c>
      <c r="I96" s="281">
        <v>1.0</v>
      </c>
      <c r="J96" s="282"/>
      <c r="K96" s="283"/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71" t="str">
        <f>'7thMAY'!E97</f>
        <v/>
      </c>
      <c r="D97" s="191"/>
      <c r="E97" s="247"/>
      <c r="F97" s="235" t="s">
        <v>35</v>
      </c>
      <c r="G97" s="235"/>
      <c r="H97" s="272" t="str">
        <f>'7thMAY'!J97</f>
        <v/>
      </c>
      <c r="I97" s="281">
        <v>1.0</v>
      </c>
      <c r="J97" s="284"/>
      <c r="K97" s="283"/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'7thMAY'!E98</f>
        <v/>
      </c>
      <c r="D98" s="191"/>
      <c r="E98" s="247"/>
      <c r="F98" s="235" t="s">
        <v>35</v>
      </c>
      <c r="G98" s="235"/>
      <c r="H98" s="272">
        <f>'7thMAY'!J98</f>
        <v>0.448</v>
      </c>
      <c r="I98" s="281">
        <v>1.0</v>
      </c>
      <c r="J98" s="282">
        <v>0.375</v>
      </c>
      <c r="K98" s="283"/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0.073</v>
      </c>
      <c r="N98" s="191"/>
      <c r="O98" s="247"/>
    </row>
    <row r="99">
      <c r="A99" s="12" t="s">
        <v>108</v>
      </c>
      <c r="B99" s="12" t="s">
        <v>40</v>
      </c>
      <c r="C99" s="271" t="str">
        <f>'7thMAY'!E99</f>
        <v/>
      </c>
      <c r="D99" s="191"/>
      <c r="E99" s="247"/>
      <c r="F99" s="235" t="s">
        <v>35</v>
      </c>
      <c r="G99" s="235"/>
      <c r="H99" s="272">
        <f>'7thMAY'!J99</f>
        <v>0.514</v>
      </c>
      <c r="I99" s="281">
        <v>1.0</v>
      </c>
      <c r="J99" s="282">
        <v>0.449</v>
      </c>
      <c r="K99" s="283"/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0.065</v>
      </c>
      <c r="N99" s="191"/>
      <c r="O99" s="247"/>
    </row>
    <row r="100">
      <c r="A100" s="12" t="s">
        <v>109</v>
      </c>
      <c r="B100" s="12" t="s">
        <v>40</v>
      </c>
      <c r="C100" s="271" t="str">
        <f>'7thMAY'!E100</f>
        <v/>
      </c>
      <c r="D100" s="191"/>
      <c r="E100" s="247"/>
      <c r="F100" s="235" t="s">
        <v>35</v>
      </c>
      <c r="G100" s="235"/>
      <c r="H100" s="272">
        <f>'7thMAY'!J100</f>
        <v>0.392</v>
      </c>
      <c r="I100" s="281">
        <v>1.0</v>
      </c>
      <c r="J100" s="282">
        <v>0.387</v>
      </c>
      <c r="K100" s="283"/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0.005</v>
      </c>
      <c r="N100" s="191"/>
      <c r="O100" s="247"/>
    </row>
    <row r="101">
      <c r="A101" s="12" t="s">
        <v>110</v>
      </c>
      <c r="B101" s="12" t="s">
        <v>40</v>
      </c>
      <c r="C101" s="271" t="str">
        <f>'7thMAY'!E101</f>
        <v/>
      </c>
      <c r="D101" s="191"/>
      <c r="E101" s="247"/>
      <c r="F101" s="235" t="s">
        <v>35</v>
      </c>
      <c r="G101" s="235"/>
      <c r="H101" s="272">
        <f>'7thMAY'!J101</f>
        <v>0.217</v>
      </c>
      <c r="I101" s="281">
        <v>1.0</v>
      </c>
      <c r="J101" s="282">
        <v>0.17</v>
      </c>
      <c r="K101" s="283"/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0.047</v>
      </c>
      <c r="N101" s="191"/>
      <c r="O101" s="247"/>
    </row>
    <row r="102">
      <c r="A102" s="12" t="s">
        <v>111</v>
      </c>
      <c r="B102" s="12" t="s">
        <v>40</v>
      </c>
      <c r="C102" s="271" t="str">
        <f>'7thMAY'!E102</f>
        <v/>
      </c>
      <c r="D102" s="191"/>
      <c r="E102" s="247"/>
      <c r="F102" s="235" t="s">
        <v>35</v>
      </c>
      <c r="G102" s="235"/>
      <c r="H102" s="272" t="str">
        <f>'7thMAY'!J102</f>
        <v/>
      </c>
      <c r="I102" s="281">
        <v>1.0</v>
      </c>
      <c r="J102" s="284"/>
      <c r="K102" s="283"/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>
        <f>'7thMAY'!E103</f>
        <v>1</v>
      </c>
      <c r="D103" s="191"/>
      <c r="E103" s="280">
        <v>1.0</v>
      </c>
      <c r="F103" s="235" t="s">
        <v>35</v>
      </c>
      <c r="G103" s="235"/>
      <c r="H103" s="272">
        <f>'7thMAY'!J103</f>
        <v>0.461</v>
      </c>
      <c r="I103" s="281">
        <v>1.0</v>
      </c>
      <c r="J103" s="282">
        <v>0.461</v>
      </c>
      <c r="K103" s="283"/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</v>
      </c>
      <c r="N103" s="191"/>
      <c r="O103" s="247"/>
    </row>
    <row r="104">
      <c r="A104" s="12" t="s">
        <v>114</v>
      </c>
      <c r="B104" s="12" t="s">
        <v>40</v>
      </c>
      <c r="C104" s="271" t="str">
        <f>'7thMAY'!E104</f>
        <v/>
      </c>
      <c r="D104" s="191"/>
      <c r="E104" s="247"/>
      <c r="F104" s="235" t="s">
        <v>35</v>
      </c>
      <c r="G104" s="285"/>
      <c r="H104" s="272">
        <f>'7thMAY'!J104</f>
        <v>0.411</v>
      </c>
      <c r="I104" s="281">
        <v>1.0</v>
      </c>
      <c r="J104" s="282">
        <v>0.409</v>
      </c>
      <c r="K104" s="283"/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0.002</v>
      </c>
      <c r="N104" s="191"/>
      <c r="O104" s="247"/>
    </row>
    <row r="105">
      <c r="A105" s="12" t="s">
        <v>116</v>
      </c>
      <c r="B105" s="12" t="s">
        <v>40</v>
      </c>
      <c r="C105" s="271" t="str">
        <f>'7thMAY'!E105</f>
        <v/>
      </c>
      <c r="D105" s="191"/>
      <c r="E105" s="247"/>
      <c r="F105" s="235" t="s">
        <v>35</v>
      </c>
      <c r="G105" s="235"/>
      <c r="H105" s="272" t="str">
        <f>'7thMAY'!J105</f>
        <v/>
      </c>
      <c r="I105" s="281">
        <v>1.0</v>
      </c>
      <c r="J105" s="284"/>
      <c r="K105" s="283"/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'7thMAY'!E106</f>
        <v/>
      </c>
      <c r="D106" s="191"/>
      <c r="E106" s="247"/>
      <c r="F106" s="235" t="s">
        <v>35</v>
      </c>
      <c r="G106" s="285"/>
      <c r="H106" s="272">
        <f>'7thMAY'!J106</f>
        <v>0.203</v>
      </c>
      <c r="I106" s="281">
        <v>1.0</v>
      </c>
      <c r="J106" s="282">
        <v>0.182</v>
      </c>
      <c r="K106" s="283"/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0.021</v>
      </c>
      <c r="N106" s="191"/>
      <c r="O106" s="247"/>
    </row>
    <row r="107">
      <c r="A107" s="12" t="s">
        <v>118</v>
      </c>
      <c r="B107" s="12" t="s">
        <v>40</v>
      </c>
      <c r="C107" s="271" t="str">
        <f>'7thMAY'!E107</f>
        <v/>
      </c>
      <c r="D107" s="191"/>
      <c r="E107" s="247"/>
      <c r="F107" s="235" t="s">
        <v>35</v>
      </c>
      <c r="G107" s="235"/>
      <c r="H107" s="272">
        <f>'7thMAY'!J107</f>
        <v>0.124</v>
      </c>
      <c r="I107" s="281">
        <v>1.0</v>
      </c>
      <c r="J107" s="282">
        <v>0.067</v>
      </c>
      <c r="K107" s="283"/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0.057</v>
      </c>
      <c r="N107" s="191"/>
      <c r="O107" s="247"/>
    </row>
    <row r="108">
      <c r="A108" s="12" t="s">
        <v>119</v>
      </c>
      <c r="B108" s="12" t="s">
        <v>40</v>
      </c>
      <c r="C108" s="271" t="str">
        <f>'7thMAY'!E108</f>
        <v/>
      </c>
      <c r="D108" s="191"/>
      <c r="E108" s="247"/>
      <c r="F108" s="235" t="s">
        <v>35</v>
      </c>
      <c r="G108" s="235"/>
      <c r="H108" s="272">
        <f>'7thMAY'!J108</f>
        <v>0.742</v>
      </c>
      <c r="I108" s="281">
        <v>1.0</v>
      </c>
      <c r="J108" s="284">
        <f>0.241+0.5</f>
        <v>0.741</v>
      </c>
      <c r="K108" s="283"/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0.001</v>
      </c>
      <c r="N108" s="191"/>
      <c r="O108" s="247"/>
    </row>
    <row r="109">
      <c r="A109" s="12" t="s">
        <v>120</v>
      </c>
      <c r="B109" s="12" t="s">
        <v>40</v>
      </c>
      <c r="C109" s="271" t="str">
        <f>'7thMAY'!E109</f>
        <v/>
      </c>
      <c r="D109" s="191"/>
      <c r="E109" s="247"/>
      <c r="F109" s="235" t="s">
        <v>35</v>
      </c>
      <c r="G109" s="235"/>
      <c r="H109" s="272">
        <f>'7thMAY'!J109</f>
        <v>0.769</v>
      </c>
      <c r="I109" s="281">
        <v>1.0</v>
      </c>
      <c r="J109" s="282">
        <v>0.087</v>
      </c>
      <c r="K109" s="283"/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0.682</v>
      </c>
      <c r="N109" s="191"/>
      <c r="O109" s="247"/>
    </row>
    <row r="110">
      <c r="A110" s="12" t="s">
        <v>121</v>
      </c>
      <c r="B110" s="12" t="s">
        <v>40</v>
      </c>
      <c r="C110" s="271" t="str">
        <f>'7thMAY'!E110</f>
        <v/>
      </c>
      <c r="D110" s="191"/>
      <c r="E110" s="247"/>
      <c r="F110" s="235" t="s">
        <v>35</v>
      </c>
      <c r="G110" s="285">
        <v>1.0</v>
      </c>
      <c r="H110" s="272">
        <f>'7thMAY'!J110</f>
        <v>0.343</v>
      </c>
      <c r="I110" s="281">
        <v>1.0</v>
      </c>
      <c r="J110" s="284">
        <f>0.664+0.135</f>
        <v>0.799</v>
      </c>
      <c r="K110" s="283"/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0.544</v>
      </c>
      <c r="N110" s="191"/>
      <c r="O110" s="247"/>
    </row>
    <row r="111">
      <c r="A111" s="12" t="s">
        <v>122</v>
      </c>
      <c r="B111" s="12" t="s">
        <v>40</v>
      </c>
      <c r="C111" s="271" t="str">
        <f>'7thMAY'!E111</f>
        <v/>
      </c>
      <c r="D111" s="191"/>
      <c r="E111" s="247"/>
      <c r="F111" s="235" t="s">
        <v>35</v>
      </c>
      <c r="G111" s="235"/>
      <c r="H111" s="272" t="str">
        <f>'7thMAY'!J111</f>
        <v/>
      </c>
      <c r="I111" s="281">
        <v>1.0</v>
      </c>
      <c r="J111" s="284"/>
      <c r="K111" s="283"/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'7thMAY'!E112</f>
        <v/>
      </c>
      <c r="D112" s="227">
        <v>1.0</v>
      </c>
      <c r="E112" s="247"/>
      <c r="F112" s="235" t="s">
        <v>35</v>
      </c>
      <c r="G112" s="235"/>
      <c r="H112" s="272">
        <f>'7thMAY'!J112</f>
        <v>0.037</v>
      </c>
      <c r="I112" s="281">
        <v>1.0</v>
      </c>
      <c r="J112" s="282">
        <f>0.171+0.645</f>
        <v>0.816</v>
      </c>
      <c r="K112" s="283"/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0.221</v>
      </c>
      <c r="N112" s="191"/>
      <c r="O112" s="247"/>
    </row>
    <row r="113">
      <c r="A113" s="12" t="s">
        <v>124</v>
      </c>
      <c r="B113" s="12" t="s">
        <v>40</v>
      </c>
      <c r="C113" s="271" t="str">
        <f>'7thMAY'!E113</f>
        <v/>
      </c>
      <c r="D113" s="191"/>
      <c r="E113" s="247"/>
      <c r="F113" s="235" t="s">
        <v>35</v>
      </c>
      <c r="G113" s="235"/>
      <c r="H113" s="272">
        <f>'7thMAY'!J113</f>
        <v>0.113</v>
      </c>
      <c r="I113" s="281">
        <v>1.0</v>
      </c>
      <c r="J113" s="282">
        <v>0.107</v>
      </c>
      <c r="K113" s="283"/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0.006</v>
      </c>
      <c r="N113" s="191"/>
      <c r="O113" s="247"/>
    </row>
    <row r="114">
      <c r="A114" s="12" t="s">
        <v>125</v>
      </c>
      <c r="B114" s="12" t="s">
        <v>40</v>
      </c>
      <c r="C114" s="271" t="str">
        <f>'7thMAY'!E114</f>
        <v/>
      </c>
      <c r="D114" s="191"/>
      <c r="E114" s="247"/>
      <c r="F114" s="235" t="s">
        <v>35</v>
      </c>
      <c r="G114" s="235"/>
      <c r="H114" s="272" t="str">
        <f>'7thMAY'!J114</f>
        <v/>
      </c>
      <c r="I114" s="281">
        <v>1.0</v>
      </c>
      <c r="J114" s="284"/>
      <c r="K114" s="283"/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'7thMAY'!E115</f>
        <v/>
      </c>
      <c r="D115" s="191"/>
      <c r="E115" s="247"/>
      <c r="F115" s="235" t="s">
        <v>35</v>
      </c>
      <c r="G115" s="235"/>
      <c r="H115" s="272">
        <f>'7thMAY'!J115</f>
        <v>0.724</v>
      </c>
      <c r="I115" s="281">
        <v>1.0</v>
      </c>
      <c r="J115" s="282">
        <f>0.504+0.208</f>
        <v>0.712</v>
      </c>
      <c r="K115" s="283"/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0.012</v>
      </c>
      <c r="N115" s="191"/>
      <c r="O115" s="247"/>
    </row>
    <row r="116">
      <c r="A116" s="12" t="s">
        <v>127</v>
      </c>
      <c r="B116" s="12" t="s">
        <v>40</v>
      </c>
      <c r="C116" s="271" t="str">
        <f>'7thMAY'!E116</f>
        <v/>
      </c>
      <c r="D116" s="191"/>
      <c r="E116" s="247"/>
      <c r="F116" s="235" t="s">
        <v>35</v>
      </c>
      <c r="G116" s="235"/>
      <c r="H116" s="272">
        <f>'7thMAY'!J116</f>
        <v>0.062</v>
      </c>
      <c r="I116" s="281">
        <v>1.0</v>
      </c>
      <c r="J116" s="282">
        <v>0.058</v>
      </c>
      <c r="K116" s="283"/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0.004</v>
      </c>
      <c r="N116" s="191"/>
      <c r="O116" s="247"/>
    </row>
    <row r="117">
      <c r="A117" s="12" t="s">
        <v>128</v>
      </c>
      <c r="B117" s="12" t="s">
        <v>40</v>
      </c>
      <c r="C117" s="271" t="str">
        <f>'7thMAY'!E117</f>
        <v/>
      </c>
      <c r="D117" s="191"/>
      <c r="E117" s="247"/>
      <c r="F117" s="235" t="s">
        <v>35</v>
      </c>
      <c r="G117" s="235"/>
      <c r="H117" s="272">
        <f>'7thMAY'!J117</f>
        <v>0.034</v>
      </c>
      <c r="I117" s="281">
        <v>1.0</v>
      </c>
      <c r="J117" s="282">
        <v>0.026</v>
      </c>
      <c r="K117" s="283"/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0.008</v>
      </c>
      <c r="N117" s="191"/>
      <c r="O117" s="247"/>
    </row>
    <row r="118">
      <c r="A118" s="12" t="s">
        <v>129</v>
      </c>
      <c r="B118" s="12" t="s">
        <v>40</v>
      </c>
      <c r="C118" s="271" t="str">
        <f>'7thMAY'!E118</f>
        <v/>
      </c>
      <c r="D118" s="191"/>
      <c r="E118" s="247"/>
      <c r="F118" s="235" t="s">
        <v>35</v>
      </c>
      <c r="G118" s="235"/>
      <c r="H118" s="272">
        <f>'7thMAY'!J118</f>
        <v>1</v>
      </c>
      <c r="I118" s="281">
        <v>1.0</v>
      </c>
      <c r="J118" s="282">
        <v>1.0</v>
      </c>
      <c r="K118" s="283"/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71" t="str">
        <f>'7thMAY'!E119</f>
        <v/>
      </c>
      <c r="D119" s="191"/>
      <c r="E119" s="247"/>
      <c r="F119" s="235" t="s">
        <v>35</v>
      </c>
      <c r="G119" s="235"/>
      <c r="H119" s="272">
        <f>'7thMAY'!J119</f>
        <v>0.855</v>
      </c>
      <c r="I119" s="281">
        <v>1.0</v>
      </c>
      <c r="J119" s="282">
        <v>0.666</v>
      </c>
      <c r="K119" s="283"/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0.189</v>
      </c>
      <c r="N119" s="191"/>
      <c r="O119" s="247"/>
    </row>
    <row r="120">
      <c r="A120" s="12" t="s">
        <v>131</v>
      </c>
      <c r="B120" s="12" t="s">
        <v>40</v>
      </c>
      <c r="C120" s="271" t="str">
        <f>'7thMAY'!E120</f>
        <v/>
      </c>
      <c r="D120" s="191"/>
      <c r="E120" s="247"/>
      <c r="F120" s="235" t="s">
        <v>35</v>
      </c>
      <c r="G120" s="235"/>
      <c r="H120" s="272" t="str">
        <f>'7thMAY'!J120</f>
        <v/>
      </c>
      <c r="I120" s="281">
        <v>1.0</v>
      </c>
      <c r="J120" s="282"/>
      <c r="K120" s="283"/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247"/>
    </row>
    <row r="121">
      <c r="A121" s="12" t="s">
        <v>132</v>
      </c>
      <c r="B121" s="12" t="s">
        <v>40</v>
      </c>
      <c r="C121" s="271" t="str">
        <f>'7thMAY'!E121</f>
        <v/>
      </c>
      <c r="D121" s="191"/>
      <c r="E121" s="247"/>
      <c r="F121" s="235" t="s">
        <v>35</v>
      </c>
      <c r="G121" s="235"/>
      <c r="H121" s="272" t="str">
        <f>'7thMAY'!J121</f>
        <v/>
      </c>
      <c r="I121" s="281">
        <v>1.0</v>
      </c>
      <c r="J121" s="282"/>
      <c r="K121" s="283"/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</v>
      </c>
      <c r="N121" s="191"/>
      <c r="O121" s="247"/>
    </row>
    <row r="122">
      <c r="A122" s="12" t="s">
        <v>133</v>
      </c>
      <c r="B122" s="12" t="s">
        <v>40</v>
      </c>
      <c r="C122" s="271" t="str">
        <f>'7thMAY'!E122</f>
        <v/>
      </c>
      <c r="D122" s="191"/>
      <c r="E122" s="247"/>
      <c r="F122" s="235" t="s">
        <v>35</v>
      </c>
      <c r="G122" s="235"/>
      <c r="H122" s="272">
        <f>'7thMAY'!J122</f>
        <v>0.029</v>
      </c>
      <c r="I122" s="281">
        <v>1.0</v>
      </c>
      <c r="J122" s="282">
        <v>0.014</v>
      </c>
      <c r="K122" s="283"/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0.015</v>
      </c>
      <c r="N122" s="191"/>
      <c r="O122" s="247"/>
    </row>
    <row r="123">
      <c r="A123" s="12" t="s">
        <v>134</v>
      </c>
      <c r="B123" s="12" t="s">
        <v>40</v>
      </c>
      <c r="C123" s="271" t="str">
        <f>'7thMAY'!E123</f>
        <v/>
      </c>
      <c r="D123" s="191"/>
      <c r="E123" s="247"/>
      <c r="F123" s="235" t="s">
        <v>35</v>
      </c>
      <c r="G123" s="235"/>
      <c r="H123" s="272" t="str">
        <f>'7thMAY'!J123</f>
        <v/>
      </c>
      <c r="I123" s="281">
        <v>1.0</v>
      </c>
      <c r="J123" s="284"/>
      <c r="K123" s="283"/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'7thMAY'!E124</f>
        <v/>
      </c>
      <c r="D124" s="191"/>
      <c r="E124" s="247"/>
      <c r="F124" s="235" t="s">
        <v>35</v>
      </c>
      <c r="G124" s="235"/>
      <c r="H124" s="272" t="str">
        <f>'7thMAY'!J124</f>
        <v/>
      </c>
      <c r="I124" s="281">
        <v>1.0</v>
      </c>
      <c r="J124" s="284"/>
      <c r="K124" s="283"/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'7thMAY'!E125</f>
        <v/>
      </c>
      <c r="D125" s="191"/>
      <c r="E125" s="247"/>
      <c r="F125" s="285" t="s">
        <v>35</v>
      </c>
      <c r="G125" s="235"/>
      <c r="H125" s="272" t="str">
        <f>'7thMAY'!J125</f>
        <v/>
      </c>
      <c r="I125" s="281">
        <v>1.0</v>
      </c>
      <c r="J125" s="284"/>
      <c r="K125" s="283"/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247"/>
    </row>
    <row r="126">
      <c r="A126" s="21" t="s">
        <v>143</v>
      </c>
      <c r="B126" s="15" t="s">
        <v>40</v>
      </c>
      <c r="C126" s="271" t="str">
        <f>'7thMAY'!E126</f>
        <v/>
      </c>
      <c r="D126" s="191"/>
      <c r="E126" s="247"/>
      <c r="F126" s="285" t="s">
        <v>35</v>
      </c>
      <c r="G126" s="235"/>
      <c r="H126" s="272">
        <f>'7thMAY'!J126</f>
        <v>0.236</v>
      </c>
      <c r="I126" s="281">
        <v>1.0</v>
      </c>
      <c r="J126" s="282">
        <v>0.233</v>
      </c>
      <c r="K126" s="283"/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0.003</v>
      </c>
      <c r="N126" s="191"/>
      <c r="O126" s="247"/>
    </row>
    <row r="127">
      <c r="A127" s="10" t="s">
        <v>146</v>
      </c>
      <c r="B127" s="11"/>
      <c r="C127" s="271" t="str">
        <f>'7thMAY'!E127</f>
        <v/>
      </c>
      <c r="D127" s="191"/>
      <c r="E127" s="247"/>
      <c r="F127" s="235"/>
      <c r="G127" s="235"/>
      <c r="H127" s="272" t="str">
        <f>'7thMAY'!J127</f>
        <v/>
      </c>
      <c r="I127" s="281">
        <v>1.0</v>
      </c>
      <c r="J127" s="284"/>
      <c r="K127" s="283"/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'7thMAY'!E128</f>
        <v/>
      </c>
      <c r="D128" s="191"/>
      <c r="E128" s="247"/>
      <c r="F128" s="235" t="s">
        <v>35</v>
      </c>
      <c r="G128" s="235"/>
      <c r="H128" s="272" t="str">
        <f>'7thMAY'!J128</f>
        <v/>
      </c>
      <c r="I128" s="281">
        <v>1.0</v>
      </c>
      <c r="J128" s="284"/>
      <c r="K128" s="283"/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'7thMAY'!E129</f>
        <v/>
      </c>
      <c r="D129" s="191"/>
      <c r="E129" s="247"/>
      <c r="F129" s="235" t="s">
        <v>35</v>
      </c>
      <c r="G129" s="235"/>
      <c r="H129" s="272">
        <f>'7thMAY'!J129</f>
        <v>1.201</v>
      </c>
      <c r="I129" s="281">
        <v>1.0</v>
      </c>
      <c r="J129" s="282">
        <v>0.419</v>
      </c>
      <c r="K129" s="283"/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0.782</v>
      </c>
      <c r="N129" s="191"/>
      <c r="O129" s="247"/>
    </row>
    <row r="130">
      <c r="A130" s="12" t="s">
        <v>149</v>
      </c>
      <c r="B130" s="12" t="s">
        <v>40</v>
      </c>
      <c r="C130" s="271" t="str">
        <f>'7thMAY'!E130</f>
        <v/>
      </c>
      <c r="D130" s="191"/>
      <c r="E130" s="247"/>
      <c r="F130" s="235" t="s">
        <v>35</v>
      </c>
      <c r="G130" s="235"/>
      <c r="H130" s="272">
        <v>0.178</v>
      </c>
      <c r="I130" s="281">
        <v>1.0</v>
      </c>
      <c r="J130" s="282">
        <v>0.178</v>
      </c>
      <c r="K130" s="283"/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</v>
      </c>
      <c r="N130" s="191"/>
      <c r="O130" s="247"/>
    </row>
    <row r="131">
      <c r="A131" s="12" t="s">
        <v>150</v>
      </c>
      <c r="B131" s="12" t="s">
        <v>24</v>
      </c>
      <c r="C131" s="271" t="str">
        <f>'7thMAY'!E131</f>
        <v/>
      </c>
      <c r="D131" s="191"/>
      <c r="E131" s="247"/>
      <c r="F131" s="235" t="s">
        <v>25</v>
      </c>
      <c r="G131" s="235"/>
      <c r="H131" s="272" t="str">
        <f>'7thMAY'!J131</f>
        <v/>
      </c>
      <c r="I131" s="281">
        <v>1.0</v>
      </c>
      <c r="J131" s="284"/>
      <c r="K131" s="283"/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'7thMAY'!E132</f>
        <v/>
      </c>
      <c r="D132" s="191"/>
      <c r="E132" s="247"/>
      <c r="F132" s="235"/>
      <c r="G132" s="235"/>
      <c r="H132" s="272" t="str">
        <f>'7thMAY'!J132</f>
        <v/>
      </c>
      <c r="I132" s="281">
        <v>1.0</v>
      </c>
      <c r="J132" s="284"/>
      <c r="K132" s="283"/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'7thMAY'!E133</f>
        <v/>
      </c>
      <c r="D133" s="227">
        <v>2.0</v>
      </c>
      <c r="E133" s="247"/>
      <c r="F133" s="235" t="s">
        <v>35</v>
      </c>
      <c r="G133" s="235"/>
      <c r="H133" s="272" t="str">
        <f>'7thMAY'!J133</f>
        <v/>
      </c>
      <c r="I133" s="281">
        <v>1.0</v>
      </c>
      <c r="J133" s="284"/>
      <c r="K133" s="283"/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0.4</v>
      </c>
      <c r="N133" s="191"/>
      <c r="O133" s="247"/>
    </row>
    <row r="134">
      <c r="A134" s="12" t="s">
        <v>154</v>
      </c>
      <c r="B134" s="12" t="s">
        <v>155</v>
      </c>
      <c r="C134" s="271" t="str">
        <f>'7thMAY'!E134</f>
        <v/>
      </c>
      <c r="D134" s="191"/>
      <c r="E134" s="247"/>
      <c r="F134" s="235" t="s">
        <v>35</v>
      </c>
      <c r="G134" s="235"/>
      <c r="H134" s="272" t="str">
        <f>'7thMAY'!J134</f>
        <v/>
      </c>
      <c r="I134" s="281">
        <v>1.0</v>
      </c>
      <c r="J134" s="284"/>
      <c r="K134" s="283"/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>
        <f>'7thMAY'!E135</f>
        <v>1</v>
      </c>
      <c r="D135" s="227"/>
      <c r="E135" s="280"/>
      <c r="F135" s="235" t="s">
        <v>35</v>
      </c>
      <c r="G135" s="235"/>
      <c r="H135" s="272" t="str">
        <f>'7thMAY'!J135</f>
        <v/>
      </c>
      <c r="I135" s="281">
        <v>1.0</v>
      </c>
      <c r="J135" s="282">
        <f>0.5-0.1</f>
        <v>0.4</v>
      </c>
      <c r="K135" s="283"/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0.025</v>
      </c>
      <c r="N135" s="191"/>
      <c r="O135" s="247"/>
    </row>
    <row r="136">
      <c r="A136" s="12" t="s">
        <v>158</v>
      </c>
      <c r="B136" s="12" t="s">
        <v>34</v>
      </c>
      <c r="C136" s="271" t="str">
        <f>'7thMAY'!E136</f>
        <v/>
      </c>
      <c r="D136" s="191"/>
      <c r="E136" s="247"/>
      <c r="F136" s="235" t="s">
        <v>35</v>
      </c>
      <c r="G136" s="235"/>
      <c r="H136" s="272" t="str">
        <f>'7thMAY'!J136</f>
        <v/>
      </c>
      <c r="I136" s="281">
        <v>1.0</v>
      </c>
      <c r="J136" s="284"/>
      <c r="K136" s="283"/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</v>
      </c>
      <c r="N136" s="191"/>
      <c r="O136" s="247"/>
    </row>
    <row r="137">
      <c r="A137" s="12" t="s">
        <v>159</v>
      </c>
      <c r="B137" s="12" t="s">
        <v>34</v>
      </c>
      <c r="C137" s="271" t="str">
        <f>'7thMAY'!E137</f>
        <v/>
      </c>
      <c r="D137" s="191"/>
      <c r="E137" s="247"/>
      <c r="F137" s="235" t="s">
        <v>35</v>
      </c>
      <c r="G137" s="235"/>
      <c r="H137" s="272" t="str">
        <f>'7thMAY'!J137</f>
        <v/>
      </c>
      <c r="I137" s="281">
        <v>1.0</v>
      </c>
      <c r="J137" s="284"/>
      <c r="K137" s="283"/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'7thMAY'!E138</f>
        <v/>
      </c>
      <c r="D138" s="191"/>
      <c r="E138" s="247"/>
      <c r="F138" s="235" t="s">
        <v>35</v>
      </c>
      <c r="G138" s="235"/>
      <c r="H138" s="272">
        <f>'7thMAY'!J138</f>
        <v>1</v>
      </c>
      <c r="I138" s="281">
        <v>1.0</v>
      </c>
      <c r="J138" s="282">
        <v>1.0</v>
      </c>
      <c r="K138" s="283"/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</v>
      </c>
      <c r="N138" s="191"/>
      <c r="O138" s="247"/>
    </row>
    <row r="139">
      <c r="A139" s="12" t="s">
        <v>161</v>
      </c>
      <c r="B139" s="12" t="s">
        <v>34</v>
      </c>
      <c r="C139" s="271" t="str">
        <f>'7thMAY'!E139</f>
        <v/>
      </c>
      <c r="D139" s="191"/>
      <c r="E139" s="247"/>
      <c r="F139" s="235" t="s">
        <v>35</v>
      </c>
      <c r="G139" s="235"/>
      <c r="H139" s="272">
        <f>'7thMAY'!J139</f>
        <v>0.433</v>
      </c>
      <c r="I139" s="281">
        <v>1.0</v>
      </c>
      <c r="J139" s="282">
        <v>0.433</v>
      </c>
      <c r="K139" s="283"/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</v>
      </c>
      <c r="N139" s="191"/>
      <c r="O139" s="247"/>
    </row>
    <row r="140">
      <c r="A140" s="12" t="s">
        <v>162</v>
      </c>
      <c r="B140" s="12" t="s">
        <v>34</v>
      </c>
      <c r="C140" s="271" t="str">
        <f>'7thMAY'!E140</f>
        <v/>
      </c>
      <c r="D140" s="191"/>
      <c r="E140" s="247"/>
      <c r="F140" s="235" t="s">
        <v>35</v>
      </c>
      <c r="G140" s="235"/>
      <c r="H140" s="272" t="str">
        <f>'7thMAY'!J140</f>
        <v/>
      </c>
      <c r="I140" s="281">
        <v>1.0</v>
      </c>
      <c r="J140" s="282"/>
      <c r="K140" s="283"/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 t="str">
        <f>'7thMAY'!E141</f>
        <v/>
      </c>
      <c r="D141" s="191"/>
      <c r="E141" s="247"/>
      <c r="F141" s="235" t="s">
        <v>35</v>
      </c>
      <c r="G141" s="235"/>
      <c r="H141" s="272">
        <f>'7thMAY'!J141</f>
        <v>0.72</v>
      </c>
      <c r="I141" s="281">
        <v>1.0</v>
      </c>
      <c r="J141" s="282"/>
      <c r="K141" s="283"/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0.41</v>
      </c>
      <c r="N141" s="191"/>
      <c r="O141" s="247"/>
    </row>
    <row r="142">
      <c r="A142" s="12" t="s">
        <v>164</v>
      </c>
      <c r="B142" s="12" t="s">
        <v>155</v>
      </c>
      <c r="C142" s="271" t="str">
        <f>'7thMAY'!E142</f>
        <v/>
      </c>
      <c r="D142" s="227">
        <v>1.0</v>
      </c>
      <c r="E142" s="247"/>
      <c r="F142" s="235" t="s">
        <v>35</v>
      </c>
      <c r="G142" s="235"/>
      <c r="H142" s="272" t="str">
        <f>'7thMAY'!J142</f>
        <v/>
      </c>
      <c r="I142" s="281">
        <v>1.0</v>
      </c>
      <c r="J142" s="282">
        <v>0.359</v>
      </c>
      <c r="K142" s="283"/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0.141</v>
      </c>
      <c r="N142" s="191"/>
      <c r="O142" s="247"/>
    </row>
    <row r="143">
      <c r="A143" s="12" t="s">
        <v>165</v>
      </c>
      <c r="B143" s="12" t="s">
        <v>155</v>
      </c>
      <c r="C143" s="271" t="str">
        <f>'7thMAY'!E143</f>
        <v/>
      </c>
      <c r="D143" s="191"/>
      <c r="E143" s="247"/>
      <c r="F143" s="235" t="s">
        <v>35</v>
      </c>
      <c r="G143" s="235"/>
      <c r="H143" s="272" t="str">
        <f>'7thMAY'!J143</f>
        <v/>
      </c>
      <c r="I143" s="281">
        <v>1.0</v>
      </c>
      <c r="J143" s="284"/>
      <c r="K143" s="283"/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'7thMAY'!E144</f>
        <v/>
      </c>
      <c r="D144" s="191"/>
      <c r="E144" s="247"/>
      <c r="F144" s="235" t="s">
        <v>35</v>
      </c>
      <c r="G144" s="285">
        <v>0.043</v>
      </c>
      <c r="H144" s="272">
        <f>'7thMAY'!J144</f>
        <v>0.712</v>
      </c>
      <c r="I144" s="281">
        <v>1.0</v>
      </c>
      <c r="J144" s="282">
        <v>0.755</v>
      </c>
      <c r="K144" s="283"/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</v>
      </c>
      <c r="N144" s="191"/>
      <c r="O144" s="247"/>
    </row>
    <row r="145">
      <c r="A145" s="12" t="s">
        <v>167</v>
      </c>
      <c r="B145" s="12" t="s">
        <v>106</v>
      </c>
      <c r="C145" s="271">
        <f>'7thMAY'!E145</f>
        <v>1</v>
      </c>
      <c r="D145" s="191"/>
      <c r="E145" s="247"/>
      <c r="F145" s="235" t="s">
        <v>35</v>
      </c>
      <c r="G145" s="235"/>
      <c r="H145" s="272">
        <f>'7thMAY'!J145</f>
        <v>0.233</v>
      </c>
      <c r="I145" s="281">
        <v>1.0</v>
      </c>
      <c r="J145" s="282"/>
      <c r="K145" s="283"/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0.593</v>
      </c>
      <c r="N145" s="191"/>
      <c r="O145" s="247"/>
    </row>
    <row r="146">
      <c r="A146" s="12" t="s">
        <v>168</v>
      </c>
      <c r="B146" s="12" t="s">
        <v>17</v>
      </c>
      <c r="C146" s="271" t="str">
        <f>'7thMAY'!E146</f>
        <v/>
      </c>
      <c r="D146" s="227"/>
      <c r="E146" s="247"/>
      <c r="F146" s="235" t="s">
        <v>35</v>
      </c>
      <c r="G146" s="235"/>
      <c r="H146" s="272">
        <f>'7thMAY'!J146</f>
        <v>0.211</v>
      </c>
      <c r="I146" s="281">
        <v>1.0</v>
      </c>
      <c r="J146" s="284"/>
      <c r="K146" s="283"/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0.196</v>
      </c>
      <c r="N146" s="191"/>
      <c r="O146" s="247"/>
    </row>
    <row r="147">
      <c r="A147" s="12" t="s">
        <v>169</v>
      </c>
      <c r="B147" s="12" t="s">
        <v>106</v>
      </c>
      <c r="C147" s="271" t="str">
        <f>'7thMAY'!E147</f>
        <v/>
      </c>
      <c r="D147" s="191"/>
      <c r="E147" s="247"/>
      <c r="F147" s="235" t="s">
        <v>35</v>
      </c>
      <c r="G147" s="235"/>
      <c r="H147" s="272" t="str">
        <f>'7thMAY'!J147</f>
        <v/>
      </c>
      <c r="I147" s="281">
        <v>1.0</v>
      </c>
      <c r="J147" s="284"/>
      <c r="K147" s="283"/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'7thMAY'!E148</f>
        <v/>
      </c>
      <c r="D148" s="191"/>
      <c r="E148" s="247"/>
      <c r="F148" s="235" t="s">
        <v>35</v>
      </c>
      <c r="G148" s="235"/>
      <c r="H148" s="272" t="str">
        <f>'7thMAY'!J148</f>
        <v/>
      </c>
      <c r="I148" s="281">
        <v>1.0</v>
      </c>
      <c r="J148" s="284"/>
      <c r="K148" s="283"/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 t="str">
        <f>'7thMAY'!E149</f>
        <v/>
      </c>
      <c r="D149" s="227"/>
      <c r="E149" s="247"/>
      <c r="F149" s="235" t="s">
        <v>14</v>
      </c>
      <c r="G149" s="235"/>
      <c r="H149" s="272">
        <f>'7thMAY'!J149</f>
        <v>0.403</v>
      </c>
      <c r="I149" s="281">
        <v>1.0</v>
      </c>
      <c r="J149" s="282">
        <v>0.403</v>
      </c>
      <c r="K149" s="283"/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</v>
      </c>
      <c r="N149" s="191"/>
      <c r="O149" s="247"/>
    </row>
    <row r="150">
      <c r="A150" s="11" t="s">
        <v>173</v>
      </c>
      <c r="B150" s="11" t="s">
        <v>106</v>
      </c>
      <c r="C150" s="271" t="str">
        <f>'7thMAY'!E150</f>
        <v/>
      </c>
      <c r="D150" s="287"/>
      <c r="E150" s="288"/>
      <c r="F150" s="235" t="s">
        <v>14</v>
      </c>
      <c r="G150" s="289"/>
      <c r="H150" s="272" t="str">
        <f>'7thMAY'!J150</f>
        <v/>
      </c>
      <c r="I150" s="281">
        <v>1.0</v>
      </c>
      <c r="J150" s="291"/>
      <c r="K150" s="283"/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</v>
      </c>
      <c r="N150" s="216"/>
      <c r="O150" s="292"/>
    </row>
    <row r="151">
      <c r="A151" s="22" t="s">
        <v>174</v>
      </c>
      <c r="B151" s="23" t="s">
        <v>106</v>
      </c>
      <c r="C151" s="271" t="str">
        <f>'7thMAY'!E151</f>
        <v/>
      </c>
      <c r="D151" s="216"/>
      <c r="E151" s="288"/>
      <c r="F151" s="235" t="s">
        <v>14</v>
      </c>
      <c r="G151" s="289"/>
      <c r="H151" s="272">
        <f>'7thMAY'!J151</f>
        <v>0.39</v>
      </c>
      <c r="I151" s="281">
        <v>1.0</v>
      </c>
      <c r="J151" s="301">
        <v>0.38</v>
      </c>
      <c r="K151" s="283"/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0.01</v>
      </c>
      <c r="N151" s="216"/>
      <c r="O151" s="292"/>
    </row>
    <row r="152">
      <c r="A152" s="10" t="s">
        <v>175</v>
      </c>
      <c r="B152" s="11"/>
      <c r="C152" s="271" t="str">
        <f>'7thMAY'!E152</f>
        <v/>
      </c>
      <c r="D152" s="191"/>
      <c r="E152" s="247"/>
      <c r="F152" s="235"/>
      <c r="G152" s="235"/>
      <c r="H152" s="272" t="str">
        <f>'7thMAY'!J152</f>
        <v/>
      </c>
      <c r="I152" s="281">
        <v>1.0</v>
      </c>
      <c r="J152" s="284"/>
      <c r="K152" s="283"/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'7thMAY'!E153</f>
        <v/>
      </c>
      <c r="D153" s="227">
        <v>4.0</v>
      </c>
      <c r="E153" s="247"/>
      <c r="F153" s="235" t="s">
        <v>25</v>
      </c>
      <c r="G153" s="235"/>
      <c r="H153" s="272">
        <f>'7thMAY'!J153</f>
        <v>1</v>
      </c>
      <c r="I153" s="281">
        <v>1.0</v>
      </c>
      <c r="J153" s="284"/>
      <c r="K153" s="283"/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5</v>
      </c>
      <c r="N153" s="191"/>
      <c r="O153" s="247"/>
    </row>
    <row r="154">
      <c r="A154" s="12" t="s">
        <v>178</v>
      </c>
      <c r="B154" s="12" t="s">
        <v>35</v>
      </c>
      <c r="C154" s="271" t="str">
        <f>'7thMAY'!E154</f>
        <v/>
      </c>
      <c r="D154" s="227">
        <v>6.0</v>
      </c>
      <c r="E154" s="280"/>
      <c r="F154" s="235" t="s">
        <v>35</v>
      </c>
      <c r="G154" s="235"/>
      <c r="H154" s="272">
        <f>'7thMAY'!J154</f>
        <v>2</v>
      </c>
      <c r="I154" s="281">
        <v>1.0</v>
      </c>
      <c r="J154" s="282">
        <v>2.801</v>
      </c>
      <c r="K154" s="283"/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2.199</v>
      </c>
      <c r="N154" s="191"/>
      <c r="O154" s="247"/>
    </row>
    <row r="155">
      <c r="A155" s="12" t="s">
        <v>180</v>
      </c>
      <c r="B155" s="12" t="s">
        <v>35</v>
      </c>
      <c r="C155" s="271" t="str">
        <f>'7thMAY'!E155</f>
        <v/>
      </c>
      <c r="D155" s="227"/>
      <c r="E155" s="247"/>
      <c r="F155" s="235" t="s">
        <v>35</v>
      </c>
      <c r="G155" s="285">
        <v>0.331</v>
      </c>
      <c r="H155" s="272" t="str">
        <f>'7thMAY'!J155</f>
        <v/>
      </c>
      <c r="I155" s="281">
        <v>1.0</v>
      </c>
      <c r="J155" s="282">
        <v>0.203</v>
      </c>
      <c r="K155" s="283"/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0.128</v>
      </c>
      <c r="N155" s="191"/>
      <c r="O155" s="247"/>
    </row>
    <row r="156">
      <c r="A156" s="12" t="s">
        <v>181</v>
      </c>
      <c r="B156" s="12" t="s">
        <v>35</v>
      </c>
      <c r="C156" s="271" t="str">
        <f>'7thMAY'!E156</f>
        <v/>
      </c>
      <c r="D156" s="227">
        <v>1.0</v>
      </c>
      <c r="E156" s="280"/>
      <c r="F156" s="235" t="s">
        <v>35</v>
      </c>
      <c r="G156" s="235"/>
      <c r="H156" s="272">
        <f>'7thMAY'!J156</f>
        <v>0.373</v>
      </c>
      <c r="I156" s="281">
        <v>1.0</v>
      </c>
      <c r="J156" s="282">
        <v>1.0</v>
      </c>
      <c r="K156" s="283"/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0.561</v>
      </c>
      <c r="N156" s="191"/>
      <c r="O156" s="247"/>
    </row>
    <row r="157">
      <c r="A157" s="12" t="s">
        <v>182</v>
      </c>
      <c r="B157" s="12" t="s">
        <v>35</v>
      </c>
      <c r="C157" s="271" t="str">
        <f>'7thMAY'!E157</f>
        <v/>
      </c>
      <c r="D157" s="191"/>
      <c r="E157" s="247"/>
      <c r="F157" s="235" t="s">
        <v>35</v>
      </c>
      <c r="G157" s="285"/>
      <c r="H157" s="272">
        <f>'7thMAY'!J157</f>
        <v>0.214</v>
      </c>
      <c r="I157" s="281">
        <v>1.0</v>
      </c>
      <c r="J157" s="282">
        <v>0.214</v>
      </c>
      <c r="K157" s="283"/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71" t="str">
        <f>'7thMAY'!E158</f>
        <v/>
      </c>
      <c r="D158" s="191"/>
      <c r="E158" s="247"/>
      <c r="F158" s="235" t="s">
        <v>14</v>
      </c>
      <c r="G158" s="235"/>
      <c r="H158" s="272" t="str">
        <f>'7thMAY'!J158</f>
        <v/>
      </c>
      <c r="I158" s="281">
        <v>1.0</v>
      </c>
      <c r="J158" s="284"/>
      <c r="K158" s="283"/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'7thMAY'!E159</f>
        <v/>
      </c>
      <c r="D159" s="191"/>
      <c r="E159" s="247"/>
      <c r="F159" s="235"/>
      <c r="G159" s="235"/>
      <c r="H159" s="272" t="str">
        <f>'7thMAY'!J159</f>
        <v/>
      </c>
      <c r="I159" s="281">
        <v>1.0</v>
      </c>
      <c r="J159" s="284"/>
      <c r="K159" s="283"/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'7thMAY'!E160</f>
        <v/>
      </c>
      <c r="D160" s="227">
        <v>3.0</v>
      </c>
      <c r="E160" s="247"/>
      <c r="F160" s="235" t="s">
        <v>17</v>
      </c>
      <c r="G160" s="235"/>
      <c r="H160" s="272" t="str">
        <f>'7thMAY'!J160</f>
        <v/>
      </c>
      <c r="I160" s="281">
        <v>1.0</v>
      </c>
      <c r="J160" s="282">
        <v>2.0</v>
      </c>
      <c r="K160" s="283"/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1</v>
      </c>
      <c r="N160" s="191"/>
      <c r="O160" s="247"/>
    </row>
    <row r="161">
      <c r="A161" s="12" t="s">
        <v>187</v>
      </c>
      <c r="B161" s="12" t="s">
        <v>17</v>
      </c>
      <c r="C161" s="271" t="str">
        <f>'7thMAY'!E161</f>
        <v/>
      </c>
      <c r="D161" s="227">
        <v>3.0</v>
      </c>
      <c r="E161" s="247"/>
      <c r="F161" s="235" t="s">
        <v>17</v>
      </c>
      <c r="G161" s="235"/>
      <c r="H161" s="272" t="str">
        <f>'7thMAY'!J161</f>
        <v/>
      </c>
      <c r="I161" s="281">
        <v>1.0</v>
      </c>
      <c r="J161" s="282">
        <v>2.0</v>
      </c>
      <c r="K161" s="283"/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1</v>
      </c>
      <c r="N161" s="191"/>
      <c r="O161" s="247"/>
    </row>
    <row r="162">
      <c r="A162" s="12" t="s">
        <v>188</v>
      </c>
      <c r="B162" s="12" t="s">
        <v>35</v>
      </c>
      <c r="C162" s="271" t="str">
        <f>'7thMAY'!E162</f>
        <v/>
      </c>
      <c r="D162" s="227">
        <v>3.5</v>
      </c>
      <c r="E162" s="247"/>
      <c r="F162" s="235" t="s">
        <v>35</v>
      </c>
      <c r="G162" s="235"/>
      <c r="H162" s="272" t="str">
        <f>'7thMAY'!J162</f>
        <v/>
      </c>
      <c r="I162" s="281">
        <v>1.0</v>
      </c>
      <c r="J162" s="284"/>
      <c r="K162" s="283"/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3.5</v>
      </c>
      <c r="N162" s="191"/>
      <c r="O162" s="247"/>
    </row>
    <row r="163">
      <c r="A163" s="12" t="s">
        <v>189</v>
      </c>
      <c r="B163" s="12" t="s">
        <v>17</v>
      </c>
      <c r="C163" s="271" t="str">
        <f>'7thMAY'!E163</f>
        <v/>
      </c>
      <c r="D163" s="227">
        <v>1.0</v>
      </c>
      <c r="E163" s="280"/>
      <c r="F163" s="235" t="s">
        <v>17</v>
      </c>
      <c r="G163" s="235"/>
      <c r="H163" s="272">
        <f>'7thMAY'!J163</f>
        <v>1.5</v>
      </c>
      <c r="I163" s="281">
        <v>1.0</v>
      </c>
      <c r="J163" s="282">
        <v>2.0</v>
      </c>
      <c r="K163" s="283"/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0.5</v>
      </c>
      <c r="N163" s="191"/>
      <c r="O163" s="247"/>
    </row>
    <row r="164">
      <c r="A164" s="12" t="s">
        <v>190</v>
      </c>
      <c r="B164" s="12" t="s">
        <v>17</v>
      </c>
      <c r="C164" s="271" t="str">
        <f>'7thMAY'!E164</f>
        <v/>
      </c>
      <c r="D164" s="191"/>
      <c r="E164" s="247"/>
      <c r="F164" s="235" t="s">
        <v>17</v>
      </c>
      <c r="G164" s="235"/>
      <c r="H164" s="272" t="str">
        <f>'7thMAY'!J164</f>
        <v/>
      </c>
      <c r="I164" s="281">
        <v>1.0</v>
      </c>
      <c r="J164" s="284"/>
      <c r="K164" s="283"/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'7thMAY'!E165</f>
        <v/>
      </c>
      <c r="D165" s="227">
        <v>0.8</v>
      </c>
      <c r="E165" s="247"/>
      <c r="F165" s="235" t="s">
        <v>35</v>
      </c>
      <c r="G165" s="235"/>
      <c r="H165" s="272" t="str">
        <f>'7thMAY'!J165</f>
        <v/>
      </c>
      <c r="I165" s="281">
        <v>1.0</v>
      </c>
      <c r="J165" s="284"/>
      <c r="K165" s="283"/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0.8</v>
      </c>
      <c r="N165" s="191"/>
      <c r="O165" s="247"/>
    </row>
    <row r="166">
      <c r="A166" s="12" t="s">
        <v>192</v>
      </c>
      <c r="B166" s="12" t="s">
        <v>35</v>
      </c>
      <c r="C166" s="271" t="str">
        <f>'7thMAY'!E166</f>
        <v/>
      </c>
      <c r="D166" s="227">
        <v>1.5</v>
      </c>
      <c r="E166" s="247"/>
      <c r="F166" s="235" t="s">
        <v>35</v>
      </c>
      <c r="G166" s="285"/>
      <c r="H166" s="272" t="str">
        <f>'7thMAY'!J166</f>
        <v/>
      </c>
      <c r="I166" s="281">
        <v>1.0</v>
      </c>
      <c r="J166" s="282">
        <v>0.832</v>
      </c>
      <c r="K166" s="283"/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0.668</v>
      </c>
      <c r="N166" s="191"/>
      <c r="O166" s="247"/>
    </row>
    <row r="167">
      <c r="A167" s="12" t="s">
        <v>193</v>
      </c>
      <c r="B167" s="12" t="s">
        <v>35</v>
      </c>
      <c r="C167" s="271" t="str">
        <f>'7thMAY'!E167</f>
        <v/>
      </c>
      <c r="D167" s="227">
        <v>7.5</v>
      </c>
      <c r="E167" s="247"/>
      <c r="F167" s="235" t="s">
        <v>35</v>
      </c>
      <c r="G167" s="235"/>
      <c r="H167" s="272" t="str">
        <f>'7thMAY'!J167</f>
        <v/>
      </c>
      <c r="I167" s="281">
        <v>1.0</v>
      </c>
      <c r="J167" s="282">
        <v>0.2</v>
      </c>
      <c r="K167" s="283"/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7.3</v>
      </c>
      <c r="N167" s="191"/>
      <c r="O167" s="247"/>
    </row>
    <row r="168">
      <c r="A168" s="12" t="s">
        <v>194</v>
      </c>
      <c r="B168" s="12" t="s">
        <v>17</v>
      </c>
      <c r="C168" s="271" t="str">
        <f>'7thMAY'!E168</f>
        <v/>
      </c>
      <c r="D168" s="227">
        <v>3.0</v>
      </c>
      <c r="E168" s="247"/>
      <c r="F168" s="235" t="s">
        <v>17</v>
      </c>
      <c r="G168" s="235"/>
      <c r="H168" s="272" t="str">
        <f>'7thMAY'!J168</f>
        <v/>
      </c>
      <c r="I168" s="281">
        <v>1.0</v>
      </c>
      <c r="J168" s="282">
        <v>1.5</v>
      </c>
      <c r="K168" s="283"/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1.5</v>
      </c>
      <c r="N168" s="191"/>
      <c r="O168" s="247"/>
    </row>
    <row r="169">
      <c r="A169" s="12" t="s">
        <v>195</v>
      </c>
      <c r="B169" s="12" t="s">
        <v>35</v>
      </c>
      <c r="C169" s="271" t="str">
        <f>'7thMAY'!E169</f>
        <v/>
      </c>
      <c r="D169" s="191"/>
      <c r="E169" s="247"/>
      <c r="F169" s="235" t="s">
        <v>35</v>
      </c>
      <c r="G169" s="235"/>
      <c r="H169" s="272">
        <f>'7thMAY'!J169</f>
        <v>0.8</v>
      </c>
      <c r="I169" s="281">
        <v>1.0</v>
      </c>
      <c r="J169" s="282"/>
      <c r="K169" s="283"/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0.8</v>
      </c>
      <c r="N169" s="191"/>
      <c r="O169" s="247"/>
    </row>
    <row r="170">
      <c r="A170" s="12" t="s">
        <v>196</v>
      </c>
      <c r="B170" s="12" t="s">
        <v>35</v>
      </c>
      <c r="C170" s="271" t="str">
        <f>'7thMAY'!E170</f>
        <v/>
      </c>
      <c r="D170" s="191"/>
      <c r="E170" s="247"/>
      <c r="F170" s="235" t="s">
        <v>35</v>
      </c>
      <c r="G170" s="235"/>
      <c r="H170" s="272">
        <v>0.61</v>
      </c>
      <c r="I170" s="281">
        <v>1.0</v>
      </c>
      <c r="J170" s="282">
        <v>0.61</v>
      </c>
      <c r="K170" s="283"/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</v>
      </c>
      <c r="N170" s="191"/>
      <c r="O170" s="247"/>
    </row>
    <row r="171">
      <c r="A171" s="12" t="s">
        <v>197</v>
      </c>
      <c r="B171" s="12" t="s">
        <v>35</v>
      </c>
      <c r="C171" s="271" t="str">
        <f>'7thMAY'!E171</f>
        <v/>
      </c>
      <c r="D171" s="191"/>
      <c r="E171" s="247"/>
      <c r="F171" s="235" t="s">
        <v>35</v>
      </c>
      <c r="G171" s="285"/>
      <c r="H171" s="272" t="str">
        <f>'7thMAY'!J171</f>
        <v/>
      </c>
      <c r="I171" s="281">
        <v>1.0</v>
      </c>
      <c r="J171" s="282"/>
      <c r="K171" s="283"/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0</v>
      </c>
      <c r="N171" s="191"/>
      <c r="O171" s="247"/>
    </row>
    <row r="172">
      <c r="A172" s="12" t="s">
        <v>198</v>
      </c>
      <c r="B172" s="12" t="s">
        <v>35</v>
      </c>
      <c r="C172" s="271" t="str">
        <f>'7thMAY'!E172</f>
        <v/>
      </c>
      <c r="D172" s="227">
        <v>1.0</v>
      </c>
      <c r="E172" s="247"/>
      <c r="F172" s="235" t="s">
        <v>35</v>
      </c>
      <c r="G172" s="235"/>
      <c r="H172" s="272">
        <f>'7thMAY'!J172</f>
        <v>1</v>
      </c>
      <c r="I172" s="281">
        <v>1.0</v>
      </c>
      <c r="J172" s="282"/>
      <c r="K172" s="283"/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2</v>
      </c>
      <c r="N172" s="191"/>
      <c r="O172" s="247"/>
    </row>
    <row r="173">
      <c r="A173" s="12" t="s">
        <v>199</v>
      </c>
      <c r="B173" s="12" t="s">
        <v>35</v>
      </c>
      <c r="C173" s="271" t="str">
        <f>'7thMAY'!E173</f>
        <v/>
      </c>
      <c r="D173" s="227">
        <v>0.9</v>
      </c>
      <c r="E173" s="247"/>
      <c r="F173" s="235" t="s">
        <v>35</v>
      </c>
      <c r="G173" s="235"/>
      <c r="H173" s="272">
        <f>'7thMAY'!J173</f>
        <v>0.251</v>
      </c>
      <c r="I173" s="281">
        <v>1.0</v>
      </c>
      <c r="J173" s="282">
        <v>0.1</v>
      </c>
      <c r="K173" s="283"/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1.051</v>
      </c>
      <c r="N173" s="191"/>
      <c r="O173" s="247"/>
    </row>
    <row r="174">
      <c r="A174" s="12" t="s">
        <v>200</v>
      </c>
      <c r="B174" s="12" t="s">
        <v>35</v>
      </c>
      <c r="C174" s="271" t="str">
        <f>'7thMAY'!E174</f>
        <v/>
      </c>
      <c r="D174" s="227">
        <v>0.9</v>
      </c>
      <c r="E174" s="247"/>
      <c r="F174" s="235" t="s">
        <v>35</v>
      </c>
      <c r="G174" s="235"/>
      <c r="H174" s="272" t="str">
        <f>'7thMAY'!J174</f>
        <v/>
      </c>
      <c r="I174" s="281">
        <v>1.0</v>
      </c>
      <c r="J174" s="284"/>
      <c r="K174" s="283"/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0.9</v>
      </c>
      <c r="N174" s="191"/>
      <c r="O174" s="247"/>
    </row>
    <row r="175">
      <c r="A175" s="12" t="s">
        <v>201</v>
      </c>
      <c r="B175" s="12" t="s">
        <v>202</v>
      </c>
      <c r="C175" s="271" t="str">
        <f>'7thMAY'!E175</f>
        <v/>
      </c>
      <c r="D175" s="191"/>
      <c r="E175" s="247"/>
      <c r="F175" s="235" t="s">
        <v>202</v>
      </c>
      <c r="G175" s="235"/>
      <c r="H175" s="272" t="str">
        <f>'7thMAY'!J175</f>
        <v/>
      </c>
      <c r="I175" s="281">
        <v>1.0</v>
      </c>
      <c r="J175" s="284"/>
      <c r="K175" s="283"/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'7thMAY'!E176</f>
        <v/>
      </c>
      <c r="D176" s="227">
        <v>1.0</v>
      </c>
      <c r="E176" s="247"/>
      <c r="F176" s="235" t="s">
        <v>202</v>
      </c>
      <c r="G176" s="235"/>
      <c r="H176" s="272" t="str">
        <f>'7thMAY'!J176</f>
        <v/>
      </c>
      <c r="I176" s="281">
        <v>1.0</v>
      </c>
      <c r="J176" s="282">
        <v>1.0</v>
      </c>
      <c r="K176" s="283"/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0</v>
      </c>
      <c r="N176" s="191"/>
      <c r="O176" s="247"/>
    </row>
    <row r="177">
      <c r="A177" s="12" t="s">
        <v>205</v>
      </c>
      <c r="B177" s="12" t="s">
        <v>202</v>
      </c>
      <c r="C177" s="271" t="str">
        <f>'7thMAY'!E177</f>
        <v/>
      </c>
      <c r="D177" s="191"/>
      <c r="E177" s="247"/>
      <c r="F177" s="235" t="s">
        <v>202</v>
      </c>
      <c r="G177" s="235"/>
      <c r="H177" s="272">
        <f>'7thMAY'!J177</f>
        <v>2</v>
      </c>
      <c r="I177" s="281">
        <v>1.0</v>
      </c>
      <c r="J177" s="284"/>
      <c r="K177" s="283"/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2</v>
      </c>
      <c r="N177" s="191"/>
      <c r="O177" s="247"/>
    </row>
    <row r="178">
      <c r="A178" s="12" t="s">
        <v>206</v>
      </c>
      <c r="B178" s="12" t="s">
        <v>207</v>
      </c>
      <c r="C178" s="271" t="str">
        <f>'7thMAY'!E178</f>
        <v/>
      </c>
      <c r="D178" s="227"/>
      <c r="E178" s="247"/>
      <c r="F178" s="235" t="s">
        <v>17</v>
      </c>
      <c r="G178" s="235"/>
      <c r="H178" s="272">
        <f>'7thMAY'!J178</f>
        <v>38</v>
      </c>
      <c r="I178" s="281">
        <v>1.0</v>
      </c>
      <c r="J178" s="282">
        <v>10.0</v>
      </c>
      <c r="K178" s="283"/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28</v>
      </c>
      <c r="N178" s="191"/>
      <c r="O178" s="247"/>
    </row>
    <row r="179">
      <c r="A179" s="12" t="s">
        <v>209</v>
      </c>
      <c r="B179" s="12" t="s">
        <v>17</v>
      </c>
      <c r="C179" s="271" t="str">
        <f>'7thMAY'!E179</f>
        <v/>
      </c>
      <c r="D179" s="191"/>
      <c r="E179" s="247"/>
      <c r="F179" s="235" t="s">
        <v>17</v>
      </c>
      <c r="G179" s="235"/>
      <c r="H179" s="272" t="str">
        <f>'7thMAY'!J179</f>
        <v/>
      </c>
      <c r="I179" s="281">
        <v>1.0</v>
      </c>
      <c r="J179" s="284"/>
      <c r="K179" s="283"/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'7thMAY'!E180</f>
        <v/>
      </c>
      <c r="D180" s="227">
        <v>1.0</v>
      </c>
      <c r="E180" s="247"/>
      <c r="F180" s="235" t="s">
        <v>202</v>
      </c>
      <c r="G180" s="285"/>
      <c r="H180" s="272" t="str">
        <f>'7thMAY'!J180</f>
        <v/>
      </c>
      <c r="I180" s="281">
        <v>1.0</v>
      </c>
      <c r="J180" s="282">
        <v>1.0</v>
      </c>
      <c r="K180" s="283"/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0</v>
      </c>
      <c r="N180" s="191"/>
      <c r="O180" s="247"/>
    </row>
    <row r="181">
      <c r="A181" s="12" t="s">
        <v>211</v>
      </c>
      <c r="B181" s="12" t="s">
        <v>202</v>
      </c>
      <c r="C181" s="271" t="str">
        <f>'7thMAY'!E181</f>
        <v/>
      </c>
      <c r="D181" s="227"/>
      <c r="E181" s="247"/>
      <c r="F181" s="235" t="s">
        <v>202</v>
      </c>
      <c r="G181" s="285">
        <v>1.0</v>
      </c>
      <c r="H181" s="272" t="str">
        <f>'7thMAY'!J181</f>
        <v/>
      </c>
      <c r="I181" s="281">
        <v>1.0</v>
      </c>
      <c r="J181" s="282">
        <v>1.0</v>
      </c>
      <c r="K181" s="283"/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71" t="str">
        <f>'7thMAY'!E182</f>
        <v/>
      </c>
      <c r="D182" s="227">
        <v>1.0</v>
      </c>
      <c r="E182" s="247"/>
      <c r="F182" s="235" t="s">
        <v>202</v>
      </c>
      <c r="G182" s="235"/>
      <c r="H182" s="272">
        <f>'7thMAY'!J182</f>
        <v>0.5</v>
      </c>
      <c r="I182" s="281">
        <v>1.0</v>
      </c>
      <c r="J182" s="282">
        <v>1.0</v>
      </c>
      <c r="K182" s="283"/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0.5</v>
      </c>
      <c r="N182" s="191"/>
      <c r="O182" s="247"/>
    </row>
    <row r="183">
      <c r="A183" s="12" t="s">
        <v>213</v>
      </c>
      <c r="B183" s="12" t="s">
        <v>35</v>
      </c>
      <c r="C183" s="271" t="str">
        <f>'7thMAY'!E183</f>
        <v/>
      </c>
      <c r="D183" s="191"/>
      <c r="E183" s="247"/>
      <c r="F183" s="235" t="s">
        <v>35</v>
      </c>
      <c r="G183" s="235"/>
      <c r="H183" s="272" t="str">
        <f>'7thMAY'!J183</f>
        <v/>
      </c>
      <c r="I183" s="281">
        <v>1.0</v>
      </c>
      <c r="J183" s="284"/>
      <c r="K183" s="283"/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'7thMAY'!E184</f>
        <v/>
      </c>
      <c r="D184" s="191"/>
      <c r="E184" s="247"/>
      <c r="F184" s="235" t="s">
        <v>35</v>
      </c>
      <c r="G184" s="235"/>
      <c r="H184" s="272">
        <f>'7thMAY'!J184</f>
        <v>0.1</v>
      </c>
      <c r="I184" s="281">
        <v>1.0</v>
      </c>
      <c r="J184" s="282"/>
      <c r="K184" s="283"/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0.02</v>
      </c>
      <c r="N184" s="191"/>
      <c r="O184" s="247"/>
    </row>
    <row r="185">
      <c r="A185" s="12" t="s">
        <v>215</v>
      </c>
      <c r="B185" s="12" t="s">
        <v>35</v>
      </c>
      <c r="C185" s="271" t="str">
        <f>'7thMAY'!E185</f>
        <v/>
      </c>
      <c r="D185" s="227">
        <v>1.0</v>
      </c>
      <c r="E185" s="247"/>
      <c r="F185" s="235" t="s">
        <v>35</v>
      </c>
      <c r="G185" s="235"/>
      <c r="H185" s="272" t="str">
        <f>'7thMAY'!J185</f>
        <v/>
      </c>
      <c r="I185" s="281">
        <v>1.0</v>
      </c>
      <c r="J185" s="284"/>
      <c r="K185" s="283"/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1</v>
      </c>
      <c r="N185" s="191"/>
      <c r="O185" s="247"/>
    </row>
    <row r="186">
      <c r="A186" s="12" t="s">
        <v>216</v>
      </c>
      <c r="B186" s="12" t="s">
        <v>17</v>
      </c>
      <c r="C186" s="271" t="str">
        <f>'7thMAY'!E186</f>
        <v/>
      </c>
      <c r="D186" s="191"/>
      <c r="E186" s="247"/>
      <c r="F186" s="235" t="s">
        <v>17</v>
      </c>
      <c r="G186" s="235"/>
      <c r="H186" s="272">
        <f>'7thMAY'!J186</f>
        <v>1</v>
      </c>
      <c r="I186" s="281">
        <v>1.0</v>
      </c>
      <c r="J186" s="282">
        <v>0.25</v>
      </c>
      <c r="K186" s="283"/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0.75</v>
      </c>
      <c r="N186" s="191"/>
      <c r="O186" s="247"/>
    </row>
    <row r="187">
      <c r="A187" s="12" t="s">
        <v>217</v>
      </c>
      <c r="B187" s="12" t="s">
        <v>35</v>
      </c>
      <c r="C187" s="271" t="str">
        <f>'7thMAY'!E187</f>
        <v/>
      </c>
      <c r="D187" s="191"/>
      <c r="E187" s="247"/>
      <c r="F187" s="235" t="s">
        <v>35</v>
      </c>
      <c r="G187" s="235"/>
      <c r="H187" s="272">
        <f>'7thMAY'!J187</f>
        <v>0.55</v>
      </c>
      <c r="I187" s="281">
        <v>1.0</v>
      </c>
      <c r="J187" s="282"/>
      <c r="K187" s="283"/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0.55</v>
      </c>
      <c r="N187" s="191"/>
      <c r="O187" s="247"/>
    </row>
    <row r="188">
      <c r="A188" s="12" t="s">
        <v>218</v>
      </c>
      <c r="B188" s="12" t="s">
        <v>17</v>
      </c>
      <c r="C188" s="271" t="str">
        <f>'7thMAY'!E188</f>
        <v/>
      </c>
      <c r="D188" s="227"/>
      <c r="E188" s="247"/>
      <c r="F188" s="235" t="s">
        <v>17</v>
      </c>
      <c r="G188" s="235"/>
      <c r="H188" s="272">
        <f>'7thMAY'!J188</f>
        <v>3</v>
      </c>
      <c r="I188" s="281">
        <v>1.0</v>
      </c>
      <c r="J188" s="282"/>
      <c r="K188" s="283"/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3</v>
      </c>
      <c r="N188" s="191"/>
      <c r="O188" s="247"/>
    </row>
    <row r="189">
      <c r="A189" s="12" t="s">
        <v>220</v>
      </c>
      <c r="B189" s="12" t="s">
        <v>35</v>
      </c>
      <c r="C189" s="271" t="str">
        <f>'7thMAY'!E189</f>
        <v/>
      </c>
      <c r="D189" s="191"/>
      <c r="E189" s="247"/>
      <c r="F189" s="235" t="s">
        <v>35</v>
      </c>
      <c r="G189" s="235"/>
      <c r="H189" s="272" t="str">
        <f>'7thMAY'!J189</f>
        <v/>
      </c>
      <c r="I189" s="281">
        <v>1.0</v>
      </c>
      <c r="J189" s="284"/>
      <c r="K189" s="283"/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'7thMAY'!E190</f>
        <v/>
      </c>
      <c r="D190" s="227">
        <v>7.0</v>
      </c>
      <c r="E190" s="247"/>
      <c r="F190" s="235" t="s">
        <v>17</v>
      </c>
      <c r="G190" s="235"/>
      <c r="H190" s="272">
        <f>'7thMAY'!J190</f>
        <v>1.5</v>
      </c>
      <c r="I190" s="281">
        <v>1.0</v>
      </c>
      <c r="J190" s="282">
        <v>2.0</v>
      </c>
      <c r="K190" s="283"/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6.5</v>
      </c>
      <c r="N190" s="191"/>
      <c r="O190" s="247"/>
    </row>
    <row r="191">
      <c r="A191" s="12" t="s">
        <v>222</v>
      </c>
      <c r="B191" s="12" t="s">
        <v>17</v>
      </c>
      <c r="C191" s="271" t="str">
        <f>'7thMAY'!E191</f>
        <v/>
      </c>
      <c r="D191" s="191"/>
      <c r="E191" s="247"/>
      <c r="F191" s="235" t="s">
        <v>17</v>
      </c>
      <c r="G191" s="235"/>
      <c r="H191" s="272" t="str">
        <f>'7thMAY'!J191</f>
        <v/>
      </c>
      <c r="I191" s="281">
        <v>1.0</v>
      </c>
      <c r="J191" s="284"/>
      <c r="K191" s="283"/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'7thMAY'!E192</f>
        <v/>
      </c>
      <c r="D192" s="227">
        <v>3.0</v>
      </c>
      <c r="E192" s="247"/>
      <c r="F192" s="235" t="s">
        <v>17</v>
      </c>
      <c r="G192" s="235"/>
      <c r="H192" s="272" t="str">
        <f>'7thMAY'!J192</f>
        <v/>
      </c>
      <c r="I192" s="281">
        <v>1.0</v>
      </c>
      <c r="J192" s="284"/>
      <c r="K192" s="283"/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3</v>
      </c>
      <c r="N192" s="191"/>
      <c r="O192" s="247"/>
    </row>
    <row r="193">
      <c r="A193" s="12" t="s">
        <v>224</v>
      </c>
      <c r="B193" s="12" t="s">
        <v>202</v>
      </c>
      <c r="C193" s="271" t="str">
        <f>'7thMAY'!E193</f>
        <v/>
      </c>
      <c r="D193" s="227"/>
      <c r="E193" s="247"/>
      <c r="F193" s="235" t="s">
        <v>202</v>
      </c>
      <c r="G193" s="285">
        <v>1.0</v>
      </c>
      <c r="H193" s="272" t="str">
        <f>'7thMAY'!J193</f>
        <v/>
      </c>
      <c r="I193" s="281">
        <v>1.0</v>
      </c>
      <c r="J193" s="282">
        <v>1.0</v>
      </c>
      <c r="K193" s="283"/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</v>
      </c>
      <c r="N193" s="191"/>
      <c r="O193" s="247"/>
    </row>
    <row r="194">
      <c r="A194" s="12" t="s">
        <v>225</v>
      </c>
      <c r="B194" s="12" t="s">
        <v>35</v>
      </c>
      <c r="C194" s="271" t="str">
        <f>'7thMAY'!E194</f>
        <v/>
      </c>
      <c r="D194" s="191"/>
      <c r="E194" s="247"/>
      <c r="F194" s="235" t="s">
        <v>35</v>
      </c>
      <c r="G194" s="285">
        <v>1.0</v>
      </c>
      <c r="H194" s="272">
        <f>'7thMAY'!J194</f>
        <v>0.145</v>
      </c>
      <c r="I194" s="281">
        <v>1.0</v>
      </c>
      <c r="J194" s="282">
        <v>1.0</v>
      </c>
      <c r="K194" s="283"/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0.145</v>
      </c>
      <c r="N194" s="191"/>
      <c r="O194" s="247"/>
    </row>
    <row r="195">
      <c r="A195" s="12" t="s">
        <v>227</v>
      </c>
      <c r="B195" s="12" t="s">
        <v>35</v>
      </c>
      <c r="C195" s="271" t="str">
        <f>'7thMAY'!E195</f>
        <v/>
      </c>
      <c r="D195" s="191"/>
      <c r="E195" s="247"/>
      <c r="F195" s="235" t="s">
        <v>35</v>
      </c>
      <c r="G195" s="285"/>
      <c r="H195" s="272">
        <f>'7thMAY'!J195</f>
        <v>0.23</v>
      </c>
      <c r="I195" s="281">
        <v>1.0</v>
      </c>
      <c r="J195" s="282"/>
      <c r="K195" s="283"/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0.23</v>
      </c>
      <c r="N195" s="191"/>
      <c r="O195" s="247"/>
    </row>
    <row r="196">
      <c r="A196" s="12" t="s">
        <v>228</v>
      </c>
      <c r="B196" s="12" t="s">
        <v>155</v>
      </c>
      <c r="C196" s="271" t="str">
        <f>'7thMAY'!E196</f>
        <v/>
      </c>
      <c r="D196" s="227">
        <v>1.0</v>
      </c>
      <c r="E196" s="280">
        <v>1.0</v>
      </c>
      <c r="F196" s="235" t="s">
        <v>35</v>
      </c>
      <c r="G196" s="235"/>
      <c r="H196" s="272" t="str">
        <f>'7thMAY'!J196</f>
        <v/>
      </c>
      <c r="I196" s="281">
        <v>1.0</v>
      </c>
      <c r="J196" s="284"/>
      <c r="K196" s="283"/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</v>
      </c>
      <c r="N196" s="191"/>
      <c r="O196" s="247"/>
    </row>
    <row r="197">
      <c r="A197" s="12" t="s">
        <v>229</v>
      </c>
      <c r="B197" s="12" t="s">
        <v>17</v>
      </c>
      <c r="C197" s="271" t="str">
        <f>'7thMAY'!E197</f>
        <v/>
      </c>
      <c r="D197" s="227">
        <v>0.5</v>
      </c>
      <c r="E197" s="247"/>
      <c r="F197" s="235" t="s">
        <v>17</v>
      </c>
      <c r="G197" s="235"/>
      <c r="H197" s="272" t="str">
        <f>'7thMAY'!J197</f>
        <v/>
      </c>
      <c r="I197" s="281">
        <v>1.0</v>
      </c>
      <c r="J197" s="282">
        <v>0.5</v>
      </c>
      <c r="K197" s="283"/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0</v>
      </c>
      <c r="N197" s="191"/>
      <c r="O197" s="247"/>
    </row>
    <row r="198">
      <c r="A198" s="12" t="s">
        <v>231</v>
      </c>
      <c r="B198" s="12" t="s">
        <v>35</v>
      </c>
      <c r="C198" s="271" t="str">
        <f>'7thMAY'!E198</f>
        <v/>
      </c>
      <c r="D198" s="191"/>
      <c r="E198" s="247"/>
      <c r="F198" s="235" t="s">
        <v>35</v>
      </c>
      <c r="G198" s="235"/>
      <c r="H198" s="272" t="str">
        <f>'7thMAY'!J198</f>
        <v/>
      </c>
      <c r="I198" s="281">
        <v>1.0</v>
      </c>
      <c r="J198" s="282"/>
      <c r="K198" s="283"/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</v>
      </c>
      <c r="N198" s="191"/>
      <c r="O198" s="247"/>
    </row>
    <row r="199">
      <c r="A199" s="12" t="s">
        <v>232</v>
      </c>
      <c r="B199" s="12" t="s">
        <v>202</v>
      </c>
      <c r="C199" s="271" t="str">
        <f>'7thMAY'!E199</f>
        <v/>
      </c>
      <c r="D199" s="191"/>
      <c r="E199" s="247"/>
      <c r="F199" s="235" t="s">
        <v>202</v>
      </c>
      <c r="G199" s="285"/>
      <c r="H199" s="272">
        <f>'7thMAY'!J199</f>
        <v>1</v>
      </c>
      <c r="I199" s="281">
        <v>1.0</v>
      </c>
      <c r="J199" s="282">
        <v>0.25</v>
      </c>
      <c r="K199" s="283"/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0.75</v>
      </c>
      <c r="N199" s="191"/>
      <c r="O199" s="247"/>
    </row>
    <row r="200">
      <c r="A200" s="12" t="s">
        <v>233</v>
      </c>
      <c r="B200" s="12" t="s">
        <v>17</v>
      </c>
      <c r="C200" s="271" t="str">
        <f>'7thMAY'!E200</f>
        <v/>
      </c>
      <c r="D200" s="227">
        <v>1.0</v>
      </c>
      <c r="E200" s="280"/>
      <c r="F200" s="235" t="s">
        <v>234</v>
      </c>
      <c r="G200" s="285"/>
      <c r="H200" s="272" t="str">
        <f>'7thMAY'!J200</f>
        <v/>
      </c>
      <c r="I200" s="281">
        <v>1.0</v>
      </c>
      <c r="J200" s="282"/>
      <c r="K200" s="283"/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1</v>
      </c>
      <c r="N200" s="191"/>
      <c r="O200" s="247"/>
    </row>
    <row r="201">
      <c r="A201" s="25" t="s">
        <v>235</v>
      </c>
      <c r="B201" s="26" t="s">
        <v>202</v>
      </c>
      <c r="C201" s="271" t="str">
        <f>'7thMAY'!E201</f>
        <v/>
      </c>
      <c r="D201" s="227"/>
      <c r="E201" s="247"/>
      <c r="F201" s="235" t="s">
        <v>202</v>
      </c>
      <c r="G201" s="235"/>
      <c r="H201" s="272">
        <f>'7thMAY'!J201</f>
        <v>0.5</v>
      </c>
      <c r="I201" s="281">
        <v>1.0</v>
      </c>
      <c r="J201" s="282">
        <v>0.5</v>
      </c>
      <c r="K201" s="283"/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</v>
      </c>
      <c r="N201" s="191"/>
      <c r="O201" s="247"/>
    </row>
    <row r="202">
      <c r="A202" s="25" t="s">
        <v>236</v>
      </c>
      <c r="B202" s="26" t="s">
        <v>237</v>
      </c>
      <c r="C202" s="271" t="str">
        <f>'7thMAY'!E202</f>
        <v/>
      </c>
      <c r="D202" s="191"/>
      <c r="E202" s="247"/>
      <c r="F202" s="235" t="s">
        <v>35</v>
      </c>
      <c r="G202" s="285">
        <v>0.227</v>
      </c>
      <c r="H202" s="272">
        <f>'7thMAY'!J202</f>
        <v>0.471</v>
      </c>
      <c r="I202" s="281">
        <v>1.0</v>
      </c>
      <c r="J202" s="282">
        <v>0.698</v>
      </c>
      <c r="K202" s="283"/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</v>
      </c>
      <c r="N202" s="191"/>
      <c r="O202" s="247"/>
    </row>
    <row r="203">
      <c r="A203" s="25" t="s">
        <v>238</v>
      </c>
      <c r="B203" s="26" t="s">
        <v>202</v>
      </c>
      <c r="C203" s="271" t="str">
        <f>'7thMAY'!E203</f>
        <v/>
      </c>
      <c r="D203" s="227"/>
      <c r="E203" s="247"/>
      <c r="F203" s="235" t="s">
        <v>202</v>
      </c>
      <c r="G203" s="235"/>
      <c r="H203" s="272">
        <f>'7thMAY'!J203</f>
        <v>0.25</v>
      </c>
      <c r="I203" s="281">
        <v>1.0</v>
      </c>
      <c r="J203" s="282">
        <v>0.25</v>
      </c>
      <c r="K203" s="283"/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71" t="str">
        <f>'7thMAY'!E204</f>
        <v/>
      </c>
      <c r="D204" s="191"/>
      <c r="E204" s="247"/>
      <c r="F204" s="235" t="s">
        <v>35</v>
      </c>
      <c r="G204" s="235"/>
      <c r="H204" s="272" t="str">
        <f>'7thMAY'!J204</f>
        <v/>
      </c>
      <c r="I204" s="281">
        <v>1.0</v>
      </c>
      <c r="J204" s="284"/>
      <c r="K204" s="283"/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'7thMAY'!E205</f>
        <v/>
      </c>
      <c r="D205" s="227"/>
      <c r="E205" s="247"/>
      <c r="F205" s="235" t="s">
        <v>17</v>
      </c>
      <c r="G205" s="285">
        <v>3.0</v>
      </c>
      <c r="H205" s="272" t="str">
        <f>'7thMAY'!J205</f>
        <v/>
      </c>
      <c r="I205" s="281">
        <v>1.0</v>
      </c>
      <c r="J205" s="282">
        <v>2.0</v>
      </c>
      <c r="K205" s="283"/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1</v>
      </c>
      <c r="N205" s="191"/>
      <c r="O205" s="247"/>
    </row>
    <row r="206">
      <c r="A206" s="12" t="s">
        <v>242</v>
      </c>
      <c r="B206" s="12" t="s">
        <v>35</v>
      </c>
      <c r="C206" s="271" t="str">
        <f>'7thMAY'!E206</f>
        <v/>
      </c>
      <c r="D206" s="227">
        <v>200.0</v>
      </c>
      <c r="E206" s="247"/>
      <c r="F206" s="235" t="s">
        <v>35</v>
      </c>
      <c r="G206" s="235"/>
      <c r="H206" s="272">
        <f>'7thMAY'!J206</f>
        <v>50</v>
      </c>
      <c r="I206" s="281">
        <v>1.0</v>
      </c>
      <c r="J206" s="282">
        <v>160.0</v>
      </c>
      <c r="K206" s="283"/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90</v>
      </c>
      <c r="N206" s="191"/>
      <c r="O206" s="247"/>
    </row>
    <row r="207">
      <c r="A207" s="12" t="s">
        <v>243</v>
      </c>
      <c r="B207" s="12" t="s">
        <v>241</v>
      </c>
      <c r="C207" s="271">
        <f>'7thMAY'!E207</f>
        <v>3</v>
      </c>
      <c r="D207" s="227">
        <v>14.0</v>
      </c>
      <c r="E207" s="280">
        <v>5.0</v>
      </c>
      <c r="F207" s="235" t="s">
        <v>17</v>
      </c>
      <c r="G207" s="285"/>
      <c r="H207" s="272" t="str">
        <f>'7thMAY'!J207</f>
        <v/>
      </c>
      <c r="I207" s="281">
        <v>1.0</v>
      </c>
      <c r="J207" s="282"/>
      <c r="K207" s="283"/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12</v>
      </c>
      <c r="N207" s="191"/>
      <c r="O207" s="247"/>
    </row>
    <row r="208">
      <c r="A208" s="10" t="s">
        <v>245</v>
      </c>
      <c r="B208" s="11"/>
      <c r="C208" s="271" t="str">
        <f>'7thMAY'!E208</f>
        <v/>
      </c>
      <c r="D208" s="191"/>
      <c r="E208" s="247"/>
      <c r="F208" s="235"/>
      <c r="G208" s="235"/>
      <c r="H208" s="272" t="str">
        <f>'7thMAY'!J208</f>
        <v/>
      </c>
      <c r="I208" s="281">
        <v>1.0</v>
      </c>
      <c r="J208" s="284"/>
      <c r="K208" s="283"/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'7thMAY'!E209</f>
        <v/>
      </c>
      <c r="D209" s="227">
        <v>2.0</v>
      </c>
      <c r="E209" s="247"/>
      <c r="F209" s="235" t="s">
        <v>155</v>
      </c>
      <c r="G209" s="285"/>
      <c r="H209" s="272">
        <f>'7thMAY'!J209</f>
        <v>1</v>
      </c>
      <c r="I209" s="281">
        <v>1.0</v>
      </c>
      <c r="J209" s="282">
        <v>1.0</v>
      </c>
      <c r="K209" s="283"/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1</v>
      </c>
      <c r="N209" s="191"/>
      <c r="O209" s="247"/>
    </row>
    <row r="210">
      <c r="A210" s="12" t="s">
        <v>247</v>
      </c>
      <c r="B210" s="13" t="s">
        <v>59</v>
      </c>
      <c r="C210" s="271">
        <f>'7thMAY'!E210</f>
        <v>1</v>
      </c>
      <c r="D210" s="227">
        <v>1.0</v>
      </c>
      <c r="E210" s="280">
        <v>1.0</v>
      </c>
      <c r="F210" s="235" t="s">
        <v>35</v>
      </c>
      <c r="G210" s="235"/>
      <c r="H210" s="272" t="str">
        <f>'7thMAY'!J210</f>
        <v/>
      </c>
      <c r="I210" s="281">
        <v>1.0</v>
      </c>
      <c r="J210" s="282"/>
      <c r="K210" s="283"/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0.5</v>
      </c>
      <c r="N210" s="191"/>
      <c r="O210" s="247"/>
    </row>
    <row r="211">
      <c r="A211" s="12" t="s">
        <v>248</v>
      </c>
      <c r="B211" s="13" t="s">
        <v>59</v>
      </c>
      <c r="C211" s="271">
        <f>'7thMAY'!E211</f>
        <v>1</v>
      </c>
      <c r="D211" s="227">
        <v>1.0</v>
      </c>
      <c r="E211" s="280">
        <v>1.0</v>
      </c>
      <c r="F211" s="235" t="s">
        <v>35</v>
      </c>
      <c r="G211" s="235"/>
      <c r="H211" s="272" t="str">
        <f>'7thMAY'!J211</f>
        <v/>
      </c>
      <c r="I211" s="281">
        <v>1.0</v>
      </c>
      <c r="J211" s="284"/>
      <c r="K211" s="283"/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0.45</v>
      </c>
      <c r="N211" s="191"/>
      <c r="O211" s="247"/>
    </row>
    <row r="212">
      <c r="A212" s="12" t="s">
        <v>250</v>
      </c>
      <c r="B212" s="13" t="s">
        <v>59</v>
      </c>
      <c r="C212" s="271" t="str">
        <f>'7thMAY'!E212</f>
        <v/>
      </c>
      <c r="D212" s="191"/>
      <c r="E212" s="280"/>
      <c r="F212" s="235" t="s">
        <v>35</v>
      </c>
      <c r="G212" s="285">
        <v>0.227</v>
      </c>
      <c r="H212" s="272">
        <f>'7thMAY'!J212</f>
        <v>0.0392</v>
      </c>
      <c r="I212" s="281">
        <v>1.0</v>
      </c>
      <c r="J212" s="282">
        <v>0.227</v>
      </c>
      <c r="K212" s="283"/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0.0392</v>
      </c>
      <c r="N212" s="191"/>
      <c r="O212" s="247"/>
    </row>
    <row r="213">
      <c r="A213" s="12" t="s">
        <v>251</v>
      </c>
      <c r="B213" s="13" t="s">
        <v>34</v>
      </c>
      <c r="C213" s="271" t="str">
        <f>'7thMAY'!E213</f>
        <v/>
      </c>
      <c r="D213" s="191"/>
      <c r="E213" s="247"/>
      <c r="F213" s="235" t="s">
        <v>35</v>
      </c>
      <c r="G213" s="235"/>
      <c r="H213" s="272" t="str">
        <f>'7thMAY'!J213</f>
        <v/>
      </c>
      <c r="I213" s="281">
        <v>1.0</v>
      </c>
      <c r="J213" s="284"/>
      <c r="K213" s="283"/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'7thMAY'!E214</f>
        <v/>
      </c>
      <c r="D214" s="191"/>
      <c r="E214" s="247"/>
      <c r="F214" s="235"/>
      <c r="G214" s="235"/>
      <c r="H214" s="272" t="str">
        <f>'7thMAY'!J214</f>
        <v/>
      </c>
      <c r="I214" s="281">
        <v>1.0</v>
      </c>
      <c r="J214" s="284"/>
      <c r="K214" s="283"/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'7thMAY'!E215</f>
        <v/>
      </c>
      <c r="D215" s="191"/>
      <c r="E215" s="247"/>
      <c r="F215" s="235" t="s">
        <v>254</v>
      </c>
      <c r="G215" s="235"/>
      <c r="H215" s="272" t="str">
        <f>'7thMAY'!J215</f>
        <v/>
      </c>
      <c r="I215" s="281">
        <v>1.0</v>
      </c>
      <c r="J215" s="284"/>
      <c r="K215" s="283"/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'7thMAY'!E216</f>
        <v/>
      </c>
      <c r="D216" s="191"/>
      <c r="E216" s="247"/>
      <c r="F216" s="235" t="s">
        <v>234</v>
      </c>
      <c r="G216" s="235"/>
      <c r="H216" s="272" t="str">
        <f>'7thMAY'!J216</f>
        <v/>
      </c>
      <c r="I216" s="281">
        <v>1.0</v>
      </c>
      <c r="J216" s="284"/>
      <c r="K216" s="283"/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'7thMAY'!E217</f>
        <v/>
      </c>
      <c r="D217" s="227">
        <v>20.0</v>
      </c>
      <c r="E217" s="247"/>
      <c r="F217" s="235" t="s">
        <v>17</v>
      </c>
      <c r="G217" s="235"/>
      <c r="H217" s="272">
        <f>'7thMAY'!J217</f>
        <v>5</v>
      </c>
      <c r="I217" s="281">
        <v>1.0</v>
      </c>
      <c r="J217" s="282">
        <v>21.0</v>
      </c>
      <c r="K217" s="283"/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4</v>
      </c>
      <c r="N217" s="191"/>
      <c r="O217" s="247"/>
    </row>
    <row r="218">
      <c r="A218" s="12" t="s">
        <v>260</v>
      </c>
      <c r="B218" s="12" t="s">
        <v>261</v>
      </c>
      <c r="C218" s="271">
        <f>'7thMAY'!E218</f>
        <v>1</v>
      </c>
      <c r="D218" s="191"/>
      <c r="E218" s="247"/>
      <c r="F218" s="235" t="s">
        <v>35</v>
      </c>
      <c r="G218" s="235"/>
      <c r="H218" s="272" t="str">
        <f>'7thMAY'!J218</f>
        <v/>
      </c>
      <c r="I218" s="281">
        <v>1.0</v>
      </c>
      <c r="J218" s="282">
        <v>4.217</v>
      </c>
      <c r="K218" s="283"/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1.533</v>
      </c>
      <c r="N218" s="191"/>
      <c r="O218" s="247"/>
    </row>
    <row r="219">
      <c r="A219" s="12" t="s">
        <v>263</v>
      </c>
      <c r="B219" s="12" t="s">
        <v>17</v>
      </c>
      <c r="C219" s="271" t="str">
        <f>'7thMAY'!E219</f>
        <v/>
      </c>
      <c r="D219" s="227">
        <v>50.0</v>
      </c>
      <c r="E219" s="247"/>
      <c r="F219" s="235" t="s">
        <v>17</v>
      </c>
      <c r="G219" s="235"/>
      <c r="H219" s="272">
        <f>'7thMAY'!J219</f>
        <v>21</v>
      </c>
      <c r="I219" s="281">
        <v>1.0</v>
      </c>
      <c r="J219" s="282">
        <v>38.0</v>
      </c>
      <c r="K219" s="283"/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33</v>
      </c>
      <c r="N219" s="191"/>
      <c r="O219" s="247"/>
    </row>
    <row r="220">
      <c r="A220" s="12" t="s">
        <v>264</v>
      </c>
      <c r="B220" s="12" t="s">
        <v>261</v>
      </c>
      <c r="C220" s="271" t="str">
        <f>'7thMAY'!E220</f>
        <v/>
      </c>
      <c r="D220" s="191"/>
      <c r="E220" s="247"/>
      <c r="F220" s="235" t="s">
        <v>35</v>
      </c>
      <c r="G220" s="235"/>
      <c r="H220" s="272">
        <f>'7thMAY'!J220</f>
        <v>1.853</v>
      </c>
      <c r="I220" s="281">
        <v>1.0</v>
      </c>
      <c r="J220" s="282">
        <v>1.638</v>
      </c>
      <c r="K220" s="283"/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0.215</v>
      </c>
      <c r="N220" s="191"/>
      <c r="O220" s="247"/>
    </row>
    <row r="221">
      <c r="A221" s="12" t="s">
        <v>265</v>
      </c>
      <c r="B221" s="12" t="s">
        <v>40</v>
      </c>
      <c r="C221" s="271" t="str">
        <f>'7thMAY'!E221</f>
        <v/>
      </c>
      <c r="D221" s="227">
        <v>2.0</v>
      </c>
      <c r="E221" s="247"/>
      <c r="F221" s="235" t="s">
        <v>17</v>
      </c>
      <c r="G221" s="235"/>
      <c r="H221" s="272">
        <f>'7thMAY'!J221</f>
        <v>37</v>
      </c>
      <c r="I221" s="281">
        <v>1.0</v>
      </c>
      <c r="J221" s="282">
        <v>31.0</v>
      </c>
      <c r="K221" s="283"/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56</v>
      </c>
      <c r="N221" s="191"/>
      <c r="O221" s="247"/>
    </row>
    <row r="222">
      <c r="A222" s="12" t="s">
        <v>266</v>
      </c>
      <c r="B222" s="12" t="s">
        <v>267</v>
      </c>
      <c r="C222" s="271" t="str">
        <f>'7thMAY'!E222</f>
        <v/>
      </c>
      <c r="D222" s="191"/>
      <c r="E222" s="247"/>
      <c r="F222" s="235" t="s">
        <v>17</v>
      </c>
      <c r="G222" s="235"/>
      <c r="H222" s="272">
        <f>'7thMAY'!J222</f>
        <v>53</v>
      </c>
      <c r="I222" s="281">
        <v>1.0</v>
      </c>
      <c r="J222" s="282">
        <v>33.0</v>
      </c>
      <c r="K222" s="283"/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20</v>
      </c>
      <c r="N222" s="191"/>
      <c r="O222" s="247"/>
    </row>
    <row r="223">
      <c r="A223" s="12" t="s">
        <v>268</v>
      </c>
      <c r="B223" s="12" t="s">
        <v>40</v>
      </c>
      <c r="C223" s="271" t="str">
        <f>'7thMAY'!E223</f>
        <v/>
      </c>
      <c r="D223" s="227">
        <v>1.0</v>
      </c>
      <c r="E223" s="247"/>
      <c r="F223" s="235" t="s">
        <v>17</v>
      </c>
      <c r="G223" s="235"/>
      <c r="H223" s="272">
        <f>'7thMAY'!J223</f>
        <v>20</v>
      </c>
      <c r="I223" s="281">
        <v>1.0</v>
      </c>
      <c r="J223" s="282">
        <v>19.0</v>
      </c>
      <c r="K223" s="283"/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26</v>
      </c>
      <c r="N223" s="191"/>
      <c r="O223" s="247"/>
    </row>
    <row r="224">
      <c r="A224" s="12" t="s">
        <v>269</v>
      </c>
      <c r="B224" s="294" t="s">
        <v>40</v>
      </c>
      <c r="C224" s="271" t="str">
        <f>'7thMAY'!E224</f>
        <v/>
      </c>
      <c r="D224" s="191"/>
      <c r="E224" s="191"/>
      <c r="F224" s="191" t="s">
        <v>17</v>
      </c>
      <c r="G224" s="191"/>
      <c r="H224" s="272">
        <f>'7thMAY'!J224</f>
        <v>57</v>
      </c>
      <c r="I224" s="281">
        <v>1.0</v>
      </c>
      <c r="J224" s="227">
        <v>21.0</v>
      </c>
      <c r="K224" s="283"/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36</v>
      </c>
      <c r="N224" s="191"/>
      <c r="O224" s="247"/>
    </row>
    <row r="225">
      <c r="A225" s="12" t="s">
        <v>270</v>
      </c>
      <c r="B225" s="294" t="s">
        <v>40</v>
      </c>
      <c r="C225" s="271" t="str">
        <f>'7thMAY'!E225</f>
        <v/>
      </c>
      <c r="D225" s="191"/>
      <c r="E225" s="191"/>
      <c r="F225" s="191" t="s">
        <v>17</v>
      </c>
      <c r="G225" s="191"/>
      <c r="H225" s="272">
        <f>'7thMAY'!J225</f>
        <v>38</v>
      </c>
      <c r="I225" s="281">
        <v>1.0</v>
      </c>
      <c r="J225" s="227">
        <v>27.0</v>
      </c>
      <c r="K225" s="283"/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11</v>
      </c>
      <c r="N225" s="191"/>
      <c r="O225" s="247"/>
    </row>
    <row r="226">
      <c r="A226" s="12" t="s">
        <v>271</v>
      </c>
      <c r="B226" s="294" t="s">
        <v>40</v>
      </c>
      <c r="C226" s="271" t="str">
        <f>'7thMAY'!E226</f>
        <v/>
      </c>
      <c r="D226" s="227">
        <v>1.0</v>
      </c>
      <c r="E226" s="191"/>
      <c r="F226" s="191" t="s">
        <v>17</v>
      </c>
      <c r="G226" s="191"/>
      <c r="H226" s="272">
        <f>'7thMAY'!J226</f>
        <v>53</v>
      </c>
      <c r="I226" s="281">
        <v>1.0</v>
      </c>
      <c r="J226" s="227">
        <v>58.0</v>
      </c>
      <c r="K226" s="283"/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45</v>
      </c>
      <c r="N226" s="191"/>
      <c r="O226" s="247"/>
    </row>
    <row r="227">
      <c r="A227" s="12" t="s">
        <v>272</v>
      </c>
      <c r="B227" s="294" t="s">
        <v>40</v>
      </c>
      <c r="C227" s="271" t="str">
        <f>'7thMAY'!E227</f>
        <v/>
      </c>
      <c r="D227" s="297">
        <v>10.0</v>
      </c>
      <c r="E227" s="296"/>
      <c r="F227" s="296" t="s">
        <v>17</v>
      </c>
      <c r="G227" s="296"/>
      <c r="H227" s="272">
        <f>'7thMAY'!J227</f>
        <v>10</v>
      </c>
      <c r="I227" s="281">
        <v>1.0</v>
      </c>
      <c r="J227" s="297">
        <v>13.0</v>
      </c>
      <c r="K227" s="283"/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7</v>
      </c>
      <c r="N227" s="296"/>
      <c r="O227" s="299"/>
    </row>
    <row r="228">
      <c r="A228" s="23"/>
      <c r="B228" s="11"/>
      <c r="C228" s="271" t="str">
        <f>'7thMAY'!E228</f>
        <v/>
      </c>
      <c r="D228" s="11"/>
      <c r="E228" s="11"/>
      <c r="F228" s="11"/>
      <c r="G228" s="11"/>
      <c r="H228" s="272" t="str">
        <f>'7thMAY'!J228</f>
        <v/>
      </c>
      <c r="I228" s="28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'7thMAY'!E229</f>
        <v/>
      </c>
      <c r="D229" s="11"/>
      <c r="E229" s="11"/>
      <c r="F229" s="11"/>
      <c r="G229" s="11"/>
      <c r="H229" s="272" t="str">
        <f>'7thMAY'!J229</f>
        <v/>
      </c>
      <c r="I229" s="281"/>
      <c r="J229" s="11"/>
      <c r="K229" s="11"/>
      <c r="L229" s="11"/>
      <c r="M229" s="11"/>
      <c r="N229" s="11"/>
      <c r="O229" s="11"/>
    </row>
    <row r="230">
      <c r="A230" s="11"/>
      <c r="B230" s="11"/>
      <c r="C230" s="271" t="str">
        <f>'7thMAY'!E230</f>
        <v/>
      </c>
      <c r="D230" s="11"/>
      <c r="E230" s="11"/>
      <c r="F230" s="11"/>
      <c r="G230" s="11"/>
      <c r="H230" s="272" t="str">
        <f>'7thMAY'!J230</f>
        <v/>
      </c>
      <c r="I230" s="281"/>
      <c r="J230" s="11"/>
      <c r="K230" s="11"/>
      <c r="L230" s="11"/>
      <c r="M230" s="11"/>
      <c r="N230" s="11"/>
      <c r="O230" s="11"/>
    </row>
    <row r="231">
      <c r="A231" s="11"/>
      <c r="B231" s="11"/>
      <c r="C231" s="271" t="str">
        <f>'7thMAY'!E231</f>
        <v/>
      </c>
      <c r="D231" s="11"/>
      <c r="E231" s="11"/>
      <c r="F231" s="11"/>
      <c r="G231" s="11"/>
      <c r="H231" s="272" t="str">
        <f>'7thMAY'!J231</f>
        <v/>
      </c>
      <c r="I231" s="281"/>
      <c r="J231" s="11"/>
      <c r="K231" s="11"/>
      <c r="L231" s="11"/>
      <c r="M231" s="11"/>
      <c r="N231" s="11"/>
      <c r="O231" s="11"/>
    </row>
    <row r="232">
      <c r="A232" s="11"/>
      <c r="B232" s="11"/>
      <c r="C232" s="271" t="str">
        <f>'7thMAY'!E232</f>
        <v/>
      </c>
      <c r="D232" s="11"/>
      <c r="E232" s="11"/>
      <c r="F232" s="11"/>
      <c r="G232" s="11"/>
      <c r="H232" s="272" t="str">
        <f>'7thMAY'!J232</f>
        <v/>
      </c>
      <c r="I232" s="281"/>
      <c r="J232" s="11"/>
      <c r="K232" s="11"/>
      <c r="L232" s="11"/>
      <c r="M232" s="11"/>
      <c r="N232" s="11"/>
      <c r="O232" s="11"/>
    </row>
    <row r="233">
      <c r="A233" s="11"/>
      <c r="B233" s="11"/>
      <c r="C233" s="271" t="str">
        <f>'7thMAY'!E233</f>
        <v/>
      </c>
      <c r="D233" s="11"/>
      <c r="E233" s="11"/>
      <c r="F233" s="11"/>
      <c r="G233" s="11"/>
      <c r="H233" s="272" t="str">
        <f>'7thMAY'!J233</f>
        <v/>
      </c>
      <c r="I233" s="281"/>
      <c r="J233" s="11"/>
      <c r="K233" s="11"/>
      <c r="L233" s="11"/>
      <c r="M233" s="11"/>
      <c r="N233" s="11"/>
      <c r="O233" s="11"/>
    </row>
    <row r="234">
      <c r="A234" s="11"/>
      <c r="B234" s="11"/>
      <c r="C234" s="271" t="str">
        <f>'7thMAY'!E234</f>
        <v/>
      </c>
      <c r="D234" s="11"/>
      <c r="E234" s="11"/>
      <c r="F234" s="11"/>
      <c r="G234" s="11"/>
      <c r="H234" s="272" t="str">
        <f>'7thMAY'!J234</f>
        <v/>
      </c>
      <c r="I234" s="281"/>
      <c r="J234" s="11"/>
      <c r="K234" s="11"/>
      <c r="L234" s="11"/>
      <c r="M234" s="11"/>
      <c r="N234" s="11"/>
      <c r="O234" s="11"/>
    </row>
    <row r="235">
      <c r="A235" s="11"/>
      <c r="B235" s="11"/>
      <c r="C235" s="271" t="str">
        <f>'7thMAY'!E235</f>
        <v/>
      </c>
      <c r="D235" s="11"/>
      <c r="E235" s="11"/>
      <c r="F235" s="11"/>
      <c r="G235" s="11"/>
      <c r="H235" s="272" t="str">
        <f>'7thMAY'!J235</f>
        <v/>
      </c>
      <c r="I235" s="281"/>
      <c r="J235" s="11"/>
      <c r="K235" s="11"/>
      <c r="L235" s="11"/>
      <c r="M235" s="11"/>
      <c r="N235" s="11"/>
      <c r="O235" s="11"/>
    </row>
    <row r="236">
      <c r="A236" s="11"/>
      <c r="B236" s="11"/>
      <c r="C236" s="271" t="str">
        <f>'7thMAY'!E236</f>
        <v/>
      </c>
      <c r="D236" s="11"/>
      <c r="E236" s="11"/>
      <c r="F236" s="11"/>
      <c r="G236" s="11"/>
      <c r="H236" s="272" t="str">
        <f>'7thMAY'!J236</f>
        <v/>
      </c>
      <c r="I236" s="281"/>
      <c r="J236" s="11"/>
      <c r="K236" s="11"/>
      <c r="L236" s="11"/>
      <c r="M236" s="11"/>
      <c r="N236" s="11"/>
      <c r="O236" s="11"/>
    </row>
    <row r="237">
      <c r="A237" s="11"/>
      <c r="B237" s="11"/>
      <c r="C237" s="271" t="str">
        <f>'7thMAY'!E237</f>
        <v/>
      </c>
      <c r="D237" s="11"/>
      <c r="E237" s="11"/>
      <c r="F237" s="11"/>
      <c r="G237" s="11"/>
      <c r="H237" s="272" t="str">
        <f>'7thMAY'!J237</f>
        <v/>
      </c>
      <c r="I237" s="281"/>
      <c r="J237" s="11"/>
      <c r="K237" s="11"/>
      <c r="L237" s="11"/>
      <c r="M237" s="11"/>
      <c r="N237" s="11"/>
      <c r="O237" s="11"/>
    </row>
    <row r="238">
      <c r="A238" s="11"/>
      <c r="B238" s="11"/>
      <c r="C238" s="271" t="str">
        <f>'7thMAY'!E238</f>
        <v/>
      </c>
      <c r="D238" s="11"/>
      <c r="E238" s="11"/>
      <c r="F238" s="11"/>
      <c r="G238" s="11"/>
      <c r="H238" s="272" t="str">
        <f>'7thMAY'!J238</f>
        <v/>
      </c>
      <c r="I238" s="281"/>
      <c r="J238" s="11"/>
      <c r="K238" s="11"/>
      <c r="L238" s="11"/>
      <c r="M238" s="11"/>
      <c r="N238" s="11"/>
      <c r="O238" s="11"/>
    </row>
    <row r="239">
      <c r="A239" s="11"/>
      <c r="B239" s="11"/>
      <c r="C239" s="271" t="str">
        <f>'7thMAY'!E239</f>
        <v/>
      </c>
      <c r="D239" s="11"/>
      <c r="E239" s="11"/>
      <c r="F239" s="11"/>
      <c r="G239" s="11"/>
      <c r="H239" s="272" t="str">
        <f>'7thMAY'!J239</f>
        <v/>
      </c>
      <c r="I239" s="281"/>
      <c r="J239" s="11"/>
      <c r="K239" s="11"/>
      <c r="L239" s="11"/>
      <c r="M239" s="11"/>
      <c r="N239" s="11"/>
      <c r="O239" s="11"/>
    </row>
    <row r="240">
      <c r="A240" s="11"/>
      <c r="B240" s="11"/>
      <c r="C240" s="271" t="str">
        <f>'7thMAY'!E240</f>
        <v/>
      </c>
      <c r="D240" s="11"/>
      <c r="E240" s="11"/>
      <c r="F240" s="11"/>
      <c r="G240" s="11"/>
      <c r="H240" s="272" t="str">
        <f>'7thMAY'!J240</f>
        <v/>
      </c>
      <c r="I240" s="281"/>
      <c r="J240" s="11"/>
      <c r="K240" s="11"/>
      <c r="L240" s="11"/>
      <c r="M240" s="11"/>
      <c r="N240" s="11"/>
      <c r="O240" s="11"/>
    </row>
    <row r="241">
      <c r="A241" s="11"/>
      <c r="B241" s="11"/>
      <c r="C241" s="271" t="str">
        <f>'7thMAY'!E241</f>
        <v/>
      </c>
      <c r="D241" s="11"/>
      <c r="E241" s="11"/>
      <c r="F241" s="11"/>
      <c r="G241" s="11"/>
      <c r="H241" s="272" t="str">
        <f>'7thMAY'!J241</f>
        <v/>
      </c>
      <c r="I241" s="281"/>
      <c r="J241" s="11"/>
      <c r="K241" s="11"/>
      <c r="L241" s="11"/>
      <c r="M241" s="11"/>
      <c r="N241" s="11"/>
      <c r="O241" s="11"/>
    </row>
    <row r="242">
      <c r="A242" s="11"/>
      <c r="B242" s="11"/>
      <c r="C242" s="271" t="str">
        <f>'7thMAY'!E242</f>
        <v/>
      </c>
      <c r="D242" s="11"/>
      <c r="E242" s="11"/>
      <c r="F242" s="11"/>
      <c r="G242" s="11"/>
      <c r="H242" s="272" t="str">
        <f>'7thMAY'!J242</f>
        <v/>
      </c>
      <c r="I242" s="281"/>
      <c r="J242" s="11"/>
      <c r="K242" s="11"/>
      <c r="L242" s="11"/>
      <c r="M242" s="11"/>
      <c r="N242" s="11"/>
      <c r="O242" s="11"/>
    </row>
    <row r="243">
      <c r="A243" s="11"/>
      <c r="B243" s="11"/>
      <c r="C243" s="271" t="str">
        <f>'7thMAY'!E243</f>
        <v/>
      </c>
      <c r="D243" s="11"/>
      <c r="E243" s="11"/>
      <c r="F243" s="11"/>
      <c r="G243" s="11"/>
      <c r="H243" s="272" t="str">
        <f>'7thMAY'!J243</f>
        <v/>
      </c>
      <c r="I243" s="281"/>
      <c r="J243" s="11"/>
      <c r="K243" s="11"/>
      <c r="L243" s="11"/>
      <c r="M243" s="11"/>
      <c r="N243" s="11"/>
      <c r="O243" s="11"/>
    </row>
    <row r="244">
      <c r="A244" s="11"/>
      <c r="B244" s="11"/>
      <c r="C244" s="271" t="str">
        <f>'7thMAY'!E244</f>
        <v/>
      </c>
      <c r="D244" s="11"/>
      <c r="E244" s="11"/>
      <c r="F244" s="11"/>
      <c r="G244" s="11"/>
      <c r="H244" s="272" t="str">
        <f>'7thMAY'!J244</f>
        <v/>
      </c>
      <c r="I244" s="281"/>
      <c r="J244" s="11"/>
      <c r="K244" s="11"/>
      <c r="L244" s="11"/>
      <c r="M244" s="11"/>
      <c r="N244" s="11"/>
      <c r="O244" s="11"/>
    </row>
    <row r="245">
      <c r="A245" s="11"/>
      <c r="B245" s="11"/>
      <c r="C245" s="271" t="str">
        <f>'7thMAY'!E245</f>
        <v/>
      </c>
      <c r="D245" s="11"/>
      <c r="E245" s="11"/>
      <c r="F245" s="11"/>
      <c r="G245" s="11"/>
      <c r="H245" s="272" t="str">
        <f>'7thMAY'!J245</f>
        <v/>
      </c>
      <c r="I245" s="281"/>
      <c r="J245" s="11"/>
      <c r="K245" s="11"/>
      <c r="L245" s="11"/>
      <c r="M245" s="11"/>
      <c r="N245" s="11"/>
      <c r="O245" s="11"/>
    </row>
    <row r="246">
      <c r="A246" s="11"/>
      <c r="B246" s="11"/>
      <c r="C246" s="271" t="str">
        <f>'7thMAY'!E246</f>
        <v/>
      </c>
      <c r="D246" s="11"/>
      <c r="E246" s="11"/>
      <c r="F246" s="11"/>
      <c r="G246" s="11"/>
      <c r="H246" s="272" t="str">
        <f>'7thMAY'!J246</f>
        <v/>
      </c>
      <c r="I246" s="281"/>
      <c r="J246" s="11"/>
      <c r="K246" s="11"/>
      <c r="L246" s="11"/>
      <c r="M246" s="11"/>
      <c r="N246" s="11"/>
      <c r="O246" s="11"/>
    </row>
    <row r="247">
      <c r="A247" s="11"/>
      <c r="B247" s="11"/>
      <c r="C247" s="271" t="str">
        <f>'7thMAY'!E247</f>
        <v/>
      </c>
      <c r="D247" s="11"/>
      <c r="E247" s="11"/>
      <c r="F247" s="11"/>
      <c r="G247" s="11"/>
      <c r="H247" s="272" t="str">
        <f>'7thMAY'!J247</f>
        <v/>
      </c>
      <c r="I247" s="281"/>
      <c r="J247" s="11"/>
      <c r="K247" s="11"/>
      <c r="L247" s="11"/>
      <c r="M247" s="11"/>
      <c r="N247" s="11"/>
      <c r="O247" s="11"/>
    </row>
    <row r="248">
      <c r="A248" s="11"/>
      <c r="B248" s="11"/>
      <c r="C248" s="271" t="str">
        <f>'7thMAY'!E248</f>
        <v/>
      </c>
      <c r="D248" s="11"/>
      <c r="E248" s="11"/>
      <c r="F248" s="11"/>
      <c r="G248" s="11"/>
      <c r="H248" s="272" t="str">
        <f>'7thMAY'!J248</f>
        <v/>
      </c>
      <c r="I248" s="281"/>
      <c r="J248" s="11"/>
      <c r="K248" s="11"/>
      <c r="L248" s="11"/>
      <c r="M248" s="11"/>
      <c r="N248" s="11"/>
      <c r="O248" s="11"/>
    </row>
    <row r="249">
      <c r="A249" s="11"/>
      <c r="B249" s="11"/>
      <c r="C249" s="271" t="str">
        <f>'7thMAY'!E249</f>
        <v/>
      </c>
      <c r="D249" s="11"/>
      <c r="E249" s="11"/>
      <c r="F249" s="11"/>
      <c r="G249" s="11"/>
      <c r="H249" s="272" t="str">
        <f>'7thMAY'!J249</f>
        <v/>
      </c>
      <c r="I249" s="281"/>
      <c r="J249" s="11"/>
      <c r="K249" s="11"/>
      <c r="L249" s="11"/>
      <c r="M249" s="11"/>
      <c r="N249" s="11"/>
      <c r="O249" s="11"/>
    </row>
    <row r="250">
      <c r="A250" s="11"/>
      <c r="B250" s="11"/>
      <c r="C250" s="271" t="str">
        <f>'7thMAY'!E250</f>
        <v/>
      </c>
      <c r="D250" s="11"/>
      <c r="E250" s="11"/>
      <c r="F250" s="11"/>
      <c r="G250" s="11"/>
      <c r="H250" s="272" t="str">
        <f>'7thMAY'!J250</f>
        <v/>
      </c>
      <c r="I250" s="281"/>
      <c r="J250" s="11"/>
      <c r="K250" s="11"/>
      <c r="L250" s="11"/>
      <c r="M250" s="11"/>
      <c r="N250" s="11"/>
      <c r="O250" s="11"/>
    </row>
    <row r="251">
      <c r="A251" s="11"/>
      <c r="B251" s="11"/>
      <c r="C251" s="271" t="str">
        <f>'7thMAY'!E251</f>
        <v/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271" t="str">
        <f>'7thMAY'!E252</f>
        <v/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271" t="str">
        <f>'7thMAY'!E253</f>
        <v/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19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</sheetData>
  <mergeCells count="4">
    <mergeCell ref="A1:O1"/>
    <mergeCell ref="B2:E2"/>
    <mergeCell ref="F2:K2"/>
    <mergeCell ref="L2:O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1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f>'6thMAY'!E5</f>
        <v>12</v>
      </c>
      <c r="D5" s="272">
        <v>15.0</v>
      </c>
      <c r="E5" s="273">
        <v>24.0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9</v>
      </c>
      <c r="N5" s="268"/>
      <c r="O5" s="269"/>
    </row>
    <row r="6">
      <c r="A6" s="192" t="s">
        <v>401</v>
      </c>
      <c r="B6" s="191" t="s">
        <v>402</v>
      </c>
      <c r="C6" s="271">
        <f>'6thMAY'!E6</f>
        <v>5</v>
      </c>
      <c r="D6" s="272"/>
      <c r="E6" s="273">
        <v>3.0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4</v>
      </c>
      <c r="N6" s="268"/>
      <c r="O6" s="269"/>
    </row>
    <row r="7">
      <c r="A7" s="192" t="s">
        <v>404</v>
      </c>
      <c r="B7" s="191" t="s">
        <v>402</v>
      </c>
      <c r="C7" s="271">
        <f>'6thMAY'!E7</f>
        <v>4</v>
      </c>
      <c r="D7" s="272">
        <v>8.0</v>
      </c>
      <c r="E7" s="273">
        <v>6.0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30</v>
      </c>
      <c r="N7" s="268"/>
      <c r="O7" s="269"/>
    </row>
    <row r="8">
      <c r="A8" s="192" t="s">
        <v>406</v>
      </c>
      <c r="B8" s="191" t="s">
        <v>402</v>
      </c>
      <c r="C8" s="271">
        <f>'6thMAY'!E8</f>
        <v>7</v>
      </c>
      <c r="D8" s="272">
        <v>5.0</v>
      </c>
      <c r="E8" s="273">
        <v>7.0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5</v>
      </c>
      <c r="N8" s="268"/>
      <c r="O8" s="269"/>
    </row>
    <row r="9">
      <c r="A9" s="192" t="s">
        <v>409</v>
      </c>
      <c r="B9" s="191" t="s">
        <v>402</v>
      </c>
      <c r="C9" s="271" t="str">
        <f>'6thMAY'!E9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192" t="s">
        <v>411</v>
      </c>
      <c r="B10" s="191" t="s">
        <v>402</v>
      </c>
      <c r="C10" s="271">
        <f>'6thMAY'!E10</f>
        <v>8</v>
      </c>
      <c r="D10" s="268"/>
      <c r="E10" s="273">
        <v>7.0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8</v>
      </c>
      <c r="N10" s="268"/>
      <c r="O10" s="269"/>
    </row>
    <row r="11">
      <c r="A11" s="204" t="s">
        <v>413</v>
      </c>
      <c r="B11" s="191" t="s">
        <v>402</v>
      </c>
      <c r="C11" s="271">
        <f>'6thMAY'!E11</f>
        <v>5</v>
      </c>
      <c r="D11" s="272">
        <v>10.0</v>
      </c>
      <c r="E11" s="273">
        <v>14.0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</v>
      </c>
      <c r="N11" s="268"/>
      <c r="O11" s="269"/>
    </row>
    <row r="12">
      <c r="A12" s="192" t="s">
        <v>414</v>
      </c>
      <c r="B12" s="191" t="s">
        <v>402</v>
      </c>
      <c r="C12" s="271" t="str">
        <f>'6thMAY'!E12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 t="str">
        <f>'6thMAY'!E13</f>
        <v/>
      </c>
      <c r="D13" s="272">
        <v>7.0</v>
      </c>
      <c r="E13" s="273">
        <v>1.0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54</v>
      </c>
      <c r="N13" s="268"/>
      <c r="O13" s="269"/>
    </row>
    <row r="14">
      <c r="A14" s="204" t="s">
        <v>418</v>
      </c>
      <c r="B14" s="191" t="s">
        <v>402</v>
      </c>
      <c r="C14" s="271">
        <f>'6thMAY'!E14</f>
        <v>2.5</v>
      </c>
      <c r="D14" s="272">
        <v>12.0</v>
      </c>
      <c r="E14" s="273">
        <v>6.0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8.5</v>
      </c>
      <c r="N14" s="268"/>
      <c r="O14" s="269"/>
    </row>
    <row r="15">
      <c r="A15" s="204" t="s">
        <v>420</v>
      </c>
      <c r="B15" s="191" t="s">
        <v>402</v>
      </c>
      <c r="C15" s="271">
        <f>'6thMAY'!E15</f>
        <v>3</v>
      </c>
      <c r="D15" s="268"/>
      <c r="E15" s="273">
        <v>2.0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4</v>
      </c>
      <c r="N15" s="268"/>
      <c r="O15" s="269"/>
    </row>
    <row r="16">
      <c r="A16" s="192" t="s">
        <v>422</v>
      </c>
      <c r="B16" s="191" t="s">
        <v>402</v>
      </c>
      <c r="C16" s="271">
        <f>'6thMAY'!E16</f>
        <v>4</v>
      </c>
      <c r="D16" s="272"/>
      <c r="E16" s="273">
        <v>2.0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8</v>
      </c>
      <c r="N16" s="268"/>
      <c r="O16" s="269"/>
    </row>
    <row r="17">
      <c r="A17" s="192" t="s">
        <v>423</v>
      </c>
      <c r="B17" s="191" t="s">
        <v>402</v>
      </c>
      <c r="C17" s="271" t="str">
        <f>'6thMAY'!E17</f>
        <v/>
      </c>
      <c r="D17" s="272">
        <v>8.0</v>
      </c>
      <c r="E17" s="273">
        <v>4.0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8</v>
      </c>
      <c r="N17" s="268"/>
      <c r="O17" s="269"/>
    </row>
    <row r="18">
      <c r="A18" s="192" t="s">
        <v>425</v>
      </c>
      <c r="B18" s="191" t="s">
        <v>402</v>
      </c>
      <c r="C18" s="271">
        <f>'6thMAY'!E18</f>
        <v>3</v>
      </c>
      <c r="D18" s="268"/>
      <c r="E18" s="273">
        <v>3.0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0</v>
      </c>
      <c r="N18" s="268"/>
      <c r="O18" s="269"/>
    </row>
    <row r="19">
      <c r="A19" s="192" t="s">
        <v>426</v>
      </c>
      <c r="B19" s="191" t="s">
        <v>402</v>
      </c>
      <c r="C19" s="271">
        <f>'6thMAY'!E19</f>
        <v>3</v>
      </c>
      <c r="D19" s="268"/>
      <c r="E19" s="273"/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3</v>
      </c>
      <c r="N19" s="268"/>
      <c r="O19" s="269"/>
    </row>
    <row r="20">
      <c r="A20" s="192" t="s">
        <v>428</v>
      </c>
      <c r="B20" s="191" t="s">
        <v>402</v>
      </c>
      <c r="C20" s="271">
        <f>'6thMAY'!E20</f>
        <v>3</v>
      </c>
      <c r="D20" s="268"/>
      <c r="E20" s="273">
        <v>3.0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0</v>
      </c>
      <c r="N20" s="268"/>
      <c r="O20" s="269"/>
    </row>
    <row r="21">
      <c r="A21" s="204" t="s">
        <v>429</v>
      </c>
      <c r="B21" s="191" t="s">
        <v>402</v>
      </c>
      <c r="C21" s="271">
        <f>'6thMAY'!E21</f>
        <v>8</v>
      </c>
      <c r="D21" s="272"/>
      <c r="E21" s="273">
        <v>4.0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16</v>
      </c>
      <c r="N21" s="268"/>
      <c r="O21" s="269"/>
    </row>
    <row r="22">
      <c r="A22" s="204" t="s">
        <v>431</v>
      </c>
      <c r="B22" s="191" t="s">
        <v>402</v>
      </c>
      <c r="C22" s="271" t="str">
        <f>'6thMAY'!E22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>
        <f>'6thMAY'!E23</f>
        <v>3</v>
      </c>
      <c r="D23" s="272">
        <v>5.0</v>
      </c>
      <c r="E23" s="273">
        <v>5.5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5</v>
      </c>
      <c r="N23" s="268"/>
      <c r="O23" s="269"/>
    </row>
    <row r="24">
      <c r="A24" s="192" t="s">
        <v>433</v>
      </c>
      <c r="B24" s="191" t="s">
        <v>402</v>
      </c>
      <c r="C24" s="271">
        <f>'6thMAY'!E24</f>
        <v>6</v>
      </c>
      <c r="D24" s="272">
        <v>6.0</v>
      </c>
      <c r="E24" s="273">
        <v>2.0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10</v>
      </c>
      <c r="N24" s="268"/>
      <c r="O24" s="269"/>
    </row>
    <row r="25">
      <c r="A25" s="204" t="s">
        <v>435</v>
      </c>
      <c r="B25" s="191" t="s">
        <v>402</v>
      </c>
      <c r="C25" s="271">
        <f>'6thMAY'!E25</f>
        <v>4</v>
      </c>
      <c r="D25" s="272"/>
      <c r="E25" s="273"/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4</v>
      </c>
      <c r="N25" s="268"/>
      <c r="O25" s="269"/>
    </row>
    <row r="26">
      <c r="A26" s="192" t="s">
        <v>438</v>
      </c>
      <c r="B26" s="191" t="s">
        <v>402</v>
      </c>
      <c r="C26" s="271">
        <f>'6thMAY'!E26</f>
        <v>2.5</v>
      </c>
      <c r="D26" s="272">
        <v>2.5</v>
      </c>
      <c r="E26" s="273">
        <v>5.0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0</v>
      </c>
      <c r="N26" s="268"/>
      <c r="O26" s="269"/>
    </row>
    <row r="27">
      <c r="A27" s="192" t="s">
        <v>439</v>
      </c>
      <c r="B27" s="191" t="s">
        <v>402</v>
      </c>
      <c r="C27" s="271" t="str">
        <f>'6thMAY'!E27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f>'6thMAY'!E28</f>
        <v>8</v>
      </c>
      <c r="D28" s="268"/>
      <c r="E28" s="273">
        <v>6.0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2</v>
      </c>
      <c r="N28" s="268"/>
      <c r="O28" s="269"/>
    </row>
    <row r="29">
      <c r="A29" s="204" t="s">
        <v>441</v>
      </c>
      <c r="B29" s="191" t="s">
        <v>402</v>
      </c>
      <c r="C29" s="271">
        <f>'6thMAY'!E29</f>
        <v>16</v>
      </c>
      <c r="D29" s="268"/>
      <c r="E29" s="273">
        <v>10.5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11</v>
      </c>
      <c r="N29" s="268"/>
      <c r="O29" s="269"/>
    </row>
    <row r="30">
      <c r="A30" s="204" t="s">
        <v>442</v>
      </c>
      <c r="B30" s="191" t="s">
        <v>402</v>
      </c>
      <c r="C30" s="271">
        <f>'6thMAY'!E30</f>
        <v>7</v>
      </c>
      <c r="D30" s="268"/>
      <c r="E30" s="273"/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7</v>
      </c>
      <c r="N30" s="268"/>
      <c r="O30" s="269"/>
    </row>
    <row r="31">
      <c r="A31" s="204" t="s">
        <v>444</v>
      </c>
      <c r="B31" s="191" t="s">
        <v>402</v>
      </c>
      <c r="C31" s="271">
        <f>'6thMAY'!E31</f>
        <v>6</v>
      </c>
      <c r="D31" s="268"/>
      <c r="E31" s="273">
        <v>5.0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1</v>
      </c>
      <c r="N31" s="268"/>
      <c r="O31" s="269"/>
    </row>
    <row r="32">
      <c r="A32" s="204" t="s">
        <v>445</v>
      </c>
      <c r="B32" s="191" t="s">
        <v>402</v>
      </c>
      <c r="C32" s="271">
        <f>'6thMAY'!E32</f>
        <v>5</v>
      </c>
      <c r="D32" s="268"/>
      <c r="E32" s="273">
        <v>3.0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8</v>
      </c>
      <c r="N32" s="268"/>
      <c r="O32" s="269"/>
    </row>
    <row r="33">
      <c r="A33" s="192" t="s">
        <v>446</v>
      </c>
      <c r="B33" s="191" t="s">
        <v>402</v>
      </c>
      <c r="C33" s="271">
        <f>'6thMAY'!E33</f>
        <v>1</v>
      </c>
      <c r="D33" s="268"/>
      <c r="E33" s="273">
        <v>1.0</v>
      </c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192" t="s">
        <v>447</v>
      </c>
      <c r="B34" s="191" t="s">
        <v>402</v>
      </c>
      <c r="C34" s="271">
        <f>'6thMAY'!E34</f>
        <v>1</v>
      </c>
      <c r="D34" s="272">
        <v>2.0</v>
      </c>
      <c r="E34" s="273">
        <v>3.0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0</v>
      </c>
      <c r="N34" s="268"/>
      <c r="O34" s="269"/>
    </row>
    <row r="35">
      <c r="A35" s="204" t="s">
        <v>449</v>
      </c>
      <c r="B35" s="191" t="s">
        <v>402</v>
      </c>
      <c r="C35" s="271">
        <f>'6thMAY'!E35</f>
        <v>5</v>
      </c>
      <c r="D35" s="272"/>
      <c r="E35" s="273">
        <v>5.0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268"/>
      <c r="O35" s="269"/>
    </row>
    <row r="36">
      <c r="A36" s="192" t="s">
        <v>451</v>
      </c>
      <c r="B36" s="191" t="s">
        <v>402</v>
      </c>
      <c r="C36" s="271">
        <f>'6thMAY'!E36</f>
        <v>4.5</v>
      </c>
      <c r="D36" s="272">
        <v>2.0</v>
      </c>
      <c r="E36" s="273">
        <v>3.5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6</v>
      </c>
      <c r="N36" s="268"/>
      <c r="O36" s="269"/>
    </row>
    <row r="37">
      <c r="A37" s="225" t="s">
        <v>452</v>
      </c>
      <c r="B37" s="191" t="s">
        <v>402</v>
      </c>
      <c r="C37" s="271">
        <f>'6thMAY'!E37</f>
        <v>11</v>
      </c>
      <c r="D37" s="268"/>
      <c r="E37" s="273">
        <v>11.0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0</v>
      </c>
      <c r="N37" s="268"/>
      <c r="O37" s="269"/>
    </row>
    <row r="38">
      <c r="A38" s="225" t="s">
        <v>454</v>
      </c>
      <c r="B38" s="191" t="s">
        <v>402</v>
      </c>
      <c r="C38" s="271">
        <f>'6thMAY'!E38</f>
        <v>4.5</v>
      </c>
      <c r="D38" s="268"/>
      <c r="E38" s="273">
        <v>4.5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23" t="s">
        <v>455</v>
      </c>
      <c r="B39" s="191" t="s">
        <v>402</v>
      </c>
      <c r="C39" s="271">
        <f>'6thMAY'!E39</f>
        <v>3</v>
      </c>
      <c r="D39" s="272">
        <v>6.0</v>
      </c>
      <c r="E39" s="273">
        <v>8.0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4</v>
      </c>
      <c r="N39" s="268"/>
      <c r="O39" s="269"/>
    </row>
    <row r="40">
      <c r="A40" s="223" t="s">
        <v>456</v>
      </c>
      <c r="B40" s="191" t="s">
        <v>402</v>
      </c>
      <c r="C40" s="271">
        <f>'6thMAY'!E40</f>
        <v>6</v>
      </c>
      <c r="D40" s="272"/>
      <c r="E40" s="273">
        <v>5.0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1</v>
      </c>
      <c r="N40" s="268"/>
      <c r="O40" s="269"/>
    </row>
    <row r="41">
      <c r="A41" s="223" t="s">
        <v>457</v>
      </c>
      <c r="B41" s="191" t="s">
        <v>402</v>
      </c>
      <c r="C41" s="271" t="str">
        <f>'6thMAY'!E41</f>
        <v/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307" t="s">
        <v>762</v>
      </c>
      <c r="B42" s="191"/>
      <c r="C42" s="271" t="str">
        <f>'6thMAY'!E42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'6thMAY'!E43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'6thMAY'!E44</f>
        <v/>
      </c>
      <c r="D44" s="227">
        <v>1.0</v>
      </c>
      <c r="E44" s="280"/>
      <c r="F44" s="235" t="s">
        <v>14</v>
      </c>
      <c r="G44" s="235"/>
      <c r="H44" s="272">
        <f>'6thMAY'!J44</f>
        <v>1</v>
      </c>
      <c r="I44" s="281">
        <v>1.0</v>
      </c>
      <c r="J44" s="282">
        <v>1.5</v>
      </c>
      <c r="K44" s="283">
        <v>1.0</v>
      </c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0.5</v>
      </c>
      <c r="N44" s="191"/>
      <c r="O44" s="247"/>
    </row>
    <row r="45">
      <c r="A45" s="12" t="s">
        <v>16</v>
      </c>
      <c r="B45" s="13" t="s">
        <v>17</v>
      </c>
      <c r="C45" s="271" t="str">
        <f>'6thMAY'!E45</f>
        <v/>
      </c>
      <c r="D45" s="227"/>
      <c r="E45" s="280"/>
      <c r="F45" s="235" t="s">
        <v>17</v>
      </c>
      <c r="G45" s="235"/>
      <c r="H45" s="272">
        <f>'6thMAY'!J45</f>
        <v>14</v>
      </c>
      <c r="I45" s="281">
        <v>1.0</v>
      </c>
      <c r="J45" s="282">
        <v>7.0</v>
      </c>
      <c r="K45" s="283">
        <v>1.0</v>
      </c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7</v>
      </c>
      <c r="N45" s="191"/>
      <c r="O45" s="247"/>
    </row>
    <row r="46">
      <c r="A46" s="15" t="s">
        <v>19</v>
      </c>
      <c r="B46" s="13" t="s">
        <v>17</v>
      </c>
      <c r="C46" s="271" t="str">
        <f>'6thMAY'!E46</f>
        <v/>
      </c>
      <c r="D46" s="227"/>
      <c r="E46" s="280"/>
      <c r="F46" s="235" t="s">
        <v>17</v>
      </c>
      <c r="G46" s="235"/>
      <c r="H46" s="272">
        <f>'6thMAY'!J46</f>
        <v>7</v>
      </c>
      <c r="I46" s="281">
        <v>1.0</v>
      </c>
      <c r="J46" s="282">
        <v>7.0</v>
      </c>
      <c r="K46" s="283">
        <v>1.0</v>
      </c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0</v>
      </c>
      <c r="N46" s="191"/>
      <c r="O46" s="247"/>
    </row>
    <row r="47">
      <c r="A47" s="12" t="s">
        <v>20</v>
      </c>
      <c r="B47" s="13" t="s">
        <v>17</v>
      </c>
      <c r="C47" s="271" t="str">
        <f>'6thMAY'!E47</f>
        <v/>
      </c>
      <c r="D47" s="227">
        <v>3.0</v>
      </c>
      <c r="E47" s="280"/>
      <c r="F47" s="235" t="s">
        <v>17</v>
      </c>
      <c r="G47" s="235"/>
      <c r="H47" s="272">
        <f>'6thMAY'!J47</f>
        <v>5</v>
      </c>
      <c r="I47" s="281">
        <v>1.0</v>
      </c>
      <c r="J47" s="284"/>
      <c r="K47" s="283">
        <v>1.0</v>
      </c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8</v>
      </c>
      <c r="N47" s="191"/>
      <c r="O47" s="247"/>
    </row>
    <row r="48">
      <c r="A48" s="12" t="s">
        <v>21</v>
      </c>
      <c r="B48" s="13" t="s">
        <v>17</v>
      </c>
      <c r="C48" s="271" t="str">
        <f>'6thMAY'!E48</f>
        <v/>
      </c>
      <c r="D48" s="227">
        <v>1.0</v>
      </c>
      <c r="E48" s="280"/>
      <c r="F48" s="235" t="s">
        <v>17</v>
      </c>
      <c r="G48" s="235"/>
      <c r="H48" s="272">
        <f>'6thMAY'!J48</f>
        <v>3.5</v>
      </c>
      <c r="I48" s="281">
        <v>1.0</v>
      </c>
      <c r="J48" s="282">
        <v>3.0</v>
      </c>
      <c r="K48" s="283">
        <v>1.0</v>
      </c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1.5</v>
      </c>
      <c r="N48" s="191"/>
      <c r="O48" s="247"/>
    </row>
    <row r="49">
      <c r="A49" s="12" t="s">
        <v>22</v>
      </c>
      <c r="B49" s="13" t="s">
        <v>17</v>
      </c>
      <c r="C49" s="271" t="str">
        <f>'6thMAY'!E49</f>
        <v/>
      </c>
      <c r="D49" s="227">
        <v>1.0</v>
      </c>
      <c r="E49" s="247"/>
      <c r="F49" s="235" t="s">
        <v>17</v>
      </c>
      <c r="G49" s="235"/>
      <c r="H49" s="272" t="str">
        <f>'6thMAY'!J49</f>
        <v/>
      </c>
      <c r="I49" s="281">
        <v>1.0</v>
      </c>
      <c r="J49" s="284"/>
      <c r="K49" s="283">
        <v>1.0</v>
      </c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1</v>
      </c>
      <c r="N49" s="191"/>
      <c r="O49" s="247"/>
    </row>
    <row r="50">
      <c r="A50" s="12" t="s">
        <v>23</v>
      </c>
      <c r="B50" s="12" t="s">
        <v>24</v>
      </c>
      <c r="C50" s="271" t="str">
        <f>'6thMAY'!E50</f>
        <v/>
      </c>
      <c r="D50" s="227"/>
      <c r="E50" s="247"/>
      <c r="F50" s="235" t="s">
        <v>25</v>
      </c>
      <c r="G50" s="235"/>
      <c r="H50" s="272">
        <f>'6thMAY'!J50</f>
        <v>0.443</v>
      </c>
      <c r="I50" s="281">
        <v>1.0</v>
      </c>
      <c r="J50" s="282">
        <v>0.383</v>
      </c>
      <c r="K50" s="283">
        <v>1.0</v>
      </c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0.06</v>
      </c>
      <c r="N50" s="191"/>
      <c r="O50" s="247"/>
    </row>
    <row r="51">
      <c r="A51" s="12" t="s">
        <v>27</v>
      </c>
      <c r="B51" s="12" t="s">
        <v>24</v>
      </c>
      <c r="C51" s="271" t="str">
        <f>'6thMAY'!E51</f>
        <v/>
      </c>
      <c r="D51" s="191"/>
      <c r="E51" s="247"/>
      <c r="F51" s="235" t="s">
        <v>24</v>
      </c>
      <c r="G51" s="235"/>
      <c r="H51" s="272" t="str">
        <f>'6thMAY'!J51</f>
        <v/>
      </c>
      <c r="I51" s="281">
        <v>1.0</v>
      </c>
      <c r="J51" s="284"/>
      <c r="K51" s="283">
        <v>1.0</v>
      </c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'6thMAY'!E52</f>
        <v/>
      </c>
      <c r="D52" s="191"/>
      <c r="E52" s="280"/>
      <c r="F52" s="235" t="s">
        <v>14</v>
      </c>
      <c r="G52" s="285"/>
      <c r="H52" s="272" t="str">
        <f>'6thMAY'!J52</f>
        <v/>
      </c>
      <c r="I52" s="281">
        <v>1.0</v>
      </c>
      <c r="J52" s="284"/>
      <c r="K52" s="283">
        <v>1.0</v>
      </c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16" t="s">
        <v>30</v>
      </c>
      <c r="B53" s="12" t="s">
        <v>24</v>
      </c>
      <c r="C53" s="271" t="str">
        <f>'6thMAY'!E53</f>
        <v/>
      </c>
      <c r="D53" s="227"/>
      <c r="E53" s="280"/>
      <c r="F53" s="235" t="s">
        <v>35</v>
      </c>
      <c r="G53" s="235"/>
      <c r="H53" s="272">
        <f>'6thMAY'!J53</f>
        <v>0.678</v>
      </c>
      <c r="I53" s="281">
        <v>1.0</v>
      </c>
      <c r="J53" s="282">
        <v>0.629</v>
      </c>
      <c r="K53" s="283">
        <v>1.0</v>
      </c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0.049</v>
      </c>
      <c r="N53" s="191"/>
      <c r="O53" s="247"/>
    </row>
    <row r="54">
      <c r="A54" s="12" t="s">
        <v>33</v>
      </c>
      <c r="B54" s="12" t="s">
        <v>34</v>
      </c>
      <c r="C54" s="271" t="str">
        <f>'6thMAY'!E54</f>
        <v/>
      </c>
      <c r="D54" s="227">
        <v>1.0</v>
      </c>
      <c r="E54" s="247"/>
      <c r="F54" s="235" t="s">
        <v>35</v>
      </c>
      <c r="G54" s="235"/>
      <c r="H54" s="272" t="str">
        <f>'6thMAY'!J54</f>
        <v/>
      </c>
      <c r="I54" s="281">
        <v>1.0</v>
      </c>
      <c r="J54" s="282">
        <v>0.201</v>
      </c>
      <c r="K54" s="283">
        <v>1.0</v>
      </c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0.262</v>
      </c>
      <c r="N54" s="191"/>
      <c r="O54" s="247"/>
    </row>
    <row r="55">
      <c r="A55" s="12" t="s">
        <v>37</v>
      </c>
      <c r="B55" s="12" t="s">
        <v>17</v>
      </c>
      <c r="C55" s="271" t="str">
        <f>'6thMAY'!E55</f>
        <v/>
      </c>
      <c r="D55" s="191"/>
      <c r="E55" s="247"/>
      <c r="F55" s="235" t="s">
        <v>752</v>
      </c>
      <c r="G55" s="235"/>
      <c r="H55" s="272" t="str">
        <f>'6thMAY'!J55</f>
        <v/>
      </c>
      <c r="I55" s="281">
        <v>1.0</v>
      </c>
      <c r="J55" s="284"/>
      <c r="K55" s="283">
        <v>1.0</v>
      </c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'6thMAY'!E56</f>
        <v/>
      </c>
      <c r="D56" s="191"/>
      <c r="E56" s="247"/>
      <c r="F56" s="235" t="s">
        <v>17</v>
      </c>
      <c r="G56" s="235"/>
      <c r="H56" s="272">
        <v>70.0</v>
      </c>
      <c r="I56" s="281">
        <v>1.0</v>
      </c>
      <c r="J56" s="282">
        <v>63.0</v>
      </c>
      <c r="K56" s="283">
        <v>1.0</v>
      </c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7</v>
      </c>
      <c r="N56" s="191"/>
      <c r="O56" s="247"/>
    </row>
    <row r="57">
      <c r="A57" s="12" t="s">
        <v>42</v>
      </c>
      <c r="B57" s="12" t="s">
        <v>24</v>
      </c>
      <c r="C57" s="271" t="str">
        <f>'6thMAY'!E57</f>
        <v/>
      </c>
      <c r="D57" s="191"/>
      <c r="E57" s="280"/>
      <c r="F57" s="235" t="s">
        <v>35</v>
      </c>
      <c r="G57" s="235"/>
      <c r="H57" s="272">
        <f>'6thMAY'!J57</f>
        <v>0.389</v>
      </c>
      <c r="I57" s="281">
        <v>1.0</v>
      </c>
      <c r="J57" s="282">
        <v>0.353</v>
      </c>
      <c r="K57" s="283">
        <v>1.0</v>
      </c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0.036</v>
      </c>
      <c r="N57" s="191"/>
      <c r="O57" s="247"/>
    </row>
    <row r="58">
      <c r="A58" s="12" t="s">
        <v>44</v>
      </c>
      <c r="B58" s="12" t="s">
        <v>24</v>
      </c>
      <c r="C58" s="271">
        <f>'6thMAY'!E58</f>
        <v>0.908</v>
      </c>
      <c r="D58" s="191"/>
      <c r="E58" s="247"/>
      <c r="F58" s="235" t="s">
        <v>25</v>
      </c>
      <c r="G58" s="235"/>
      <c r="H58" s="272" t="str">
        <f>'6thMAY'!J58</f>
        <v/>
      </c>
      <c r="I58" s="281">
        <v>1.0</v>
      </c>
      <c r="J58" s="282">
        <v>0.823</v>
      </c>
      <c r="K58" s="283">
        <v>1.0</v>
      </c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0.11468</v>
      </c>
      <c r="N58" s="191"/>
      <c r="O58" s="247"/>
    </row>
    <row r="59">
      <c r="A59" s="12" t="s">
        <v>45</v>
      </c>
      <c r="B59" s="12" t="s">
        <v>24</v>
      </c>
      <c r="C59" s="271" t="str">
        <f>'6thMAY'!E59</f>
        <v/>
      </c>
      <c r="D59" s="191"/>
      <c r="E59" s="247"/>
      <c r="F59" s="235" t="s">
        <v>25</v>
      </c>
      <c r="G59" s="235"/>
      <c r="H59" s="272">
        <f>'6thMAY'!J59</f>
        <v>0.905</v>
      </c>
      <c r="I59" s="281">
        <v>1.0</v>
      </c>
      <c r="J59" s="282">
        <v>0.905</v>
      </c>
      <c r="K59" s="283">
        <v>1.0</v>
      </c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</v>
      </c>
      <c r="N59" s="191"/>
      <c r="O59" s="247"/>
    </row>
    <row r="60">
      <c r="A60" s="17" t="s">
        <v>46</v>
      </c>
      <c r="B60" s="12" t="s">
        <v>47</v>
      </c>
      <c r="C60" s="271" t="str">
        <f>'6thMAY'!E60</f>
        <v/>
      </c>
      <c r="D60" s="191"/>
      <c r="E60" s="247"/>
      <c r="F60" s="235" t="s">
        <v>51</v>
      </c>
      <c r="G60" s="235"/>
      <c r="H60" s="272" t="str">
        <f>'6thMAY'!J60</f>
        <v/>
      </c>
      <c r="I60" s="281">
        <v>1.0</v>
      </c>
      <c r="J60" s="284"/>
      <c r="K60" s="283">
        <v>1.0</v>
      </c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'6thMAY'!E61</f>
        <v/>
      </c>
      <c r="D61" s="191"/>
      <c r="E61" s="247"/>
      <c r="F61" s="235" t="s">
        <v>51</v>
      </c>
      <c r="G61" s="235"/>
      <c r="H61" s="272" t="str">
        <f>'6thMAY'!J61</f>
        <v/>
      </c>
      <c r="I61" s="281">
        <v>1.0</v>
      </c>
      <c r="J61" s="284"/>
      <c r="K61" s="283">
        <v>1.0</v>
      </c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'6thMAY'!E62</f>
        <v/>
      </c>
      <c r="D62" s="191"/>
      <c r="E62" s="247"/>
      <c r="F62" s="235" t="s">
        <v>51</v>
      </c>
      <c r="G62" s="235"/>
      <c r="H62" s="272">
        <f>'6thMAY'!J62</f>
        <v>0.54</v>
      </c>
      <c r="I62" s="281">
        <v>1.0</v>
      </c>
      <c r="J62" s="282">
        <v>0.524</v>
      </c>
      <c r="K62" s="283">
        <v>1.0</v>
      </c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0.016</v>
      </c>
      <c r="N62" s="191"/>
      <c r="O62" s="247"/>
    </row>
    <row r="63">
      <c r="A63" s="12" t="s">
        <v>53</v>
      </c>
      <c r="B63" s="12" t="s">
        <v>35</v>
      </c>
      <c r="C63" s="271" t="str">
        <f>'6thMAY'!E63</f>
        <v/>
      </c>
      <c r="D63" s="191"/>
      <c r="E63" s="247"/>
      <c r="F63" s="235" t="s">
        <v>35</v>
      </c>
      <c r="G63" s="235"/>
      <c r="H63" s="272">
        <f>'6thMAY'!J63</f>
        <v>0.913</v>
      </c>
      <c r="I63" s="281">
        <v>1.0</v>
      </c>
      <c r="J63" s="282">
        <v>0.9</v>
      </c>
      <c r="K63" s="283">
        <v>1.0</v>
      </c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0.013</v>
      </c>
      <c r="N63" s="191"/>
      <c r="O63" s="247"/>
    </row>
    <row r="64">
      <c r="A64" s="11" t="s">
        <v>55</v>
      </c>
      <c r="B64" s="11" t="s">
        <v>56</v>
      </c>
      <c r="C64" s="271" t="str">
        <f>'6thMAY'!E64</f>
        <v/>
      </c>
      <c r="D64" s="191"/>
      <c r="E64" s="247"/>
      <c r="F64" s="235" t="s">
        <v>14</v>
      </c>
      <c r="G64" s="235"/>
      <c r="H64" s="272" t="str">
        <f>'6thMAY'!J64</f>
        <v/>
      </c>
      <c r="I64" s="281">
        <v>1.0</v>
      </c>
      <c r="J64" s="284"/>
      <c r="K64" s="283">
        <v>1.0</v>
      </c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</v>
      </c>
      <c r="N64" s="191"/>
      <c r="O64" s="247"/>
    </row>
    <row r="65">
      <c r="A65" s="10" t="s">
        <v>57</v>
      </c>
      <c r="B65" s="11"/>
      <c r="C65" s="271" t="str">
        <f>'6thMAY'!E65</f>
        <v/>
      </c>
      <c r="D65" s="191"/>
      <c r="E65" s="247"/>
      <c r="F65" s="235"/>
      <c r="G65" s="235"/>
      <c r="H65" s="272" t="str">
        <f>'6thMAY'!J65</f>
        <v/>
      </c>
      <c r="I65" s="281">
        <v>1.0</v>
      </c>
      <c r="J65" s="284"/>
      <c r="K65" s="283">
        <v>1.0</v>
      </c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'6thMAY'!E66</f>
        <v>2</v>
      </c>
      <c r="D66" s="227">
        <v>3.0</v>
      </c>
      <c r="E66" s="280">
        <v>1.0</v>
      </c>
      <c r="F66" s="235" t="s">
        <v>35</v>
      </c>
      <c r="G66" s="235"/>
      <c r="H66" s="272">
        <f>'6thMAY'!J66</f>
        <v>1.382</v>
      </c>
      <c r="I66" s="281">
        <v>1.0</v>
      </c>
      <c r="J66" s="282">
        <v>0.437</v>
      </c>
      <c r="K66" s="283">
        <v>1.0</v>
      </c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8.945</v>
      </c>
      <c r="N66" s="191"/>
      <c r="O66" s="247"/>
    </row>
    <row r="67">
      <c r="A67" s="12" t="s">
        <v>61</v>
      </c>
      <c r="B67" s="12" t="s">
        <v>59</v>
      </c>
      <c r="C67" s="271" t="str">
        <f>'6thMAY'!E67</f>
        <v/>
      </c>
      <c r="D67" s="227">
        <v>1.0</v>
      </c>
      <c r="E67" s="247"/>
      <c r="F67" s="235" t="s">
        <v>35</v>
      </c>
      <c r="G67" s="235"/>
      <c r="H67" s="272">
        <f>'6thMAY'!J67</f>
        <v>0.1</v>
      </c>
      <c r="I67" s="281">
        <v>1.0</v>
      </c>
      <c r="J67" s="282">
        <v>0.095</v>
      </c>
      <c r="K67" s="283">
        <v>1.0</v>
      </c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0.105</v>
      </c>
      <c r="N67" s="191"/>
      <c r="O67" s="247"/>
    </row>
    <row r="68">
      <c r="A68" s="12" t="s">
        <v>62</v>
      </c>
      <c r="B68" s="12" t="s">
        <v>35</v>
      </c>
      <c r="C68" s="271" t="str">
        <f>'6thMAY'!E68</f>
        <v/>
      </c>
      <c r="D68" s="227">
        <v>6.8</v>
      </c>
      <c r="E68" s="280"/>
      <c r="F68" s="235" t="s">
        <v>35</v>
      </c>
      <c r="G68" s="235"/>
      <c r="H68" s="272" t="str">
        <f>'6thMAY'!J68</f>
        <v/>
      </c>
      <c r="I68" s="281">
        <v>1.0</v>
      </c>
      <c r="J68" s="282">
        <v>2.509</v>
      </c>
      <c r="K68" s="283">
        <v>1.0</v>
      </c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4.391</v>
      </c>
      <c r="N68" s="191"/>
      <c r="O68" s="247"/>
    </row>
    <row r="69">
      <c r="A69" s="12" t="s">
        <v>64</v>
      </c>
      <c r="B69" s="12" t="s">
        <v>59</v>
      </c>
      <c r="C69" s="271" t="str">
        <f>'6thMAY'!E69</f>
        <v/>
      </c>
      <c r="D69" s="227">
        <v>1.0</v>
      </c>
      <c r="E69" s="280">
        <v>1.0</v>
      </c>
      <c r="F69" s="235" t="s">
        <v>35</v>
      </c>
      <c r="G69" s="285">
        <v>0.168</v>
      </c>
      <c r="H69" s="272">
        <f>'6thMAY'!J69</f>
        <v>0.0373</v>
      </c>
      <c r="I69" s="281">
        <v>1.0</v>
      </c>
      <c r="J69" s="282">
        <v>0.168</v>
      </c>
      <c r="K69" s="283">
        <v>1.0</v>
      </c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0.0373</v>
      </c>
      <c r="N69" s="191"/>
      <c r="O69" s="247"/>
    </row>
    <row r="70">
      <c r="A70" s="10" t="s">
        <v>65</v>
      </c>
      <c r="B70" s="11"/>
      <c r="C70" s="271" t="str">
        <f>'6thMAY'!E70</f>
        <v/>
      </c>
      <c r="D70" s="191"/>
      <c r="E70" s="247"/>
      <c r="F70" s="235"/>
      <c r="G70" s="235"/>
      <c r="H70" s="272" t="str">
        <f>'6thMAY'!J70</f>
        <v/>
      </c>
      <c r="I70" s="281">
        <v>1.0</v>
      </c>
      <c r="J70" s="284"/>
      <c r="K70" s="283">
        <v>1.0</v>
      </c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'6thMAY'!E71</f>
        <v/>
      </c>
      <c r="D71" s="191"/>
      <c r="E71" s="247"/>
      <c r="F71" s="235" t="s">
        <v>25</v>
      </c>
      <c r="G71" s="285">
        <v>5.3</v>
      </c>
      <c r="H71" s="272" t="str">
        <f>'6thMAY'!J71</f>
        <v/>
      </c>
      <c r="I71" s="281">
        <v>1.0</v>
      </c>
      <c r="J71" s="282"/>
      <c r="K71" s="283">
        <v>1.0</v>
      </c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5.3</v>
      </c>
      <c r="N71" s="191"/>
      <c r="O71" s="247"/>
    </row>
    <row r="72">
      <c r="A72" s="12" t="s">
        <v>68</v>
      </c>
      <c r="B72" s="12" t="s">
        <v>35</v>
      </c>
      <c r="C72" s="271" t="str">
        <f>'6thMAY'!E72</f>
        <v/>
      </c>
      <c r="D72" s="227">
        <v>0.5</v>
      </c>
      <c r="E72" s="247"/>
      <c r="F72" s="235" t="s">
        <v>35</v>
      </c>
      <c r="G72" s="235"/>
      <c r="H72" s="272" t="str">
        <f>'6thMAY'!J72</f>
        <v/>
      </c>
      <c r="I72" s="281">
        <v>1.0</v>
      </c>
      <c r="J72" s="284"/>
      <c r="K72" s="283">
        <v>1.0</v>
      </c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0.5</v>
      </c>
      <c r="N72" s="191"/>
      <c r="O72" s="247"/>
    </row>
    <row r="73">
      <c r="A73" s="12" t="s">
        <v>70</v>
      </c>
      <c r="B73" s="12" t="s">
        <v>35</v>
      </c>
      <c r="C73" s="271" t="str">
        <f>'6thMAY'!E73</f>
        <v/>
      </c>
      <c r="D73" s="191"/>
      <c r="E73" s="247"/>
      <c r="F73" s="235" t="s">
        <v>35</v>
      </c>
      <c r="G73" s="235"/>
      <c r="H73" s="272" t="str">
        <f>'6thMAY'!J73</f>
        <v/>
      </c>
      <c r="I73" s="281">
        <v>1.0</v>
      </c>
      <c r="J73" s="284"/>
      <c r="K73" s="283">
        <v>1.0</v>
      </c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'6thMAY'!E74</f>
        <v/>
      </c>
      <c r="D74" s="227">
        <v>1.0</v>
      </c>
      <c r="E74" s="247"/>
      <c r="F74" s="235" t="s">
        <v>25</v>
      </c>
      <c r="G74" s="235"/>
      <c r="H74" s="272">
        <f>'6thMAY'!J74</f>
        <v>0.684</v>
      </c>
      <c r="I74" s="281">
        <v>1.0</v>
      </c>
      <c r="J74" s="282">
        <v>0.9</v>
      </c>
      <c r="K74" s="283">
        <v>1.0</v>
      </c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0.784</v>
      </c>
      <c r="N74" s="191"/>
      <c r="O74" s="247"/>
    </row>
    <row r="75">
      <c r="A75" s="12" t="s">
        <v>74</v>
      </c>
      <c r="B75" s="12" t="s">
        <v>17</v>
      </c>
      <c r="C75" s="271" t="str">
        <f>'6thMAY'!E75</f>
        <v/>
      </c>
      <c r="D75" s="191"/>
      <c r="E75" s="247"/>
      <c r="F75" s="235" t="s">
        <v>25</v>
      </c>
      <c r="G75" s="235"/>
      <c r="H75" s="272" t="str">
        <f>'6thMAY'!J75</f>
        <v/>
      </c>
      <c r="I75" s="281">
        <v>1.0</v>
      </c>
      <c r="J75" s="284"/>
      <c r="K75" s="283">
        <v>1.0</v>
      </c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</v>
      </c>
      <c r="N75" s="191"/>
      <c r="O75" s="247"/>
    </row>
    <row r="76">
      <c r="A76" s="12" t="s">
        <v>76</v>
      </c>
      <c r="B76" s="12" t="s">
        <v>72</v>
      </c>
      <c r="C76" s="271" t="str">
        <f>'6thMAY'!E76</f>
        <v/>
      </c>
      <c r="D76" s="191"/>
      <c r="E76" s="247"/>
      <c r="F76" s="235" t="s">
        <v>35</v>
      </c>
      <c r="G76" s="235"/>
      <c r="H76" s="272">
        <f>'6thMAY'!J76</f>
        <v>1</v>
      </c>
      <c r="I76" s="281">
        <v>1.0</v>
      </c>
      <c r="J76" s="284"/>
      <c r="K76" s="283">
        <v>1.0</v>
      </c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0.938</v>
      </c>
      <c r="N76" s="191"/>
      <c r="O76" s="247"/>
    </row>
    <row r="77">
      <c r="A77" s="12" t="s">
        <v>77</v>
      </c>
      <c r="B77" s="12" t="s">
        <v>78</v>
      </c>
      <c r="C77" s="271" t="str">
        <f>'6thMAY'!E77</f>
        <v/>
      </c>
      <c r="D77" s="191"/>
      <c r="E77" s="247"/>
      <c r="F77" s="235" t="s">
        <v>25</v>
      </c>
      <c r="G77" s="235"/>
      <c r="H77" s="272">
        <f>'6thMAY'!J77</f>
        <v>0.648</v>
      </c>
      <c r="I77" s="281">
        <v>1.0</v>
      </c>
      <c r="J77" s="284"/>
      <c r="K77" s="283">
        <v>1.0</v>
      </c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0.568</v>
      </c>
      <c r="N77" s="191"/>
      <c r="O77" s="247"/>
    </row>
    <row r="78">
      <c r="A78" s="12" t="s">
        <v>80</v>
      </c>
      <c r="B78" s="12" t="s">
        <v>56</v>
      </c>
      <c r="C78" s="271" t="str">
        <f>'6thMAY'!E78</f>
        <v/>
      </c>
      <c r="D78" s="191"/>
      <c r="E78" s="247"/>
      <c r="F78" s="235" t="s">
        <v>35</v>
      </c>
      <c r="G78" s="235"/>
      <c r="H78" s="272" t="str">
        <f>'6thMAY'!J78</f>
        <v/>
      </c>
      <c r="I78" s="281">
        <v>1.0</v>
      </c>
      <c r="J78" s="284"/>
      <c r="K78" s="283">
        <v>1.0</v>
      </c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'6thMAY'!E79</f>
        <v/>
      </c>
      <c r="D79" s="191"/>
      <c r="E79" s="247"/>
      <c r="F79" s="235" t="s">
        <v>35</v>
      </c>
      <c r="G79" s="235"/>
      <c r="H79" s="272" t="str">
        <f>'6thMAY'!J79</f>
        <v/>
      </c>
      <c r="I79" s="281">
        <v>1.0</v>
      </c>
      <c r="J79" s="282"/>
      <c r="K79" s="283">
        <v>1.0</v>
      </c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</v>
      </c>
      <c r="N79" s="191"/>
      <c r="O79" s="247"/>
    </row>
    <row r="80">
      <c r="A80" s="10" t="s">
        <v>85</v>
      </c>
      <c r="B80" s="11"/>
      <c r="C80" s="271" t="str">
        <f>'6thMAY'!E80</f>
        <v/>
      </c>
      <c r="D80" s="191"/>
      <c r="E80" s="247"/>
      <c r="F80" s="235"/>
      <c r="G80" s="235"/>
      <c r="H80" s="272" t="str">
        <f>'6thMAY'!J80</f>
        <v/>
      </c>
      <c r="I80" s="281">
        <v>1.0</v>
      </c>
      <c r="J80" s="284"/>
      <c r="K80" s="283">
        <v>1.0</v>
      </c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'6thMAY'!E81</f>
        <v/>
      </c>
      <c r="D81" s="227">
        <v>1.0</v>
      </c>
      <c r="E81" s="247"/>
      <c r="F81" s="235" t="s">
        <v>25</v>
      </c>
      <c r="G81" s="235"/>
      <c r="H81" s="272">
        <f>'6thMAY'!J81</f>
        <v>0.646</v>
      </c>
      <c r="I81" s="281">
        <v>1.0</v>
      </c>
      <c r="J81" s="282"/>
      <c r="K81" s="283">
        <v>1.0</v>
      </c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0.734</v>
      </c>
      <c r="N81" s="191"/>
      <c r="O81" s="247"/>
    </row>
    <row r="82">
      <c r="A82" s="12" t="s">
        <v>87</v>
      </c>
      <c r="B82" s="12" t="s">
        <v>83</v>
      </c>
      <c r="C82" s="271" t="str">
        <f>'6thMAY'!E82</f>
        <v/>
      </c>
      <c r="D82" s="227"/>
      <c r="E82" s="280"/>
      <c r="F82" s="235" t="s">
        <v>25</v>
      </c>
      <c r="G82" s="235"/>
      <c r="H82" s="272">
        <f>'6thMAY'!J82</f>
        <v>0.988</v>
      </c>
      <c r="I82" s="281">
        <v>1.0</v>
      </c>
      <c r="J82" s="282">
        <v>0.66</v>
      </c>
      <c r="K82" s="283">
        <v>1.0</v>
      </c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0.328</v>
      </c>
      <c r="N82" s="191"/>
      <c r="O82" s="247"/>
    </row>
    <row r="83">
      <c r="A83" s="12" t="s">
        <v>88</v>
      </c>
      <c r="B83" s="12" t="s">
        <v>83</v>
      </c>
      <c r="C83" s="271" t="str">
        <f>'6thMAY'!E83</f>
        <v/>
      </c>
      <c r="D83" s="191"/>
      <c r="E83" s="247"/>
      <c r="F83" s="235" t="s">
        <v>25</v>
      </c>
      <c r="G83" s="235"/>
      <c r="H83" s="272">
        <f>'6thMAY'!J83</f>
        <v>0.833</v>
      </c>
      <c r="I83" s="281">
        <v>1.0</v>
      </c>
      <c r="J83" s="282"/>
      <c r="K83" s="283">
        <v>1.0</v>
      </c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0.333</v>
      </c>
      <c r="N83" s="191"/>
      <c r="O83" s="247"/>
    </row>
    <row r="84">
      <c r="A84" s="12" t="s">
        <v>89</v>
      </c>
      <c r="B84" s="12" t="s">
        <v>83</v>
      </c>
      <c r="C84" s="271" t="str">
        <f>'6thMAY'!E84</f>
        <v/>
      </c>
      <c r="D84" s="227"/>
      <c r="E84" s="280"/>
      <c r="F84" s="235" t="s">
        <v>25</v>
      </c>
      <c r="G84" s="235"/>
      <c r="H84" s="272">
        <f>'6thMAY'!J84</f>
        <v>0.608</v>
      </c>
      <c r="I84" s="281">
        <v>1.0</v>
      </c>
      <c r="J84" s="282">
        <v>0.519</v>
      </c>
      <c r="K84" s="283">
        <v>1.0</v>
      </c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0.089</v>
      </c>
      <c r="N84" s="191"/>
      <c r="O84" s="247"/>
    </row>
    <row r="85">
      <c r="A85" s="12" t="s">
        <v>90</v>
      </c>
      <c r="B85" s="12" t="s">
        <v>24</v>
      </c>
      <c r="C85" s="271" t="str">
        <f>'6thMAY'!E85</f>
        <v/>
      </c>
      <c r="D85" s="227">
        <v>1.0</v>
      </c>
      <c r="E85" s="280"/>
      <c r="F85" s="235" t="s">
        <v>25</v>
      </c>
      <c r="G85" s="285">
        <v>0.006</v>
      </c>
      <c r="H85" s="272">
        <f>'6thMAY'!J85</f>
        <v>0.056</v>
      </c>
      <c r="I85" s="281">
        <v>1.0</v>
      </c>
      <c r="J85" s="284"/>
      <c r="K85" s="283">
        <v>1.0</v>
      </c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0.295</v>
      </c>
      <c r="N85" s="191"/>
      <c r="O85" s="247"/>
    </row>
    <row r="86">
      <c r="A86" s="12" t="s">
        <v>91</v>
      </c>
      <c r="B86" s="12" t="s">
        <v>56</v>
      </c>
      <c r="C86" s="271" t="str">
        <f>'6thMAY'!E86</f>
        <v/>
      </c>
      <c r="D86" s="227">
        <v>1.0</v>
      </c>
      <c r="E86" s="280"/>
      <c r="F86" s="235" t="s">
        <v>25</v>
      </c>
      <c r="G86" s="235"/>
      <c r="H86" s="272">
        <f>'6thMAY'!J86</f>
        <v>1</v>
      </c>
      <c r="I86" s="281">
        <v>1.0</v>
      </c>
      <c r="J86" s="282">
        <v>4.0</v>
      </c>
      <c r="K86" s="283">
        <v>1.0</v>
      </c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2</v>
      </c>
      <c r="N86" s="191"/>
      <c r="O86" s="247"/>
    </row>
    <row r="87">
      <c r="A87" s="12" t="s">
        <v>92</v>
      </c>
      <c r="B87" s="12" t="s">
        <v>83</v>
      </c>
      <c r="C87" s="271" t="str">
        <f>'6thMAY'!E87</f>
        <v/>
      </c>
      <c r="D87" s="191"/>
      <c r="E87" s="247"/>
      <c r="F87" s="235" t="s">
        <v>25</v>
      </c>
      <c r="G87" s="285">
        <v>0.08</v>
      </c>
      <c r="H87" s="272">
        <f>'6thMAY'!J87</f>
        <v>0.62</v>
      </c>
      <c r="I87" s="281">
        <v>1.0</v>
      </c>
      <c r="J87" s="282">
        <v>0.402</v>
      </c>
      <c r="K87" s="283">
        <v>1.0</v>
      </c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0.298</v>
      </c>
      <c r="N87" s="191"/>
      <c r="O87" s="247"/>
    </row>
    <row r="88">
      <c r="A88" s="12" t="s">
        <v>93</v>
      </c>
      <c r="B88" s="12" t="s">
        <v>83</v>
      </c>
      <c r="C88" s="271" t="str">
        <f>'6thMAY'!E88</f>
        <v/>
      </c>
      <c r="D88" s="191"/>
      <c r="E88" s="247"/>
      <c r="F88" s="235" t="s">
        <v>25</v>
      </c>
      <c r="G88" s="235"/>
      <c r="H88" s="272">
        <f>'6thMAY'!J88</f>
        <v>0.812</v>
      </c>
      <c r="I88" s="281">
        <v>1.0</v>
      </c>
      <c r="J88" s="282">
        <v>0.804</v>
      </c>
      <c r="K88" s="283">
        <v>1.0</v>
      </c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0.008</v>
      </c>
      <c r="N88" s="191"/>
      <c r="O88" s="247"/>
    </row>
    <row r="89">
      <c r="A89" s="12" t="s">
        <v>95</v>
      </c>
      <c r="B89" s="12" t="s">
        <v>83</v>
      </c>
      <c r="C89" s="271" t="str">
        <f>'6thMAY'!E89</f>
        <v/>
      </c>
      <c r="D89" s="191"/>
      <c r="E89" s="247"/>
      <c r="F89" s="235" t="s">
        <v>25</v>
      </c>
      <c r="G89" s="235"/>
      <c r="H89" s="272">
        <f>'6thMAY'!J89</f>
        <v>0.966</v>
      </c>
      <c r="I89" s="281">
        <v>1.0</v>
      </c>
      <c r="J89" s="282">
        <v>0.902</v>
      </c>
      <c r="K89" s="283">
        <v>1.0</v>
      </c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0.064</v>
      </c>
      <c r="N89" s="191"/>
      <c r="O89" s="247"/>
    </row>
    <row r="90">
      <c r="A90" s="10" t="s">
        <v>96</v>
      </c>
      <c r="B90" s="11"/>
      <c r="C90" s="271" t="str">
        <f>'6thMAY'!E90</f>
        <v/>
      </c>
      <c r="D90" s="191"/>
      <c r="E90" s="247"/>
      <c r="F90" s="235"/>
      <c r="G90" s="235"/>
      <c r="H90" s="272" t="str">
        <f>'6thMAY'!J90</f>
        <v/>
      </c>
      <c r="I90" s="281">
        <v>1.0</v>
      </c>
      <c r="J90" s="284"/>
      <c r="K90" s="283">
        <v>1.0</v>
      </c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'6thMAY'!E91</f>
        <v/>
      </c>
      <c r="D91" s="191"/>
      <c r="E91" s="247"/>
      <c r="F91" s="235" t="s">
        <v>35</v>
      </c>
      <c r="G91" s="235"/>
      <c r="H91" s="272" t="str">
        <f>'6thMAY'!J91</f>
        <v/>
      </c>
      <c r="I91" s="281">
        <v>1.0</v>
      </c>
      <c r="J91" s="284"/>
      <c r="K91" s="283">
        <v>1.0</v>
      </c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'6thMAY'!E92</f>
        <v/>
      </c>
      <c r="D92" s="191"/>
      <c r="E92" s="247"/>
      <c r="F92" s="235" t="s">
        <v>35</v>
      </c>
      <c r="G92" s="235"/>
      <c r="H92" s="272">
        <f>'6thMAY'!J92</f>
        <v>0.465</v>
      </c>
      <c r="I92" s="281">
        <v>1.0</v>
      </c>
      <c r="J92" s="282">
        <f>0.143+0.191</f>
        <v>0.334</v>
      </c>
      <c r="K92" s="283">
        <v>1.0</v>
      </c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0.131</v>
      </c>
      <c r="N92" s="191"/>
      <c r="O92" s="247"/>
    </row>
    <row r="93">
      <c r="A93" s="12" t="s">
        <v>100</v>
      </c>
      <c r="B93" s="12" t="s">
        <v>40</v>
      </c>
      <c r="C93" s="271" t="str">
        <f>'6thMAY'!E93</f>
        <v/>
      </c>
      <c r="D93" s="191"/>
      <c r="E93" s="247"/>
      <c r="F93" s="235" t="s">
        <v>35</v>
      </c>
      <c r="G93" s="235"/>
      <c r="H93" s="272">
        <f>'6thMAY'!J93</f>
        <v>0.249</v>
      </c>
      <c r="I93" s="281">
        <v>1.0</v>
      </c>
      <c r="J93" s="282">
        <v>0.227</v>
      </c>
      <c r="K93" s="283">
        <v>1.0</v>
      </c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0.022</v>
      </c>
      <c r="N93" s="191"/>
      <c r="O93" s="247"/>
    </row>
    <row r="94">
      <c r="A94" s="12" t="s">
        <v>101</v>
      </c>
      <c r="B94" s="12" t="s">
        <v>40</v>
      </c>
      <c r="C94" s="271" t="str">
        <f>'6thMAY'!E94</f>
        <v/>
      </c>
      <c r="D94" s="191"/>
      <c r="E94" s="247"/>
      <c r="F94" s="235" t="s">
        <v>35</v>
      </c>
      <c r="G94" s="235"/>
      <c r="H94" s="272" t="str">
        <f>'6thMAY'!J94</f>
        <v/>
      </c>
      <c r="I94" s="281">
        <v>1.0</v>
      </c>
      <c r="J94" s="284"/>
      <c r="K94" s="283">
        <v>1.0</v>
      </c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'6thMAY'!E95</f>
        <v/>
      </c>
      <c r="D95" s="191"/>
      <c r="E95" s="247"/>
      <c r="F95" s="235" t="s">
        <v>35</v>
      </c>
      <c r="G95" s="235"/>
      <c r="H95" s="272">
        <f>'6thMAY'!J95</f>
        <v>0.209</v>
      </c>
      <c r="I95" s="281">
        <v>1.0</v>
      </c>
      <c r="J95" s="282">
        <v>0.115</v>
      </c>
      <c r="K95" s="283">
        <v>1.0</v>
      </c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0.094</v>
      </c>
      <c r="N95" s="191"/>
      <c r="O95" s="247"/>
    </row>
    <row r="96">
      <c r="A96" s="12" t="s">
        <v>103</v>
      </c>
      <c r="B96" s="12" t="s">
        <v>40</v>
      </c>
      <c r="C96" s="271" t="str">
        <f>'6thMAY'!E96</f>
        <v/>
      </c>
      <c r="D96" s="191"/>
      <c r="E96" s="247"/>
      <c r="F96" s="235" t="s">
        <v>35</v>
      </c>
      <c r="G96" s="235"/>
      <c r="H96" s="272" t="str">
        <f>'6thMAY'!J96</f>
        <v/>
      </c>
      <c r="I96" s="281">
        <v>1.0</v>
      </c>
      <c r="J96" s="282"/>
      <c r="K96" s="283">
        <v>1.0</v>
      </c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71" t="str">
        <f>'6thMAY'!E97</f>
        <v/>
      </c>
      <c r="D97" s="191"/>
      <c r="E97" s="247"/>
      <c r="F97" s="235" t="s">
        <v>35</v>
      </c>
      <c r="G97" s="235"/>
      <c r="H97" s="272" t="str">
        <f>'6thMAY'!J97</f>
        <v/>
      </c>
      <c r="I97" s="281">
        <v>1.0</v>
      </c>
      <c r="J97" s="284"/>
      <c r="K97" s="283">
        <v>1.0</v>
      </c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'6thMAY'!E98</f>
        <v/>
      </c>
      <c r="D98" s="191"/>
      <c r="E98" s="247"/>
      <c r="F98" s="235" t="s">
        <v>35</v>
      </c>
      <c r="G98" s="235"/>
      <c r="H98" s="272">
        <f>'6thMAY'!J98</f>
        <v>0.475</v>
      </c>
      <c r="I98" s="281">
        <v>1.0</v>
      </c>
      <c r="J98" s="282">
        <v>0.448</v>
      </c>
      <c r="K98" s="283">
        <v>1.0</v>
      </c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0.027</v>
      </c>
      <c r="N98" s="191"/>
      <c r="O98" s="247"/>
    </row>
    <row r="99">
      <c r="A99" s="12" t="s">
        <v>108</v>
      </c>
      <c r="B99" s="12" t="s">
        <v>40</v>
      </c>
      <c r="C99" s="271" t="str">
        <f>'6thMAY'!E99</f>
        <v/>
      </c>
      <c r="D99" s="191"/>
      <c r="E99" s="247"/>
      <c r="F99" s="235" t="s">
        <v>35</v>
      </c>
      <c r="G99" s="235"/>
      <c r="H99" s="272">
        <f>'6thMAY'!J99</f>
        <v>0.514</v>
      </c>
      <c r="I99" s="281">
        <v>1.0</v>
      </c>
      <c r="J99" s="282">
        <v>0.514</v>
      </c>
      <c r="K99" s="283">
        <v>1.0</v>
      </c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</v>
      </c>
      <c r="N99" s="191"/>
      <c r="O99" s="247"/>
    </row>
    <row r="100">
      <c r="A100" s="12" t="s">
        <v>109</v>
      </c>
      <c r="B100" s="12" t="s">
        <v>40</v>
      </c>
      <c r="C100" s="271" t="str">
        <f>'6thMAY'!E100</f>
        <v/>
      </c>
      <c r="D100" s="191"/>
      <c r="E100" s="247"/>
      <c r="F100" s="235" t="s">
        <v>35</v>
      </c>
      <c r="G100" s="235"/>
      <c r="H100" s="272">
        <f>'6thMAY'!J100</f>
        <v>0.396</v>
      </c>
      <c r="I100" s="281">
        <v>1.0</v>
      </c>
      <c r="J100" s="282">
        <v>0.392</v>
      </c>
      <c r="K100" s="283">
        <v>1.0</v>
      </c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0.004</v>
      </c>
      <c r="N100" s="191"/>
      <c r="O100" s="247"/>
    </row>
    <row r="101">
      <c r="A101" s="12" t="s">
        <v>110</v>
      </c>
      <c r="B101" s="12" t="s">
        <v>40</v>
      </c>
      <c r="C101" s="271" t="str">
        <f>'6thMAY'!E101</f>
        <v/>
      </c>
      <c r="D101" s="191"/>
      <c r="E101" s="247"/>
      <c r="F101" s="235" t="s">
        <v>35</v>
      </c>
      <c r="G101" s="235"/>
      <c r="H101" s="272">
        <f>'6thMAY'!J101</f>
        <v>0.23</v>
      </c>
      <c r="I101" s="281">
        <v>1.0</v>
      </c>
      <c r="J101" s="282">
        <v>0.217</v>
      </c>
      <c r="K101" s="283">
        <v>1.0</v>
      </c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0.013</v>
      </c>
      <c r="N101" s="191"/>
      <c r="O101" s="247"/>
    </row>
    <row r="102">
      <c r="A102" s="12" t="s">
        <v>111</v>
      </c>
      <c r="B102" s="12" t="s">
        <v>40</v>
      </c>
      <c r="C102" s="271" t="str">
        <f>'6thMAY'!E102</f>
        <v/>
      </c>
      <c r="D102" s="191"/>
      <c r="E102" s="247"/>
      <c r="F102" s="235" t="s">
        <v>35</v>
      </c>
      <c r="G102" s="235"/>
      <c r="H102" s="272" t="str">
        <f>'6thMAY'!J102</f>
        <v/>
      </c>
      <c r="I102" s="281">
        <v>1.0</v>
      </c>
      <c r="J102" s="284"/>
      <c r="K102" s="283">
        <v>1.0</v>
      </c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>
        <f>'6thMAY'!E103</f>
        <v>2</v>
      </c>
      <c r="D103" s="191"/>
      <c r="E103" s="280">
        <v>1.0</v>
      </c>
      <c r="F103" s="235" t="s">
        <v>35</v>
      </c>
      <c r="G103" s="235"/>
      <c r="H103" s="272" t="str">
        <f>'6thMAY'!J103</f>
        <v/>
      </c>
      <c r="I103" s="281">
        <v>1.0</v>
      </c>
      <c r="J103" s="282">
        <v>0.461</v>
      </c>
      <c r="K103" s="283">
        <v>1.0</v>
      </c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0.052</v>
      </c>
      <c r="N103" s="191"/>
      <c r="O103" s="247"/>
    </row>
    <row r="104">
      <c r="A104" s="12" t="s">
        <v>114</v>
      </c>
      <c r="B104" s="12" t="s">
        <v>40</v>
      </c>
      <c r="C104" s="271" t="str">
        <f>'6thMAY'!E104</f>
        <v/>
      </c>
      <c r="D104" s="191"/>
      <c r="E104" s="247"/>
      <c r="F104" s="235" t="s">
        <v>35</v>
      </c>
      <c r="G104" s="285"/>
      <c r="H104" s="272">
        <f>'6thMAY'!J104</f>
        <v>0.45</v>
      </c>
      <c r="I104" s="281">
        <v>1.0</v>
      </c>
      <c r="J104" s="282">
        <v>0.411</v>
      </c>
      <c r="K104" s="283">
        <v>1.0</v>
      </c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0.039</v>
      </c>
      <c r="N104" s="191"/>
      <c r="O104" s="247"/>
    </row>
    <row r="105">
      <c r="A105" s="12" t="s">
        <v>116</v>
      </c>
      <c r="B105" s="12" t="s">
        <v>40</v>
      </c>
      <c r="C105" s="271" t="str">
        <f>'6thMAY'!E105</f>
        <v/>
      </c>
      <c r="D105" s="191"/>
      <c r="E105" s="247"/>
      <c r="F105" s="235" t="s">
        <v>35</v>
      </c>
      <c r="G105" s="235"/>
      <c r="H105" s="272" t="str">
        <f>'6thMAY'!J105</f>
        <v/>
      </c>
      <c r="I105" s="281">
        <v>1.0</v>
      </c>
      <c r="J105" s="284"/>
      <c r="K105" s="283">
        <v>1.0</v>
      </c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'6thMAY'!E106</f>
        <v/>
      </c>
      <c r="D106" s="191"/>
      <c r="E106" s="247"/>
      <c r="F106" s="235" t="s">
        <v>35</v>
      </c>
      <c r="G106" s="285"/>
      <c r="H106" s="272">
        <f>'6thMAY'!J106</f>
        <v>0.285</v>
      </c>
      <c r="I106" s="281">
        <v>1.0</v>
      </c>
      <c r="J106" s="282">
        <v>0.203</v>
      </c>
      <c r="K106" s="283">
        <v>1.0</v>
      </c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0.082</v>
      </c>
      <c r="N106" s="191"/>
      <c r="O106" s="247"/>
    </row>
    <row r="107">
      <c r="A107" s="12" t="s">
        <v>118</v>
      </c>
      <c r="B107" s="12" t="s">
        <v>40</v>
      </c>
      <c r="C107" s="271" t="str">
        <f>'6thMAY'!E107</f>
        <v/>
      </c>
      <c r="D107" s="191"/>
      <c r="E107" s="247"/>
      <c r="F107" s="235" t="s">
        <v>35</v>
      </c>
      <c r="G107" s="235"/>
      <c r="H107" s="272">
        <f>'6thMAY'!J107</f>
        <v>0.141</v>
      </c>
      <c r="I107" s="281">
        <v>1.0</v>
      </c>
      <c r="J107" s="282">
        <v>0.124</v>
      </c>
      <c r="K107" s="283">
        <v>1.0</v>
      </c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0.017</v>
      </c>
      <c r="N107" s="191"/>
      <c r="O107" s="247"/>
    </row>
    <row r="108">
      <c r="A108" s="12" t="s">
        <v>119</v>
      </c>
      <c r="B108" s="12" t="s">
        <v>40</v>
      </c>
      <c r="C108" s="271" t="str">
        <f>'6thMAY'!E108</f>
        <v/>
      </c>
      <c r="D108" s="191"/>
      <c r="E108" s="247"/>
      <c r="F108" s="235" t="s">
        <v>35</v>
      </c>
      <c r="G108" s="285">
        <v>0.003</v>
      </c>
      <c r="H108" s="272">
        <f>'6thMAY'!J108</f>
        <v>0.739</v>
      </c>
      <c r="I108" s="281">
        <v>1.0</v>
      </c>
      <c r="J108" s="284">
        <f>0.241+0.501</f>
        <v>0.742</v>
      </c>
      <c r="K108" s="283">
        <v>1.0</v>
      </c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</v>
      </c>
      <c r="N108" s="191"/>
      <c r="O108" s="247"/>
    </row>
    <row r="109">
      <c r="A109" s="12" t="s">
        <v>120</v>
      </c>
      <c r="B109" s="12" t="s">
        <v>40</v>
      </c>
      <c r="C109" s="271" t="str">
        <f>'6thMAY'!E109</f>
        <v/>
      </c>
      <c r="D109" s="191"/>
      <c r="E109" s="247"/>
      <c r="F109" s="235" t="s">
        <v>35</v>
      </c>
      <c r="G109" s="285">
        <v>0.769</v>
      </c>
      <c r="H109" s="272">
        <f>'6thMAY'!J109</f>
        <v>0.111</v>
      </c>
      <c r="I109" s="281">
        <v>1.0</v>
      </c>
      <c r="J109" s="282">
        <f>0.106+0.663</f>
        <v>0.769</v>
      </c>
      <c r="K109" s="283">
        <v>1.0</v>
      </c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0.111</v>
      </c>
      <c r="N109" s="191"/>
      <c r="O109" s="247"/>
    </row>
    <row r="110">
      <c r="A110" s="12" t="s">
        <v>121</v>
      </c>
      <c r="B110" s="12" t="s">
        <v>40</v>
      </c>
      <c r="C110" s="271" t="str">
        <f>'6thMAY'!E110</f>
        <v/>
      </c>
      <c r="D110" s="191"/>
      <c r="E110" s="247"/>
      <c r="F110" s="235" t="s">
        <v>35</v>
      </c>
      <c r="G110" s="235"/>
      <c r="H110" s="272">
        <f>'6thMAY'!J110</f>
        <v>0.35</v>
      </c>
      <c r="I110" s="281">
        <v>1.0</v>
      </c>
      <c r="J110" s="282">
        <v>0.343</v>
      </c>
      <c r="K110" s="283">
        <v>1.0</v>
      </c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0.007</v>
      </c>
      <c r="N110" s="191"/>
      <c r="O110" s="247"/>
    </row>
    <row r="111">
      <c r="A111" s="12" t="s">
        <v>122</v>
      </c>
      <c r="B111" s="12" t="s">
        <v>40</v>
      </c>
      <c r="C111" s="271" t="str">
        <f>'6thMAY'!E111</f>
        <v/>
      </c>
      <c r="D111" s="191"/>
      <c r="E111" s="247"/>
      <c r="F111" s="235" t="s">
        <v>35</v>
      </c>
      <c r="G111" s="235"/>
      <c r="H111" s="272" t="str">
        <f>'6thMAY'!J111</f>
        <v/>
      </c>
      <c r="I111" s="281">
        <v>1.0</v>
      </c>
      <c r="J111" s="284"/>
      <c r="K111" s="283">
        <v>1.0</v>
      </c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'6thMAY'!E112</f>
        <v/>
      </c>
      <c r="D112" s="191"/>
      <c r="E112" s="247"/>
      <c r="F112" s="235" t="s">
        <v>35</v>
      </c>
      <c r="G112" s="235"/>
      <c r="H112" s="272">
        <f>'6thMAY'!J112</f>
        <v>0.037</v>
      </c>
      <c r="I112" s="281">
        <v>1.0</v>
      </c>
      <c r="J112" s="282">
        <v>0.037</v>
      </c>
      <c r="K112" s="283">
        <v>1.0</v>
      </c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</v>
      </c>
      <c r="N112" s="191"/>
      <c r="O112" s="247"/>
    </row>
    <row r="113">
      <c r="A113" s="12" t="s">
        <v>124</v>
      </c>
      <c r="B113" s="12" t="s">
        <v>40</v>
      </c>
      <c r="C113" s="271" t="str">
        <f>'6thMAY'!E113</f>
        <v/>
      </c>
      <c r="D113" s="191"/>
      <c r="E113" s="247"/>
      <c r="F113" s="235" t="s">
        <v>35</v>
      </c>
      <c r="G113" s="235"/>
      <c r="H113" s="272">
        <f>'6thMAY'!J113</f>
        <v>0.116</v>
      </c>
      <c r="I113" s="281">
        <v>1.0</v>
      </c>
      <c r="J113" s="282">
        <v>0.113</v>
      </c>
      <c r="K113" s="283">
        <v>1.0</v>
      </c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0.003</v>
      </c>
      <c r="N113" s="191"/>
      <c r="O113" s="247"/>
    </row>
    <row r="114">
      <c r="A114" s="12" t="s">
        <v>125</v>
      </c>
      <c r="B114" s="12" t="s">
        <v>40</v>
      </c>
      <c r="C114" s="271" t="str">
        <f>'6thMAY'!E114</f>
        <v/>
      </c>
      <c r="D114" s="191"/>
      <c r="E114" s="247"/>
      <c r="F114" s="235" t="s">
        <v>35</v>
      </c>
      <c r="G114" s="235"/>
      <c r="H114" s="272" t="str">
        <f>'6thMAY'!J114</f>
        <v/>
      </c>
      <c r="I114" s="281">
        <v>1.0</v>
      </c>
      <c r="J114" s="284"/>
      <c r="K114" s="283">
        <v>1.0</v>
      </c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'6thMAY'!E115</f>
        <v/>
      </c>
      <c r="D115" s="191"/>
      <c r="E115" s="247"/>
      <c r="F115" s="235" t="s">
        <v>35</v>
      </c>
      <c r="G115" s="235"/>
      <c r="H115" s="272">
        <f>'6thMAY'!J115</f>
        <v>0.765</v>
      </c>
      <c r="I115" s="281">
        <v>1.0</v>
      </c>
      <c r="J115" s="282">
        <f>0.221+0.503</f>
        <v>0.724</v>
      </c>
      <c r="K115" s="283">
        <v>1.0</v>
      </c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0.041</v>
      </c>
      <c r="N115" s="191"/>
      <c r="O115" s="247"/>
    </row>
    <row r="116">
      <c r="A116" s="12" t="s">
        <v>127</v>
      </c>
      <c r="B116" s="12" t="s">
        <v>40</v>
      </c>
      <c r="C116" s="271" t="str">
        <f>'6thMAY'!E116</f>
        <v/>
      </c>
      <c r="D116" s="191"/>
      <c r="E116" s="247"/>
      <c r="F116" s="235" t="s">
        <v>35</v>
      </c>
      <c r="G116" s="235"/>
      <c r="H116" s="272">
        <f>'6thMAY'!J116</f>
        <v>0.075</v>
      </c>
      <c r="I116" s="281">
        <v>1.0</v>
      </c>
      <c r="J116" s="282">
        <v>0.062</v>
      </c>
      <c r="K116" s="283">
        <v>1.0</v>
      </c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0.013</v>
      </c>
      <c r="N116" s="191"/>
      <c r="O116" s="247"/>
    </row>
    <row r="117">
      <c r="A117" s="12" t="s">
        <v>128</v>
      </c>
      <c r="B117" s="12" t="s">
        <v>40</v>
      </c>
      <c r="C117" s="271" t="str">
        <f>'6thMAY'!E117</f>
        <v/>
      </c>
      <c r="D117" s="191"/>
      <c r="E117" s="247"/>
      <c r="F117" s="235" t="s">
        <v>35</v>
      </c>
      <c r="G117" s="235"/>
      <c r="H117" s="272">
        <f>'6thMAY'!J117</f>
        <v>0.04</v>
      </c>
      <c r="I117" s="281">
        <v>1.0</v>
      </c>
      <c r="J117" s="282">
        <v>0.034</v>
      </c>
      <c r="K117" s="283">
        <v>1.0</v>
      </c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0.006</v>
      </c>
      <c r="N117" s="191"/>
      <c r="O117" s="247"/>
    </row>
    <row r="118">
      <c r="A118" s="12" t="s">
        <v>129</v>
      </c>
      <c r="B118" s="12" t="s">
        <v>40</v>
      </c>
      <c r="C118" s="271" t="str">
        <f>'6thMAY'!E118</f>
        <v/>
      </c>
      <c r="D118" s="191"/>
      <c r="E118" s="247"/>
      <c r="F118" s="235" t="s">
        <v>35</v>
      </c>
      <c r="G118" s="235"/>
      <c r="H118" s="272">
        <f>'6thMAY'!J118</f>
        <v>1</v>
      </c>
      <c r="I118" s="281">
        <v>1.0</v>
      </c>
      <c r="J118" s="282">
        <v>1.0</v>
      </c>
      <c r="K118" s="283">
        <v>1.0</v>
      </c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71" t="str">
        <f>'6thMAY'!E119</f>
        <v/>
      </c>
      <c r="D119" s="227">
        <v>2.0</v>
      </c>
      <c r="E119" s="247"/>
      <c r="F119" s="235" t="s">
        <v>35</v>
      </c>
      <c r="G119" s="285"/>
      <c r="H119" s="272" t="str">
        <f>'6thMAY'!J119</f>
        <v/>
      </c>
      <c r="I119" s="281">
        <v>1.0</v>
      </c>
      <c r="J119" s="282">
        <v>0.855</v>
      </c>
      <c r="K119" s="283">
        <v>1.0</v>
      </c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0.156</v>
      </c>
      <c r="N119" s="191"/>
      <c r="O119" s="247"/>
    </row>
    <row r="120">
      <c r="A120" s="12" t="s">
        <v>131</v>
      </c>
      <c r="B120" s="12" t="s">
        <v>40</v>
      </c>
      <c r="C120" s="271" t="str">
        <f>'6thMAY'!E120</f>
        <v/>
      </c>
      <c r="D120" s="191"/>
      <c r="E120" s="247"/>
      <c r="F120" s="235" t="s">
        <v>35</v>
      </c>
      <c r="G120" s="235"/>
      <c r="H120" s="272">
        <f>'6thMAY'!J120</f>
        <v>0.067</v>
      </c>
      <c r="I120" s="281">
        <v>1.0</v>
      </c>
      <c r="J120" s="282"/>
      <c r="K120" s="283">
        <v>1.0</v>
      </c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0.056</v>
      </c>
      <c r="N120" s="191"/>
      <c r="O120" s="247"/>
    </row>
    <row r="121">
      <c r="A121" s="12" t="s">
        <v>132</v>
      </c>
      <c r="B121" s="12" t="s">
        <v>40</v>
      </c>
      <c r="C121" s="271" t="str">
        <f>'6thMAY'!E121</f>
        <v/>
      </c>
      <c r="D121" s="191"/>
      <c r="E121" s="247"/>
      <c r="F121" s="235" t="s">
        <v>35</v>
      </c>
      <c r="G121" s="235"/>
      <c r="H121" s="272" t="str">
        <f>'6thMAY'!J121</f>
        <v/>
      </c>
      <c r="I121" s="281">
        <v>1.0</v>
      </c>
      <c r="J121" s="282"/>
      <c r="K121" s="283">
        <v>1.0</v>
      </c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</v>
      </c>
      <c r="N121" s="191"/>
      <c r="O121" s="247"/>
    </row>
    <row r="122">
      <c r="A122" s="12" t="s">
        <v>133</v>
      </c>
      <c r="B122" s="12" t="s">
        <v>40</v>
      </c>
      <c r="C122" s="271" t="str">
        <f>'6thMAY'!E122</f>
        <v/>
      </c>
      <c r="D122" s="191"/>
      <c r="E122" s="247"/>
      <c r="F122" s="235" t="s">
        <v>35</v>
      </c>
      <c r="G122" s="235"/>
      <c r="H122" s="272">
        <f>'6thMAY'!J122</f>
        <v>0.041</v>
      </c>
      <c r="I122" s="281">
        <v>1.0</v>
      </c>
      <c r="J122" s="282">
        <v>0.029</v>
      </c>
      <c r="K122" s="283">
        <v>1.0</v>
      </c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0.012</v>
      </c>
      <c r="N122" s="191"/>
      <c r="O122" s="247"/>
    </row>
    <row r="123">
      <c r="A123" s="12" t="s">
        <v>134</v>
      </c>
      <c r="B123" s="12" t="s">
        <v>40</v>
      </c>
      <c r="C123" s="271" t="str">
        <f>'6thMAY'!E123</f>
        <v/>
      </c>
      <c r="D123" s="191"/>
      <c r="E123" s="247"/>
      <c r="F123" s="235" t="s">
        <v>35</v>
      </c>
      <c r="G123" s="235"/>
      <c r="H123" s="272" t="str">
        <f>'6thMAY'!J123</f>
        <v/>
      </c>
      <c r="I123" s="281">
        <v>1.0</v>
      </c>
      <c r="J123" s="284"/>
      <c r="K123" s="283">
        <v>1.0</v>
      </c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'6thMAY'!E124</f>
        <v/>
      </c>
      <c r="D124" s="191"/>
      <c r="E124" s="247"/>
      <c r="F124" s="235" t="s">
        <v>35</v>
      </c>
      <c r="G124" s="235"/>
      <c r="H124" s="272" t="str">
        <f>'6thMAY'!J124</f>
        <v/>
      </c>
      <c r="I124" s="281">
        <v>1.0</v>
      </c>
      <c r="J124" s="284"/>
      <c r="K124" s="283">
        <v>1.0</v>
      </c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'6thMAY'!E125</f>
        <v/>
      </c>
      <c r="D125" s="191"/>
      <c r="E125" s="247"/>
      <c r="F125" s="285" t="s">
        <v>35</v>
      </c>
      <c r="G125" s="235"/>
      <c r="H125" s="272" t="str">
        <f>'6thMAY'!J125</f>
        <v/>
      </c>
      <c r="I125" s="281">
        <v>1.0</v>
      </c>
      <c r="J125" s="284"/>
      <c r="K125" s="283">
        <v>1.0</v>
      </c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247"/>
    </row>
    <row r="126">
      <c r="A126" s="21" t="s">
        <v>143</v>
      </c>
      <c r="B126" s="15" t="s">
        <v>40</v>
      </c>
      <c r="C126" s="271" t="str">
        <f>'6thMAY'!E126</f>
        <v/>
      </c>
      <c r="D126" s="191"/>
      <c r="E126" s="247"/>
      <c r="F126" s="285" t="s">
        <v>35</v>
      </c>
      <c r="G126" s="235"/>
      <c r="H126" s="272">
        <f>'6thMAY'!J126</f>
        <v>0.236</v>
      </c>
      <c r="I126" s="281">
        <v>1.0</v>
      </c>
      <c r="J126" s="282">
        <v>0.236</v>
      </c>
      <c r="K126" s="283">
        <v>1.0</v>
      </c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</v>
      </c>
      <c r="N126" s="191"/>
      <c r="O126" s="247"/>
    </row>
    <row r="127">
      <c r="A127" s="10" t="s">
        <v>146</v>
      </c>
      <c r="B127" s="11"/>
      <c r="C127" s="271" t="str">
        <f>'6thMAY'!E127</f>
        <v/>
      </c>
      <c r="D127" s="191"/>
      <c r="E127" s="247"/>
      <c r="F127" s="235"/>
      <c r="G127" s="235"/>
      <c r="H127" s="272" t="str">
        <f>'6thMAY'!J127</f>
        <v/>
      </c>
      <c r="I127" s="281">
        <v>1.0</v>
      </c>
      <c r="J127" s="284"/>
      <c r="K127" s="283">
        <v>1.0</v>
      </c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'6thMAY'!E128</f>
        <v/>
      </c>
      <c r="D128" s="191"/>
      <c r="E128" s="247"/>
      <c r="F128" s="235" t="s">
        <v>35</v>
      </c>
      <c r="G128" s="235"/>
      <c r="H128" s="272" t="str">
        <f>'6thMAY'!J128</f>
        <v/>
      </c>
      <c r="I128" s="281">
        <v>1.0</v>
      </c>
      <c r="J128" s="284"/>
      <c r="K128" s="283">
        <v>1.0</v>
      </c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'6thMAY'!E129</f>
        <v/>
      </c>
      <c r="D129" s="191"/>
      <c r="E129" s="247"/>
      <c r="F129" s="235" t="s">
        <v>35</v>
      </c>
      <c r="G129" s="235"/>
      <c r="H129" s="272">
        <f>'6thMAY'!J129</f>
        <v>1.544</v>
      </c>
      <c r="I129" s="281">
        <v>1.0</v>
      </c>
      <c r="J129" s="282">
        <v>1.201</v>
      </c>
      <c r="K129" s="283">
        <v>1.0</v>
      </c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0.343</v>
      </c>
      <c r="N129" s="191"/>
      <c r="O129" s="247"/>
    </row>
    <row r="130">
      <c r="A130" s="12" t="s">
        <v>149</v>
      </c>
      <c r="B130" s="12" t="s">
        <v>40</v>
      </c>
      <c r="C130" s="271" t="str">
        <f>'6thMAY'!E130</f>
        <v/>
      </c>
      <c r="D130" s="191"/>
      <c r="E130" s="247"/>
      <c r="F130" s="235" t="s">
        <v>35</v>
      </c>
      <c r="G130" s="235"/>
      <c r="H130" s="272">
        <f>'6thMAY'!J130</f>
        <v>0.128</v>
      </c>
      <c r="I130" s="281">
        <v>1.0</v>
      </c>
      <c r="J130" s="282"/>
      <c r="K130" s="283">
        <v>1.0</v>
      </c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0.028</v>
      </c>
      <c r="N130" s="191"/>
      <c r="O130" s="247"/>
    </row>
    <row r="131">
      <c r="A131" s="12" t="s">
        <v>150</v>
      </c>
      <c r="B131" s="12" t="s">
        <v>24</v>
      </c>
      <c r="C131" s="271" t="str">
        <f>'6thMAY'!E131</f>
        <v/>
      </c>
      <c r="D131" s="191"/>
      <c r="E131" s="247"/>
      <c r="F131" s="235" t="s">
        <v>25</v>
      </c>
      <c r="G131" s="235"/>
      <c r="H131" s="272" t="str">
        <f>'6thMAY'!J131</f>
        <v/>
      </c>
      <c r="I131" s="281">
        <v>1.0</v>
      </c>
      <c r="J131" s="284"/>
      <c r="K131" s="283">
        <v>1.0</v>
      </c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'6thMAY'!E132</f>
        <v/>
      </c>
      <c r="D132" s="191"/>
      <c r="E132" s="247"/>
      <c r="F132" s="235"/>
      <c r="G132" s="235"/>
      <c r="H132" s="272" t="str">
        <f>'6thMAY'!J132</f>
        <v/>
      </c>
      <c r="I132" s="281">
        <v>1.0</v>
      </c>
      <c r="J132" s="284"/>
      <c r="K132" s="283">
        <v>1.0</v>
      </c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'6thMAY'!E133</f>
        <v/>
      </c>
      <c r="D133" s="227">
        <v>1.0</v>
      </c>
      <c r="E133" s="247"/>
      <c r="F133" s="235" t="s">
        <v>35</v>
      </c>
      <c r="G133" s="235"/>
      <c r="H133" s="272" t="str">
        <f>'6thMAY'!J133</f>
        <v/>
      </c>
      <c r="I133" s="281">
        <v>1.0</v>
      </c>
      <c r="J133" s="284"/>
      <c r="K133" s="283">
        <v>1.0</v>
      </c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0.2</v>
      </c>
      <c r="N133" s="191"/>
      <c r="O133" s="247"/>
    </row>
    <row r="134">
      <c r="A134" s="12" t="s">
        <v>154</v>
      </c>
      <c r="B134" s="12" t="s">
        <v>155</v>
      </c>
      <c r="C134" s="271" t="str">
        <f>'6thMAY'!E134</f>
        <v/>
      </c>
      <c r="D134" s="227">
        <v>2.0</v>
      </c>
      <c r="E134" s="247"/>
      <c r="F134" s="235" t="s">
        <v>35</v>
      </c>
      <c r="G134" s="235"/>
      <c r="H134" s="272" t="str">
        <f>'6thMAY'!J134</f>
        <v/>
      </c>
      <c r="I134" s="281">
        <v>1.0</v>
      </c>
      <c r="J134" s="284"/>
      <c r="K134" s="283">
        <v>1.0</v>
      </c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1</v>
      </c>
      <c r="N134" s="191"/>
      <c r="O134" s="247"/>
    </row>
    <row r="135">
      <c r="A135" s="12" t="s">
        <v>157</v>
      </c>
      <c r="B135" s="12" t="s">
        <v>34</v>
      </c>
      <c r="C135" s="271">
        <f>'6thMAY'!E135</f>
        <v>1</v>
      </c>
      <c r="D135" s="227"/>
      <c r="E135" s="280">
        <v>1.0</v>
      </c>
      <c r="F135" s="235" t="s">
        <v>35</v>
      </c>
      <c r="G135" s="235"/>
      <c r="H135" s="272">
        <f>'6thMAY'!J135</f>
        <v>0.193</v>
      </c>
      <c r="I135" s="281">
        <v>1.0</v>
      </c>
      <c r="J135" s="282"/>
      <c r="K135" s="283">
        <v>1.0</v>
      </c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0.138</v>
      </c>
      <c r="N135" s="191"/>
      <c r="O135" s="247"/>
    </row>
    <row r="136">
      <c r="A136" s="12" t="s">
        <v>158</v>
      </c>
      <c r="B136" s="12" t="s">
        <v>34</v>
      </c>
      <c r="C136" s="271" t="str">
        <f>'6thMAY'!E136</f>
        <v/>
      </c>
      <c r="D136" s="191"/>
      <c r="E136" s="247"/>
      <c r="F136" s="235" t="s">
        <v>35</v>
      </c>
      <c r="G136" s="235"/>
      <c r="H136" s="272" t="str">
        <f>'6thMAY'!J136</f>
        <v/>
      </c>
      <c r="I136" s="281">
        <v>1.0</v>
      </c>
      <c r="J136" s="284"/>
      <c r="K136" s="283">
        <v>1.0</v>
      </c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</v>
      </c>
      <c r="N136" s="191"/>
      <c r="O136" s="247"/>
    </row>
    <row r="137">
      <c r="A137" s="12" t="s">
        <v>159</v>
      </c>
      <c r="B137" s="12" t="s">
        <v>34</v>
      </c>
      <c r="C137" s="271" t="str">
        <f>'6thMAY'!E137</f>
        <v/>
      </c>
      <c r="D137" s="191"/>
      <c r="E137" s="247"/>
      <c r="F137" s="235" t="s">
        <v>35</v>
      </c>
      <c r="G137" s="235"/>
      <c r="H137" s="272" t="str">
        <f>'6thMAY'!J137</f>
        <v/>
      </c>
      <c r="I137" s="281">
        <v>1.0</v>
      </c>
      <c r="J137" s="284"/>
      <c r="K137" s="283">
        <v>1.0</v>
      </c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'6thMAY'!E138</f>
        <v/>
      </c>
      <c r="D138" s="191"/>
      <c r="E138" s="247"/>
      <c r="F138" s="235" t="s">
        <v>35</v>
      </c>
      <c r="G138" s="235"/>
      <c r="H138" s="272">
        <f>'6thMAY'!J138</f>
        <v>1</v>
      </c>
      <c r="I138" s="281">
        <v>1.0</v>
      </c>
      <c r="J138" s="282">
        <v>1.0</v>
      </c>
      <c r="K138" s="283">
        <v>1.0</v>
      </c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</v>
      </c>
      <c r="N138" s="191"/>
      <c r="O138" s="247"/>
    </row>
    <row r="139">
      <c r="A139" s="12" t="s">
        <v>161</v>
      </c>
      <c r="B139" s="12" t="s">
        <v>34</v>
      </c>
      <c r="C139" s="271" t="str">
        <f>'6thMAY'!E139</f>
        <v/>
      </c>
      <c r="D139" s="191"/>
      <c r="E139" s="247"/>
      <c r="F139" s="235" t="s">
        <v>35</v>
      </c>
      <c r="G139" s="235"/>
      <c r="H139" s="272">
        <f>'6thMAY'!J139</f>
        <v>0.434</v>
      </c>
      <c r="I139" s="281">
        <v>1.0</v>
      </c>
      <c r="J139" s="282">
        <v>0.433</v>
      </c>
      <c r="K139" s="283">
        <v>1.0</v>
      </c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0.001</v>
      </c>
      <c r="N139" s="191"/>
      <c r="O139" s="247"/>
    </row>
    <row r="140">
      <c r="A140" s="12" t="s">
        <v>162</v>
      </c>
      <c r="B140" s="12" t="s">
        <v>34</v>
      </c>
      <c r="C140" s="271" t="str">
        <f>'6thMAY'!E140</f>
        <v/>
      </c>
      <c r="D140" s="191"/>
      <c r="E140" s="247"/>
      <c r="F140" s="235" t="s">
        <v>35</v>
      </c>
      <c r="G140" s="235"/>
      <c r="H140" s="272" t="str">
        <f>'6thMAY'!J140</f>
        <v/>
      </c>
      <c r="I140" s="281">
        <v>1.0</v>
      </c>
      <c r="J140" s="282"/>
      <c r="K140" s="283">
        <v>1.0</v>
      </c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 t="str">
        <f>'6thMAY'!E141</f>
        <v/>
      </c>
      <c r="D141" s="191"/>
      <c r="E141" s="247"/>
      <c r="F141" s="235" t="s">
        <v>35</v>
      </c>
      <c r="G141" s="235"/>
      <c r="H141" s="272">
        <f>'6thMAY'!J141</f>
        <v>0.83</v>
      </c>
      <c r="I141" s="281">
        <v>1.0</v>
      </c>
      <c r="J141" s="282">
        <v>0.72</v>
      </c>
      <c r="K141" s="283">
        <v>1.0</v>
      </c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0.11</v>
      </c>
      <c r="N141" s="191"/>
      <c r="O141" s="247"/>
    </row>
    <row r="142">
      <c r="A142" s="12" t="s">
        <v>164</v>
      </c>
      <c r="B142" s="12" t="s">
        <v>155</v>
      </c>
      <c r="C142" s="271" t="str">
        <f>'6thMAY'!E142</f>
        <v/>
      </c>
      <c r="D142" s="191"/>
      <c r="E142" s="247"/>
      <c r="F142" s="235" t="s">
        <v>35</v>
      </c>
      <c r="G142" s="235"/>
      <c r="H142" s="272">
        <f>'6thMAY'!J142</f>
        <v>0.419</v>
      </c>
      <c r="I142" s="281">
        <v>1.0</v>
      </c>
      <c r="J142" s="282"/>
      <c r="K142" s="283">
        <v>1.0</v>
      </c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0.315</v>
      </c>
      <c r="N142" s="191"/>
      <c r="O142" s="247"/>
    </row>
    <row r="143">
      <c r="A143" s="12" t="s">
        <v>165</v>
      </c>
      <c r="B143" s="12" t="s">
        <v>155</v>
      </c>
      <c r="C143" s="271" t="str">
        <f>'6thMAY'!E143</f>
        <v/>
      </c>
      <c r="D143" s="191"/>
      <c r="E143" s="247"/>
      <c r="F143" s="235" t="s">
        <v>35</v>
      </c>
      <c r="G143" s="235"/>
      <c r="H143" s="272" t="str">
        <f>'6thMAY'!J143</f>
        <v/>
      </c>
      <c r="I143" s="281">
        <v>1.0</v>
      </c>
      <c r="J143" s="284"/>
      <c r="K143" s="283">
        <v>1.0</v>
      </c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'6thMAY'!E144</f>
        <v/>
      </c>
      <c r="D144" s="191"/>
      <c r="E144" s="247"/>
      <c r="F144" s="235" t="s">
        <v>35</v>
      </c>
      <c r="G144" s="235"/>
      <c r="H144" s="272">
        <f>'6thMAY'!J144</f>
        <v>0.828</v>
      </c>
      <c r="I144" s="281">
        <v>1.0</v>
      </c>
      <c r="J144" s="282">
        <v>0.712</v>
      </c>
      <c r="K144" s="283">
        <v>1.0</v>
      </c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0.116</v>
      </c>
      <c r="N144" s="191"/>
      <c r="O144" s="247"/>
    </row>
    <row r="145">
      <c r="A145" s="12" t="s">
        <v>167</v>
      </c>
      <c r="B145" s="12" t="s">
        <v>106</v>
      </c>
      <c r="C145" s="271" t="str">
        <f>'6thMAY'!E145</f>
        <v/>
      </c>
      <c r="D145" s="227">
        <v>1.0</v>
      </c>
      <c r="E145" s="280">
        <v>1.0</v>
      </c>
      <c r="F145" s="235" t="s">
        <v>35</v>
      </c>
      <c r="G145" s="235"/>
      <c r="H145" s="272">
        <f>'6thMAY'!J145</f>
        <v>0.357</v>
      </c>
      <c r="I145" s="281">
        <v>1.0</v>
      </c>
      <c r="J145" s="282">
        <v>0.233</v>
      </c>
      <c r="K145" s="283">
        <v>1.0</v>
      </c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0.124</v>
      </c>
      <c r="N145" s="191"/>
      <c r="O145" s="247"/>
    </row>
    <row r="146">
      <c r="A146" s="12" t="s">
        <v>168</v>
      </c>
      <c r="B146" s="12" t="s">
        <v>17</v>
      </c>
      <c r="C146" s="271" t="str">
        <f>'6thMAY'!E146</f>
        <v/>
      </c>
      <c r="D146" s="227"/>
      <c r="E146" s="247"/>
      <c r="F146" s="235" t="s">
        <v>35</v>
      </c>
      <c r="G146" s="235"/>
      <c r="H146" s="272">
        <f>'6thMAY'!J146</f>
        <v>0.369</v>
      </c>
      <c r="I146" s="281">
        <v>1.0</v>
      </c>
      <c r="J146" s="282">
        <v>0.211</v>
      </c>
      <c r="K146" s="283">
        <v>1.0</v>
      </c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0.158</v>
      </c>
      <c r="N146" s="191"/>
      <c r="O146" s="247"/>
    </row>
    <row r="147">
      <c r="A147" s="12" t="s">
        <v>169</v>
      </c>
      <c r="B147" s="12" t="s">
        <v>106</v>
      </c>
      <c r="C147" s="271" t="str">
        <f>'6thMAY'!E147</f>
        <v/>
      </c>
      <c r="D147" s="191"/>
      <c r="E147" s="247"/>
      <c r="F147" s="235" t="s">
        <v>35</v>
      </c>
      <c r="G147" s="235"/>
      <c r="H147" s="272" t="str">
        <f>'6thMAY'!J147</f>
        <v/>
      </c>
      <c r="I147" s="281">
        <v>1.0</v>
      </c>
      <c r="J147" s="284"/>
      <c r="K147" s="283">
        <v>1.0</v>
      </c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'6thMAY'!E148</f>
        <v/>
      </c>
      <c r="D148" s="191"/>
      <c r="E148" s="247"/>
      <c r="F148" s="235" t="s">
        <v>35</v>
      </c>
      <c r="G148" s="235"/>
      <c r="H148" s="272" t="str">
        <f>'6thMAY'!J148</f>
        <v/>
      </c>
      <c r="I148" s="281">
        <v>1.0</v>
      </c>
      <c r="J148" s="284"/>
      <c r="K148" s="283">
        <v>1.0</v>
      </c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>
        <f>'6thMAY'!E149</f>
        <v>1</v>
      </c>
      <c r="D149" s="191"/>
      <c r="E149" s="247"/>
      <c r="F149" s="235" t="s">
        <v>14</v>
      </c>
      <c r="G149" s="235"/>
      <c r="H149" s="272" t="str">
        <f>'6thMAY'!J149</f>
        <v/>
      </c>
      <c r="I149" s="281">
        <v>1.0</v>
      </c>
      <c r="J149" s="282">
        <v>0.403</v>
      </c>
      <c r="K149" s="283">
        <v>1.0</v>
      </c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0.032</v>
      </c>
      <c r="N149" s="191"/>
      <c r="O149" s="247"/>
    </row>
    <row r="150">
      <c r="A150" s="11" t="s">
        <v>173</v>
      </c>
      <c r="B150" s="11" t="s">
        <v>106</v>
      </c>
      <c r="C150" s="271" t="str">
        <f>'6thMAY'!E150</f>
        <v/>
      </c>
      <c r="D150" s="287"/>
      <c r="E150" s="288"/>
      <c r="F150" s="235" t="s">
        <v>14</v>
      </c>
      <c r="G150" s="289"/>
      <c r="H150" s="272" t="str">
        <f>'6thMAY'!J150</f>
        <v/>
      </c>
      <c r="I150" s="281">
        <v>1.0</v>
      </c>
      <c r="J150" s="291"/>
      <c r="K150" s="283">
        <v>1.0</v>
      </c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</v>
      </c>
      <c r="N150" s="216"/>
      <c r="O150" s="292"/>
    </row>
    <row r="151">
      <c r="A151" s="22" t="s">
        <v>174</v>
      </c>
      <c r="B151" s="23" t="s">
        <v>106</v>
      </c>
      <c r="C151" s="271" t="str">
        <f>'6thMAY'!E151</f>
        <v/>
      </c>
      <c r="D151" s="216"/>
      <c r="E151" s="288"/>
      <c r="F151" s="235" t="s">
        <v>14</v>
      </c>
      <c r="G151" s="289"/>
      <c r="H151" s="272">
        <f>'6thMAY'!J151</f>
        <v>0.39</v>
      </c>
      <c r="I151" s="281">
        <v>1.0</v>
      </c>
      <c r="J151" s="301">
        <v>0.39</v>
      </c>
      <c r="K151" s="283">
        <v>1.0</v>
      </c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</v>
      </c>
      <c r="N151" s="216"/>
      <c r="O151" s="292"/>
    </row>
    <row r="152">
      <c r="A152" s="10" t="s">
        <v>175</v>
      </c>
      <c r="B152" s="11"/>
      <c r="C152" s="271" t="str">
        <f>'6thMAY'!E152</f>
        <v/>
      </c>
      <c r="D152" s="191"/>
      <c r="E152" s="247"/>
      <c r="F152" s="235"/>
      <c r="G152" s="235"/>
      <c r="H152" s="272" t="str">
        <f>'6thMAY'!J152</f>
        <v/>
      </c>
      <c r="I152" s="281">
        <v>1.0</v>
      </c>
      <c r="J152" s="284"/>
      <c r="K152" s="283">
        <v>1.0</v>
      </c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'6thMAY'!E153</f>
        <v/>
      </c>
      <c r="D153" s="227">
        <v>7.0</v>
      </c>
      <c r="E153" s="247"/>
      <c r="F153" s="235" t="s">
        <v>25</v>
      </c>
      <c r="G153" s="235"/>
      <c r="H153" s="272" t="str">
        <f>'6thMAY'!J153</f>
        <v/>
      </c>
      <c r="I153" s="281">
        <v>1.0</v>
      </c>
      <c r="J153" s="282">
        <v>1.0</v>
      </c>
      <c r="K153" s="283">
        <v>1.0</v>
      </c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6</v>
      </c>
      <c r="N153" s="191"/>
      <c r="O153" s="247"/>
    </row>
    <row r="154">
      <c r="A154" s="12" t="s">
        <v>178</v>
      </c>
      <c r="B154" s="12" t="s">
        <v>35</v>
      </c>
      <c r="C154" s="271"/>
      <c r="D154" s="227">
        <v>4.0</v>
      </c>
      <c r="E154" s="280"/>
      <c r="F154" s="235" t="s">
        <v>35</v>
      </c>
      <c r="G154" s="235"/>
      <c r="H154" s="272">
        <v>6.571</v>
      </c>
      <c r="I154" s="281">
        <v>1.0</v>
      </c>
      <c r="J154" s="282">
        <v>2.0</v>
      </c>
      <c r="K154" s="283">
        <v>1.0</v>
      </c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6.571</v>
      </c>
      <c r="N154" s="191"/>
      <c r="O154" s="247"/>
    </row>
    <row r="155">
      <c r="A155" s="12" t="s">
        <v>180</v>
      </c>
      <c r="B155" s="12" t="s">
        <v>35</v>
      </c>
      <c r="C155" s="271" t="str">
        <f>'6thMAY'!E155</f>
        <v/>
      </c>
      <c r="D155" s="191"/>
      <c r="E155" s="247"/>
      <c r="F155" s="235" t="s">
        <v>35</v>
      </c>
      <c r="G155" s="235"/>
      <c r="H155" s="272">
        <f>'6thMAY'!J155</f>
        <v>0.114</v>
      </c>
      <c r="I155" s="281">
        <v>1.0</v>
      </c>
      <c r="J155" s="284"/>
      <c r="K155" s="283">
        <v>1.0</v>
      </c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0.102</v>
      </c>
      <c r="N155" s="191"/>
      <c r="O155" s="247"/>
    </row>
    <row r="156">
      <c r="A156" s="12" t="s">
        <v>181</v>
      </c>
      <c r="B156" s="12" t="s">
        <v>35</v>
      </c>
      <c r="C156" s="271" t="str">
        <f>'6thMAY'!E156</f>
        <v/>
      </c>
      <c r="D156" s="191"/>
      <c r="E156" s="280"/>
      <c r="F156" s="235" t="s">
        <v>35</v>
      </c>
      <c r="G156" s="285">
        <v>0.027</v>
      </c>
      <c r="H156" s="272">
        <f>'6thMAY'!J156</f>
        <v>0.346</v>
      </c>
      <c r="I156" s="281">
        <v>1.0</v>
      </c>
      <c r="J156" s="282">
        <v>0.373</v>
      </c>
      <c r="K156" s="283">
        <v>1.0</v>
      </c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</v>
      </c>
      <c r="N156" s="191"/>
      <c r="O156" s="247"/>
    </row>
    <row r="157">
      <c r="A157" s="12" t="s">
        <v>182</v>
      </c>
      <c r="B157" s="12" t="s">
        <v>35</v>
      </c>
      <c r="C157" s="271" t="str">
        <f>'6thMAY'!E157</f>
        <v/>
      </c>
      <c r="D157" s="191"/>
      <c r="E157" s="247"/>
      <c r="F157" s="235" t="s">
        <v>35</v>
      </c>
      <c r="G157" s="285"/>
      <c r="H157" s="272">
        <f>'6thMAY'!J157</f>
        <v>0.419</v>
      </c>
      <c r="I157" s="281">
        <v>1.0</v>
      </c>
      <c r="J157" s="282">
        <v>0.214</v>
      </c>
      <c r="K157" s="283">
        <v>1.0</v>
      </c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0.205</v>
      </c>
      <c r="N157" s="191"/>
      <c r="O157" s="247"/>
    </row>
    <row r="158">
      <c r="A158" s="12" t="s">
        <v>183</v>
      </c>
      <c r="B158" s="12" t="s">
        <v>35</v>
      </c>
      <c r="C158" s="271" t="str">
        <f>'6thMAY'!E158</f>
        <v/>
      </c>
      <c r="D158" s="191"/>
      <c r="E158" s="247"/>
      <c r="F158" s="235" t="s">
        <v>14</v>
      </c>
      <c r="G158" s="235"/>
      <c r="H158" s="272" t="str">
        <f>'6thMAY'!J158</f>
        <v/>
      </c>
      <c r="I158" s="281">
        <v>1.0</v>
      </c>
      <c r="J158" s="284"/>
      <c r="K158" s="283">
        <v>1.0</v>
      </c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'6thMAY'!E159</f>
        <v/>
      </c>
      <c r="D159" s="191"/>
      <c r="E159" s="247"/>
      <c r="F159" s="235"/>
      <c r="G159" s="235"/>
      <c r="H159" s="272" t="str">
        <f>'6thMAY'!J159</f>
        <v/>
      </c>
      <c r="I159" s="281">
        <v>1.0</v>
      </c>
      <c r="J159" s="284"/>
      <c r="K159" s="283">
        <v>1.0</v>
      </c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'6thMAY'!E160</f>
        <v/>
      </c>
      <c r="D160" s="191"/>
      <c r="E160" s="247"/>
      <c r="F160" s="235" t="s">
        <v>17</v>
      </c>
      <c r="G160" s="235"/>
      <c r="H160" s="272">
        <f>'6thMAY'!J160</f>
        <v>3</v>
      </c>
      <c r="I160" s="281">
        <v>1.0</v>
      </c>
      <c r="J160" s="284"/>
      <c r="K160" s="283">
        <v>1.0</v>
      </c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3</v>
      </c>
      <c r="N160" s="191"/>
      <c r="O160" s="247"/>
    </row>
    <row r="161">
      <c r="A161" s="12" t="s">
        <v>187</v>
      </c>
      <c r="B161" s="12" t="s">
        <v>17</v>
      </c>
      <c r="C161" s="271" t="str">
        <f>'6thMAY'!E161</f>
        <v/>
      </c>
      <c r="D161" s="227">
        <v>4.0</v>
      </c>
      <c r="E161" s="247"/>
      <c r="F161" s="235" t="s">
        <v>17</v>
      </c>
      <c r="G161" s="235"/>
      <c r="H161" s="272" t="str">
        <f>'6thMAY'!J161</f>
        <v/>
      </c>
      <c r="I161" s="281">
        <v>1.0</v>
      </c>
      <c r="J161" s="282"/>
      <c r="K161" s="283">
        <v>1.0</v>
      </c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4</v>
      </c>
      <c r="N161" s="191"/>
      <c r="O161" s="247"/>
    </row>
    <row r="162">
      <c r="A162" s="12" t="s">
        <v>188</v>
      </c>
      <c r="B162" s="12" t="s">
        <v>35</v>
      </c>
      <c r="C162" s="271" t="str">
        <f>'6thMAY'!E162</f>
        <v/>
      </c>
      <c r="D162" s="227">
        <v>3.0</v>
      </c>
      <c r="E162" s="247"/>
      <c r="F162" s="235" t="s">
        <v>35</v>
      </c>
      <c r="G162" s="235"/>
      <c r="H162" s="272" t="str">
        <f>'6thMAY'!J162</f>
        <v/>
      </c>
      <c r="I162" s="281">
        <v>1.0</v>
      </c>
      <c r="J162" s="284"/>
      <c r="K162" s="283">
        <v>1.0</v>
      </c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3</v>
      </c>
      <c r="N162" s="191"/>
      <c r="O162" s="247"/>
    </row>
    <row r="163">
      <c r="A163" s="12" t="s">
        <v>189</v>
      </c>
      <c r="B163" s="12" t="s">
        <v>17</v>
      </c>
      <c r="C163" s="271" t="str">
        <f>'6thMAY'!E163</f>
        <v/>
      </c>
      <c r="D163" s="227">
        <v>1.0</v>
      </c>
      <c r="E163" s="280"/>
      <c r="F163" s="235" t="s">
        <v>17</v>
      </c>
      <c r="G163" s="235"/>
      <c r="H163" s="272">
        <f>'6thMAY'!J163</f>
        <v>1.5</v>
      </c>
      <c r="I163" s="281">
        <v>1.0</v>
      </c>
      <c r="J163" s="282">
        <v>1.5</v>
      </c>
      <c r="K163" s="283">
        <v>1.0</v>
      </c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1</v>
      </c>
      <c r="N163" s="191"/>
      <c r="O163" s="247"/>
    </row>
    <row r="164">
      <c r="A164" s="12" t="s">
        <v>190</v>
      </c>
      <c r="B164" s="12" t="s">
        <v>17</v>
      </c>
      <c r="C164" s="271" t="str">
        <f>'6thMAY'!E164</f>
        <v/>
      </c>
      <c r="D164" s="191"/>
      <c r="E164" s="247"/>
      <c r="F164" s="235" t="s">
        <v>17</v>
      </c>
      <c r="G164" s="235"/>
      <c r="H164" s="272" t="str">
        <f>'6thMAY'!J164</f>
        <v/>
      </c>
      <c r="I164" s="281">
        <v>1.0</v>
      </c>
      <c r="J164" s="284"/>
      <c r="K164" s="283">
        <v>1.0</v>
      </c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'6thMAY'!E165</f>
        <v/>
      </c>
      <c r="D165" s="227">
        <v>0.8</v>
      </c>
      <c r="E165" s="247"/>
      <c r="F165" s="235" t="s">
        <v>35</v>
      </c>
      <c r="G165" s="235"/>
      <c r="H165" s="272" t="str">
        <f>'6thMAY'!J165</f>
        <v/>
      </c>
      <c r="I165" s="281">
        <v>1.0</v>
      </c>
      <c r="J165" s="284"/>
      <c r="K165" s="283">
        <v>1.0</v>
      </c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0.8</v>
      </c>
      <c r="N165" s="191"/>
      <c r="O165" s="247"/>
    </row>
    <row r="166">
      <c r="A166" s="12" t="s">
        <v>192</v>
      </c>
      <c r="B166" s="12" t="s">
        <v>35</v>
      </c>
      <c r="C166" s="271" t="str">
        <f>'6thMAY'!E166</f>
        <v/>
      </c>
      <c r="D166" s="227">
        <v>0.6</v>
      </c>
      <c r="E166" s="247"/>
      <c r="F166" s="235" t="s">
        <v>35</v>
      </c>
      <c r="G166" s="285"/>
      <c r="H166" s="272" t="str">
        <f>'6thMAY'!J166</f>
        <v/>
      </c>
      <c r="I166" s="281">
        <v>1.0</v>
      </c>
      <c r="J166" s="282"/>
      <c r="K166" s="283">
        <v>1.0</v>
      </c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0.6</v>
      </c>
      <c r="N166" s="191"/>
      <c r="O166" s="247"/>
    </row>
    <row r="167">
      <c r="A167" s="12" t="s">
        <v>193</v>
      </c>
      <c r="B167" s="12" t="s">
        <v>35</v>
      </c>
      <c r="C167" s="271" t="str">
        <f>'6thMAY'!E167</f>
        <v/>
      </c>
      <c r="D167" s="227">
        <v>7.0</v>
      </c>
      <c r="E167" s="247"/>
      <c r="F167" s="235" t="s">
        <v>35</v>
      </c>
      <c r="G167" s="235"/>
      <c r="H167" s="272">
        <f>'6thMAY'!J167</f>
        <v>1.785</v>
      </c>
      <c r="I167" s="281">
        <v>1.0</v>
      </c>
      <c r="J167" s="282"/>
      <c r="K167" s="283">
        <v>1.0</v>
      </c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8.785</v>
      </c>
      <c r="N167" s="191"/>
      <c r="O167" s="247"/>
    </row>
    <row r="168">
      <c r="A168" s="12" t="s">
        <v>194</v>
      </c>
      <c r="B168" s="12" t="s">
        <v>17</v>
      </c>
      <c r="C168" s="271" t="str">
        <f>'6thMAY'!E168</f>
        <v/>
      </c>
      <c r="D168" s="227"/>
      <c r="E168" s="247"/>
      <c r="F168" s="235" t="s">
        <v>17</v>
      </c>
      <c r="G168" s="235"/>
      <c r="H168" s="272" t="str">
        <f>'6thMAY'!J168</f>
        <v/>
      </c>
      <c r="I168" s="281">
        <v>1.0</v>
      </c>
      <c r="J168" s="284"/>
      <c r="K168" s="283">
        <v>1.0</v>
      </c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0</v>
      </c>
      <c r="N168" s="191"/>
      <c r="O168" s="247"/>
    </row>
    <row r="169">
      <c r="A169" s="12" t="s">
        <v>195</v>
      </c>
      <c r="B169" s="12" t="s">
        <v>35</v>
      </c>
      <c r="C169" s="271" t="str">
        <f>'6thMAY'!E169</f>
        <v/>
      </c>
      <c r="D169" s="191"/>
      <c r="E169" s="247"/>
      <c r="F169" s="235" t="s">
        <v>35</v>
      </c>
      <c r="G169" s="235"/>
      <c r="H169" s="272">
        <f>'6thMAY'!J169</f>
        <v>1.738</v>
      </c>
      <c r="I169" s="281">
        <v>1.0</v>
      </c>
      <c r="J169" s="282">
        <v>0.8</v>
      </c>
      <c r="K169" s="283">
        <v>1.0</v>
      </c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0.938</v>
      </c>
      <c r="N169" s="191"/>
      <c r="O169" s="247"/>
    </row>
    <row r="170">
      <c r="A170" s="12" t="s">
        <v>196</v>
      </c>
      <c r="B170" s="12" t="s">
        <v>35</v>
      </c>
      <c r="C170" s="271" t="str">
        <f>'6thMAY'!E170</f>
        <v/>
      </c>
      <c r="D170" s="191"/>
      <c r="E170" s="247"/>
      <c r="F170" s="235" t="s">
        <v>35</v>
      </c>
      <c r="G170" s="235"/>
      <c r="H170" s="272" t="str">
        <f>'6thMAY'!J170</f>
        <v/>
      </c>
      <c r="I170" s="281">
        <v>1.0</v>
      </c>
      <c r="J170" s="282"/>
      <c r="K170" s="283">
        <v>1.0</v>
      </c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</v>
      </c>
      <c r="N170" s="191"/>
      <c r="O170" s="247"/>
    </row>
    <row r="171">
      <c r="A171" s="12" t="s">
        <v>197</v>
      </c>
      <c r="B171" s="12" t="s">
        <v>35</v>
      </c>
      <c r="C171" s="271" t="str">
        <f>'6thMAY'!E171</f>
        <v/>
      </c>
      <c r="D171" s="191"/>
      <c r="E171" s="247"/>
      <c r="F171" s="235" t="s">
        <v>35</v>
      </c>
      <c r="G171" s="285"/>
      <c r="H171" s="272" t="str">
        <f>'6thMAY'!J171</f>
        <v/>
      </c>
      <c r="I171" s="281">
        <v>1.0</v>
      </c>
      <c r="J171" s="282"/>
      <c r="K171" s="283">
        <v>1.0</v>
      </c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0</v>
      </c>
      <c r="N171" s="191"/>
      <c r="O171" s="247"/>
    </row>
    <row r="172">
      <c r="A172" s="12" t="s">
        <v>198</v>
      </c>
      <c r="B172" s="12" t="s">
        <v>35</v>
      </c>
      <c r="C172" s="271" t="str">
        <f>'6thMAY'!E172</f>
        <v/>
      </c>
      <c r="D172" s="227">
        <v>0.8</v>
      </c>
      <c r="E172" s="247"/>
      <c r="F172" s="235" t="s">
        <v>35</v>
      </c>
      <c r="G172" s="235"/>
      <c r="H172" s="272">
        <f>'6thMAY'!J172</f>
        <v>1</v>
      </c>
      <c r="I172" s="281">
        <v>1.0</v>
      </c>
      <c r="J172" s="282">
        <v>1.0</v>
      </c>
      <c r="K172" s="283">
        <v>1.0</v>
      </c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0.8</v>
      </c>
      <c r="N172" s="191"/>
      <c r="O172" s="247"/>
    </row>
    <row r="173">
      <c r="A173" s="12" t="s">
        <v>199</v>
      </c>
      <c r="B173" s="12" t="s">
        <v>35</v>
      </c>
      <c r="C173" s="271" t="str">
        <f>'6thMAY'!E173</f>
        <v/>
      </c>
      <c r="D173" s="227">
        <v>0.8</v>
      </c>
      <c r="E173" s="247"/>
      <c r="F173" s="235" t="s">
        <v>35</v>
      </c>
      <c r="G173" s="235"/>
      <c r="H173" s="272">
        <f>'6thMAY'!J173</f>
        <v>0.5</v>
      </c>
      <c r="I173" s="281">
        <v>1.0</v>
      </c>
      <c r="J173" s="282">
        <v>0.251</v>
      </c>
      <c r="K173" s="283">
        <v>1.0</v>
      </c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1.049</v>
      </c>
      <c r="N173" s="191"/>
      <c r="O173" s="247"/>
    </row>
    <row r="174">
      <c r="A174" s="12" t="s">
        <v>200</v>
      </c>
      <c r="B174" s="12" t="s">
        <v>35</v>
      </c>
      <c r="C174" s="271" t="str">
        <f>'6thMAY'!E174</f>
        <v/>
      </c>
      <c r="D174" s="227">
        <v>0.5</v>
      </c>
      <c r="E174" s="247"/>
      <c r="F174" s="235" t="s">
        <v>35</v>
      </c>
      <c r="G174" s="235"/>
      <c r="H174" s="272">
        <f>'6thMAY'!J174</f>
        <v>0.25</v>
      </c>
      <c r="I174" s="281">
        <v>1.0</v>
      </c>
      <c r="J174" s="284"/>
      <c r="K174" s="283">
        <v>1.0</v>
      </c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0.75</v>
      </c>
      <c r="N174" s="191"/>
      <c r="O174" s="247"/>
    </row>
    <row r="175">
      <c r="A175" s="12" t="s">
        <v>201</v>
      </c>
      <c r="B175" s="12" t="s">
        <v>202</v>
      </c>
      <c r="C175" s="271" t="str">
        <f>'6thMAY'!E175</f>
        <v/>
      </c>
      <c r="D175" s="191"/>
      <c r="E175" s="247"/>
      <c r="F175" s="235" t="s">
        <v>202</v>
      </c>
      <c r="G175" s="235"/>
      <c r="H175" s="272" t="str">
        <f>'6thMAY'!J175</f>
        <v/>
      </c>
      <c r="I175" s="281">
        <v>1.0</v>
      </c>
      <c r="J175" s="284"/>
      <c r="K175" s="283">
        <v>1.0</v>
      </c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'6thMAY'!E176</f>
        <v/>
      </c>
      <c r="D176" s="191"/>
      <c r="E176" s="247"/>
      <c r="F176" s="235" t="s">
        <v>202</v>
      </c>
      <c r="G176" s="235"/>
      <c r="H176" s="272">
        <f>'6thMAY'!J176</f>
        <v>1</v>
      </c>
      <c r="I176" s="281">
        <v>1.0</v>
      </c>
      <c r="J176" s="282"/>
      <c r="K176" s="283">
        <v>1.0</v>
      </c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1</v>
      </c>
      <c r="N176" s="191"/>
      <c r="O176" s="247"/>
    </row>
    <row r="177">
      <c r="A177" s="12" t="s">
        <v>205</v>
      </c>
      <c r="B177" s="12" t="s">
        <v>202</v>
      </c>
      <c r="C177" s="271" t="str">
        <f>'6thMAY'!E177</f>
        <v/>
      </c>
      <c r="D177" s="227">
        <v>6.0</v>
      </c>
      <c r="E177" s="247"/>
      <c r="F177" s="235" t="s">
        <v>202</v>
      </c>
      <c r="G177" s="235"/>
      <c r="H177" s="272" t="str">
        <f>'6thMAY'!J177</f>
        <v/>
      </c>
      <c r="I177" s="281">
        <v>1.0</v>
      </c>
      <c r="J177" s="282">
        <v>2.0</v>
      </c>
      <c r="K177" s="283">
        <v>1.0</v>
      </c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4</v>
      </c>
      <c r="N177" s="191"/>
      <c r="O177" s="247"/>
    </row>
    <row r="178">
      <c r="A178" s="12" t="s">
        <v>206</v>
      </c>
      <c r="B178" s="12" t="s">
        <v>207</v>
      </c>
      <c r="C178" s="271" t="str">
        <f>'6thMAY'!E178</f>
        <v/>
      </c>
      <c r="D178" s="227">
        <v>1.0</v>
      </c>
      <c r="E178" s="247"/>
      <c r="F178" s="235" t="s">
        <v>17</v>
      </c>
      <c r="G178" s="235"/>
      <c r="H178" s="272">
        <f>'6thMAY'!J178</f>
        <v>25</v>
      </c>
      <c r="I178" s="281">
        <v>1.0</v>
      </c>
      <c r="J178" s="282">
        <v>38.0</v>
      </c>
      <c r="K178" s="283">
        <v>1.0</v>
      </c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17</v>
      </c>
      <c r="N178" s="191"/>
      <c r="O178" s="247"/>
    </row>
    <row r="179">
      <c r="A179" s="12" t="s">
        <v>209</v>
      </c>
      <c r="B179" s="12" t="s">
        <v>17</v>
      </c>
      <c r="C179" s="271" t="str">
        <f>'6thMAY'!E179</f>
        <v/>
      </c>
      <c r="D179" s="191"/>
      <c r="E179" s="247"/>
      <c r="F179" s="235" t="s">
        <v>17</v>
      </c>
      <c r="G179" s="235"/>
      <c r="H179" s="272" t="str">
        <f>'6thMAY'!J179</f>
        <v/>
      </c>
      <c r="I179" s="281">
        <v>1.0</v>
      </c>
      <c r="J179" s="284"/>
      <c r="K179" s="283">
        <v>1.0</v>
      </c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'6thMAY'!E180</f>
        <v/>
      </c>
      <c r="D180" s="191"/>
      <c r="E180" s="247"/>
      <c r="F180" s="235" t="s">
        <v>202</v>
      </c>
      <c r="G180" s="285"/>
      <c r="H180" s="272" t="str">
        <f>'6thMAY'!J180</f>
        <v/>
      </c>
      <c r="I180" s="281">
        <v>1.0</v>
      </c>
      <c r="J180" s="282"/>
      <c r="K180" s="283">
        <v>1.0</v>
      </c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0</v>
      </c>
      <c r="N180" s="191"/>
      <c r="O180" s="247"/>
    </row>
    <row r="181">
      <c r="A181" s="12" t="s">
        <v>211</v>
      </c>
      <c r="B181" s="12" t="s">
        <v>202</v>
      </c>
      <c r="C181" s="271" t="str">
        <f>'6thMAY'!E181</f>
        <v/>
      </c>
      <c r="D181" s="227"/>
      <c r="E181" s="247"/>
      <c r="F181" s="235" t="s">
        <v>202</v>
      </c>
      <c r="G181" s="235"/>
      <c r="H181" s="272">
        <f>'6thMAY'!J181</f>
        <v>1</v>
      </c>
      <c r="I181" s="281">
        <v>1.0</v>
      </c>
      <c r="J181" s="282"/>
      <c r="K181" s="283">
        <v>1.0</v>
      </c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1</v>
      </c>
      <c r="N181" s="191"/>
      <c r="O181" s="247"/>
    </row>
    <row r="182">
      <c r="A182" s="12" t="s">
        <v>212</v>
      </c>
      <c r="B182" s="12" t="s">
        <v>202</v>
      </c>
      <c r="C182" s="271" t="str">
        <f>'6thMAY'!E182</f>
        <v/>
      </c>
      <c r="D182" s="191"/>
      <c r="E182" s="247"/>
      <c r="F182" s="235" t="s">
        <v>202</v>
      </c>
      <c r="G182" s="235"/>
      <c r="H182" s="272">
        <f>'6thMAY'!J182</f>
        <v>1</v>
      </c>
      <c r="I182" s="281">
        <v>1.0</v>
      </c>
      <c r="J182" s="282">
        <v>0.5</v>
      </c>
      <c r="K182" s="283">
        <v>1.0</v>
      </c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0.5</v>
      </c>
      <c r="N182" s="191"/>
      <c r="O182" s="247"/>
    </row>
    <row r="183">
      <c r="A183" s="12" t="s">
        <v>213</v>
      </c>
      <c r="B183" s="12" t="s">
        <v>35</v>
      </c>
      <c r="C183" s="271" t="str">
        <f>'6thMAY'!E183</f>
        <v/>
      </c>
      <c r="D183" s="191"/>
      <c r="E183" s="247"/>
      <c r="F183" s="235" t="s">
        <v>35</v>
      </c>
      <c r="G183" s="235"/>
      <c r="H183" s="272" t="str">
        <f>'6thMAY'!J183</f>
        <v/>
      </c>
      <c r="I183" s="281">
        <v>1.0</v>
      </c>
      <c r="J183" s="284"/>
      <c r="K183" s="283">
        <v>1.0</v>
      </c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'6thMAY'!E184</f>
        <v/>
      </c>
      <c r="D184" s="191"/>
      <c r="E184" s="247"/>
      <c r="F184" s="235" t="s">
        <v>35</v>
      </c>
      <c r="G184" s="235"/>
      <c r="H184" s="272">
        <f>'6thMAY'!J184</f>
        <v>0.1</v>
      </c>
      <c r="I184" s="281">
        <v>1.0</v>
      </c>
      <c r="J184" s="282">
        <v>0.1</v>
      </c>
      <c r="K184" s="283">
        <v>1.0</v>
      </c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</v>
      </c>
      <c r="N184" s="191"/>
      <c r="O184" s="247"/>
    </row>
    <row r="185">
      <c r="A185" s="12" t="s">
        <v>215</v>
      </c>
      <c r="B185" s="12" t="s">
        <v>35</v>
      </c>
      <c r="C185" s="271" t="str">
        <f>'6thMAY'!E185</f>
        <v/>
      </c>
      <c r="D185" s="227">
        <v>0.8</v>
      </c>
      <c r="E185" s="247"/>
      <c r="F185" s="235" t="s">
        <v>35</v>
      </c>
      <c r="G185" s="235"/>
      <c r="H185" s="272" t="str">
        <f>'6thMAY'!J185</f>
        <v/>
      </c>
      <c r="I185" s="281">
        <v>1.0</v>
      </c>
      <c r="J185" s="284"/>
      <c r="K185" s="283">
        <v>1.0</v>
      </c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0.8</v>
      </c>
      <c r="N185" s="191"/>
      <c r="O185" s="247"/>
    </row>
    <row r="186">
      <c r="A186" s="12" t="s">
        <v>216</v>
      </c>
      <c r="B186" s="12" t="s">
        <v>17</v>
      </c>
      <c r="C186" s="271" t="str">
        <f>'6thMAY'!E186</f>
        <v/>
      </c>
      <c r="D186" s="191"/>
      <c r="E186" s="247"/>
      <c r="F186" s="235" t="s">
        <v>17</v>
      </c>
      <c r="G186" s="235"/>
      <c r="H186" s="272">
        <f>'6thMAY'!J186</f>
        <v>1</v>
      </c>
      <c r="I186" s="281">
        <v>1.0</v>
      </c>
      <c r="J186" s="282">
        <v>1.0</v>
      </c>
      <c r="K186" s="283">
        <v>1.0</v>
      </c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</v>
      </c>
      <c r="N186" s="191"/>
      <c r="O186" s="247"/>
    </row>
    <row r="187">
      <c r="A187" s="12" t="s">
        <v>217</v>
      </c>
      <c r="B187" s="12" t="s">
        <v>35</v>
      </c>
      <c r="C187" s="271" t="str">
        <f>'6thMAY'!E187</f>
        <v/>
      </c>
      <c r="D187" s="191"/>
      <c r="E187" s="247"/>
      <c r="F187" s="235" t="s">
        <v>35</v>
      </c>
      <c r="G187" s="235"/>
      <c r="H187" s="272">
        <f>'6thMAY'!J187</f>
        <v>0.76</v>
      </c>
      <c r="I187" s="281">
        <v>1.0</v>
      </c>
      <c r="J187" s="282">
        <v>0.55</v>
      </c>
      <c r="K187" s="283">
        <v>1.0</v>
      </c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0.21</v>
      </c>
      <c r="N187" s="191"/>
      <c r="O187" s="247"/>
    </row>
    <row r="188">
      <c r="A188" s="12" t="s">
        <v>218</v>
      </c>
      <c r="B188" s="12" t="s">
        <v>17</v>
      </c>
      <c r="C188" s="271" t="str">
        <f>'6thMAY'!E188</f>
        <v/>
      </c>
      <c r="D188" s="227">
        <v>4.0</v>
      </c>
      <c r="E188" s="247"/>
      <c r="F188" s="235" t="s">
        <v>17</v>
      </c>
      <c r="G188" s="235"/>
      <c r="H188" s="272">
        <f>'6thMAY'!J188</f>
        <v>2.25</v>
      </c>
      <c r="I188" s="281">
        <v>1.0</v>
      </c>
      <c r="J188" s="282">
        <v>3.0</v>
      </c>
      <c r="K188" s="283">
        <v>1.0</v>
      </c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3.25</v>
      </c>
      <c r="N188" s="191"/>
      <c r="O188" s="247"/>
    </row>
    <row r="189">
      <c r="A189" s="12" t="s">
        <v>220</v>
      </c>
      <c r="B189" s="12" t="s">
        <v>35</v>
      </c>
      <c r="C189" s="271" t="str">
        <f>'6thMAY'!E189</f>
        <v/>
      </c>
      <c r="D189" s="191"/>
      <c r="E189" s="247"/>
      <c r="F189" s="235" t="s">
        <v>35</v>
      </c>
      <c r="G189" s="235"/>
      <c r="H189" s="272" t="str">
        <f>'6thMAY'!J189</f>
        <v/>
      </c>
      <c r="I189" s="281">
        <v>1.0</v>
      </c>
      <c r="J189" s="284"/>
      <c r="K189" s="283">
        <v>1.0</v>
      </c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'6thMAY'!E190</f>
        <v/>
      </c>
      <c r="D190" s="227">
        <v>7.0</v>
      </c>
      <c r="E190" s="247"/>
      <c r="F190" s="235" t="s">
        <v>17</v>
      </c>
      <c r="G190" s="235"/>
      <c r="H190" s="272">
        <f>'6thMAY'!J190</f>
        <v>1.25</v>
      </c>
      <c r="I190" s="281">
        <v>1.0</v>
      </c>
      <c r="J190" s="282">
        <v>1.5</v>
      </c>
      <c r="K190" s="283">
        <v>1.0</v>
      </c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6.75</v>
      </c>
      <c r="N190" s="191"/>
      <c r="O190" s="247"/>
    </row>
    <row r="191">
      <c r="A191" s="12" t="s">
        <v>222</v>
      </c>
      <c r="B191" s="12" t="s">
        <v>17</v>
      </c>
      <c r="C191" s="271" t="str">
        <f>'6thMAY'!E191</f>
        <v/>
      </c>
      <c r="D191" s="191"/>
      <c r="E191" s="247"/>
      <c r="F191" s="235" t="s">
        <v>17</v>
      </c>
      <c r="G191" s="235"/>
      <c r="H191" s="272" t="str">
        <f>'6thMAY'!J191</f>
        <v/>
      </c>
      <c r="I191" s="281">
        <v>1.0</v>
      </c>
      <c r="J191" s="284"/>
      <c r="K191" s="283">
        <v>1.0</v>
      </c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'6thMAY'!E192</f>
        <v/>
      </c>
      <c r="D192" s="227"/>
      <c r="E192" s="247"/>
      <c r="F192" s="235" t="s">
        <v>17</v>
      </c>
      <c r="G192" s="235"/>
      <c r="H192" s="272">
        <f>'6thMAY'!J192</f>
        <v>2</v>
      </c>
      <c r="I192" s="281">
        <v>1.0</v>
      </c>
      <c r="J192" s="284"/>
      <c r="K192" s="283">
        <v>1.0</v>
      </c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2</v>
      </c>
      <c r="N192" s="191"/>
      <c r="O192" s="247"/>
    </row>
    <row r="193">
      <c r="A193" s="12" t="s">
        <v>224</v>
      </c>
      <c r="B193" s="12" t="s">
        <v>202</v>
      </c>
      <c r="C193" s="271" t="str">
        <f>'6thMAY'!E193</f>
        <v/>
      </c>
      <c r="D193" s="227">
        <v>1.0</v>
      </c>
      <c r="E193" s="247"/>
      <c r="F193" s="235" t="s">
        <v>202</v>
      </c>
      <c r="G193" s="235"/>
      <c r="H193" s="272" t="str">
        <f>'6thMAY'!J193</f>
        <v/>
      </c>
      <c r="I193" s="281">
        <v>1.0</v>
      </c>
      <c r="J193" s="282"/>
      <c r="K193" s="283">
        <v>1.0</v>
      </c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1</v>
      </c>
      <c r="N193" s="191"/>
      <c r="O193" s="247"/>
    </row>
    <row r="194">
      <c r="A194" s="12" t="s">
        <v>225</v>
      </c>
      <c r="B194" s="12" t="s">
        <v>35</v>
      </c>
      <c r="C194" s="271" t="str">
        <f>'6thMAY'!E194</f>
        <v/>
      </c>
      <c r="D194" s="191"/>
      <c r="E194" s="247"/>
      <c r="F194" s="235" t="s">
        <v>35</v>
      </c>
      <c r="G194" s="235"/>
      <c r="H194" s="272">
        <f>'6thMAY'!J194</f>
        <v>1</v>
      </c>
      <c r="I194" s="281">
        <v>1.0</v>
      </c>
      <c r="J194" s="282">
        <v>0.145</v>
      </c>
      <c r="K194" s="283">
        <v>1.0</v>
      </c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0.855</v>
      </c>
      <c r="N194" s="191"/>
      <c r="O194" s="247"/>
    </row>
    <row r="195">
      <c r="A195" s="12" t="s">
        <v>227</v>
      </c>
      <c r="B195" s="12" t="s">
        <v>35</v>
      </c>
      <c r="C195" s="271" t="str">
        <f>'6thMAY'!E195</f>
        <v/>
      </c>
      <c r="D195" s="191"/>
      <c r="E195" s="247"/>
      <c r="F195" s="235" t="s">
        <v>35</v>
      </c>
      <c r="G195" s="285">
        <v>0.123</v>
      </c>
      <c r="H195" s="272">
        <f>'6thMAY'!J195</f>
        <v>0.107</v>
      </c>
      <c r="I195" s="281">
        <v>1.0</v>
      </c>
      <c r="J195" s="282">
        <v>0.23</v>
      </c>
      <c r="K195" s="283">
        <v>1.0</v>
      </c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</v>
      </c>
      <c r="N195" s="191"/>
      <c r="O195" s="247"/>
    </row>
    <row r="196">
      <c r="A196" s="12" t="s">
        <v>228</v>
      </c>
      <c r="B196" s="12" t="s">
        <v>155</v>
      </c>
      <c r="C196" s="271" t="str">
        <f>'6thMAY'!E196</f>
        <v/>
      </c>
      <c r="D196" s="191"/>
      <c r="E196" s="247"/>
      <c r="F196" s="235" t="s">
        <v>35</v>
      </c>
      <c r="G196" s="235"/>
      <c r="H196" s="272">
        <f>'6thMAY'!J196</f>
        <v>0.17</v>
      </c>
      <c r="I196" s="281">
        <v>1.0</v>
      </c>
      <c r="J196" s="284"/>
      <c r="K196" s="283">
        <v>1.0</v>
      </c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0.158</v>
      </c>
      <c r="N196" s="191"/>
      <c r="O196" s="247"/>
    </row>
    <row r="197">
      <c r="A197" s="12" t="s">
        <v>229</v>
      </c>
      <c r="B197" s="12" t="s">
        <v>17</v>
      </c>
      <c r="C197" s="271" t="str">
        <f>'6thMAY'!E197</f>
        <v/>
      </c>
      <c r="D197" s="191"/>
      <c r="E197" s="247"/>
      <c r="F197" s="235" t="s">
        <v>17</v>
      </c>
      <c r="G197" s="235"/>
      <c r="H197" s="272">
        <f>'6thMAY'!J197</f>
        <v>0.119</v>
      </c>
      <c r="I197" s="281">
        <v>1.0</v>
      </c>
      <c r="J197" s="282"/>
      <c r="K197" s="283">
        <v>1.0</v>
      </c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0.119</v>
      </c>
      <c r="N197" s="191"/>
      <c r="O197" s="247"/>
    </row>
    <row r="198">
      <c r="A198" s="12" t="s">
        <v>231</v>
      </c>
      <c r="B198" s="12" t="s">
        <v>35</v>
      </c>
      <c r="C198" s="271" t="str">
        <f>'6thMAY'!E198</f>
        <v/>
      </c>
      <c r="D198" s="191"/>
      <c r="E198" s="247"/>
      <c r="F198" s="235" t="s">
        <v>35</v>
      </c>
      <c r="G198" s="235"/>
      <c r="H198" s="272">
        <f>'6thMAY'!J198</f>
        <v>1</v>
      </c>
      <c r="I198" s="281">
        <v>1.0</v>
      </c>
      <c r="J198" s="282"/>
      <c r="K198" s="283">
        <v>1.0</v>
      </c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1</v>
      </c>
      <c r="N198" s="191"/>
      <c r="O198" s="247"/>
    </row>
    <row r="199">
      <c r="A199" s="12" t="s">
        <v>232</v>
      </c>
      <c r="B199" s="12" t="s">
        <v>202</v>
      </c>
      <c r="C199" s="271" t="str">
        <f>'6thMAY'!E199</f>
        <v/>
      </c>
      <c r="D199" s="227">
        <v>1.0</v>
      </c>
      <c r="E199" s="247"/>
      <c r="F199" s="235" t="s">
        <v>202</v>
      </c>
      <c r="G199" s="285"/>
      <c r="H199" s="272">
        <f>'6thMAY'!J199</f>
        <v>0.25</v>
      </c>
      <c r="I199" s="281">
        <v>1.0</v>
      </c>
      <c r="J199" s="282">
        <v>1.0</v>
      </c>
      <c r="K199" s="283">
        <v>1.0</v>
      </c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0.25</v>
      </c>
      <c r="N199" s="191"/>
      <c r="O199" s="247"/>
    </row>
    <row r="200">
      <c r="A200" s="12" t="s">
        <v>233</v>
      </c>
      <c r="B200" s="12" t="s">
        <v>17</v>
      </c>
      <c r="C200" s="271" t="str">
        <f>'6thMAY'!E200</f>
        <v/>
      </c>
      <c r="D200" s="227"/>
      <c r="E200" s="280"/>
      <c r="F200" s="235" t="s">
        <v>234</v>
      </c>
      <c r="G200" s="285"/>
      <c r="H200" s="272">
        <f>'6thMAY'!J200</f>
        <v>1</v>
      </c>
      <c r="I200" s="281">
        <v>1.0</v>
      </c>
      <c r="J200" s="282"/>
      <c r="K200" s="283">
        <v>1.0</v>
      </c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1</v>
      </c>
      <c r="N200" s="191"/>
      <c r="O200" s="247"/>
    </row>
    <row r="201">
      <c r="A201" s="25" t="s">
        <v>235</v>
      </c>
      <c r="B201" s="26" t="s">
        <v>202</v>
      </c>
      <c r="C201" s="271" t="str">
        <f>'6thMAY'!E201</f>
        <v/>
      </c>
      <c r="D201" s="227"/>
      <c r="E201" s="247"/>
      <c r="F201" s="235" t="s">
        <v>202</v>
      </c>
      <c r="G201" s="235"/>
      <c r="H201" s="272">
        <f>'6thMAY'!J201</f>
        <v>1</v>
      </c>
      <c r="I201" s="281">
        <v>1.0</v>
      </c>
      <c r="J201" s="282">
        <v>0.5</v>
      </c>
      <c r="K201" s="283">
        <v>1.0</v>
      </c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0.5</v>
      </c>
      <c r="N201" s="191"/>
      <c r="O201" s="247"/>
    </row>
    <row r="202">
      <c r="A202" s="25" t="s">
        <v>236</v>
      </c>
      <c r="B202" s="26" t="s">
        <v>237</v>
      </c>
      <c r="C202" s="271" t="str">
        <f>'6thMAY'!E202</f>
        <v/>
      </c>
      <c r="D202" s="191"/>
      <c r="E202" s="247"/>
      <c r="F202" s="235" t="s">
        <v>35</v>
      </c>
      <c r="G202" s="235"/>
      <c r="H202" s="272">
        <f>'6thMAY'!J202</f>
        <v>0.914</v>
      </c>
      <c r="I202" s="281">
        <v>1.0</v>
      </c>
      <c r="J202" s="282">
        <v>0.471</v>
      </c>
      <c r="K202" s="283">
        <v>1.0</v>
      </c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0.443</v>
      </c>
      <c r="N202" s="191"/>
      <c r="O202" s="247"/>
    </row>
    <row r="203">
      <c r="A203" s="25" t="s">
        <v>238</v>
      </c>
      <c r="B203" s="26" t="s">
        <v>202</v>
      </c>
      <c r="C203" s="271" t="str">
        <f>'6thMAY'!E203</f>
        <v/>
      </c>
      <c r="D203" s="227"/>
      <c r="E203" s="247"/>
      <c r="F203" s="235" t="s">
        <v>202</v>
      </c>
      <c r="G203" s="235"/>
      <c r="H203" s="272">
        <f>'6thMAY'!J203</f>
        <v>0.25</v>
      </c>
      <c r="I203" s="281">
        <v>1.0</v>
      </c>
      <c r="J203" s="282">
        <v>0.25</v>
      </c>
      <c r="K203" s="283">
        <v>1.0</v>
      </c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71" t="str">
        <f>'6thMAY'!E204</f>
        <v/>
      </c>
      <c r="D204" s="191"/>
      <c r="E204" s="247"/>
      <c r="F204" s="235" t="s">
        <v>35</v>
      </c>
      <c r="G204" s="235"/>
      <c r="H204" s="272" t="str">
        <f>'6thMAY'!J204</f>
        <v/>
      </c>
      <c r="I204" s="281">
        <v>1.0</v>
      </c>
      <c r="J204" s="284"/>
      <c r="K204" s="283">
        <v>1.0</v>
      </c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'6thMAY'!E205</f>
        <v/>
      </c>
      <c r="D205" s="227"/>
      <c r="E205" s="247"/>
      <c r="F205" s="235" t="s">
        <v>17</v>
      </c>
      <c r="G205" s="285">
        <v>2.0</v>
      </c>
      <c r="H205" s="272">
        <f>'6thMAY'!J205</f>
        <v>1</v>
      </c>
      <c r="I205" s="281">
        <v>1.0</v>
      </c>
      <c r="J205" s="282"/>
      <c r="K205" s="283">
        <v>1.0</v>
      </c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3</v>
      </c>
      <c r="N205" s="191"/>
      <c r="O205" s="247"/>
    </row>
    <row r="206">
      <c r="A206" s="12" t="s">
        <v>242</v>
      </c>
      <c r="B206" s="12" t="s">
        <v>35</v>
      </c>
      <c r="C206" s="271" t="str">
        <f>'6thMAY'!E206</f>
        <v/>
      </c>
      <c r="D206" s="227"/>
      <c r="E206" s="247"/>
      <c r="F206" s="235" t="s">
        <v>35</v>
      </c>
      <c r="G206" s="235"/>
      <c r="H206" s="272">
        <f>'6thMAY'!J206</f>
        <v>145</v>
      </c>
      <c r="I206" s="281">
        <v>1.0</v>
      </c>
      <c r="J206" s="282">
        <v>50.0</v>
      </c>
      <c r="K206" s="283">
        <v>1.0</v>
      </c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95</v>
      </c>
      <c r="N206" s="191"/>
      <c r="O206" s="247"/>
    </row>
    <row r="207">
      <c r="A207" s="12" t="s">
        <v>243</v>
      </c>
      <c r="B207" s="12" t="s">
        <v>241</v>
      </c>
      <c r="C207" s="271">
        <f>'6thMAY'!E207</f>
        <v>1</v>
      </c>
      <c r="D207" s="227">
        <v>9.0</v>
      </c>
      <c r="E207" s="280">
        <v>3.0</v>
      </c>
      <c r="F207" s="235" t="s">
        <v>17</v>
      </c>
      <c r="G207" s="285"/>
      <c r="H207" s="272" t="str">
        <f>'6thMAY'!J207</f>
        <v/>
      </c>
      <c r="I207" s="281">
        <v>1.0</v>
      </c>
      <c r="J207" s="282"/>
      <c r="K207" s="283">
        <v>1.0</v>
      </c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7</v>
      </c>
      <c r="N207" s="191"/>
      <c r="O207" s="247"/>
    </row>
    <row r="208">
      <c r="A208" s="10" t="s">
        <v>245</v>
      </c>
      <c r="B208" s="11"/>
      <c r="C208" s="271" t="str">
        <f>'6thMAY'!E208</f>
        <v/>
      </c>
      <c r="D208" s="191"/>
      <c r="E208" s="247"/>
      <c r="F208" s="235"/>
      <c r="G208" s="235"/>
      <c r="H208" s="272" t="str">
        <f>'6thMAY'!J208</f>
        <v/>
      </c>
      <c r="I208" s="281">
        <v>1.0</v>
      </c>
      <c r="J208" s="284"/>
      <c r="K208" s="283">
        <v>1.0</v>
      </c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'6thMAY'!E209</f>
        <v/>
      </c>
      <c r="D209" s="227"/>
      <c r="E209" s="247"/>
      <c r="F209" s="235" t="s">
        <v>155</v>
      </c>
      <c r="G209" s="285"/>
      <c r="H209" s="272">
        <f>'6thMAY'!J209</f>
        <v>1</v>
      </c>
      <c r="I209" s="281">
        <v>1.0</v>
      </c>
      <c r="J209" s="282">
        <v>1.0</v>
      </c>
      <c r="K209" s="283">
        <v>1.0</v>
      </c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</v>
      </c>
      <c r="N209" s="191"/>
      <c r="O209" s="247"/>
    </row>
    <row r="210">
      <c r="A210" s="12" t="s">
        <v>247</v>
      </c>
      <c r="B210" s="13" t="s">
        <v>59</v>
      </c>
      <c r="C210" s="271">
        <f>'6thMAY'!E210</f>
        <v>1</v>
      </c>
      <c r="D210" s="191"/>
      <c r="E210" s="280">
        <v>1.0</v>
      </c>
      <c r="F210" s="235" t="s">
        <v>35</v>
      </c>
      <c r="G210" s="235"/>
      <c r="H210" s="272" t="str">
        <f>'6thMAY'!J210</f>
        <v/>
      </c>
      <c r="I210" s="281">
        <v>1.0</v>
      </c>
      <c r="J210" s="282"/>
      <c r="K210" s="283">
        <v>1.0</v>
      </c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</v>
      </c>
      <c r="N210" s="191"/>
      <c r="O210" s="247"/>
    </row>
    <row r="211">
      <c r="A211" s="12" t="s">
        <v>248</v>
      </c>
      <c r="B211" s="13" t="s">
        <v>59</v>
      </c>
      <c r="C211" s="271">
        <f>'6thMAY'!E211</f>
        <v>1</v>
      </c>
      <c r="D211" s="191"/>
      <c r="E211" s="280">
        <v>1.0</v>
      </c>
      <c r="F211" s="235" t="s">
        <v>35</v>
      </c>
      <c r="G211" s="235"/>
      <c r="H211" s="272" t="str">
        <f>'6thMAY'!J211</f>
        <v/>
      </c>
      <c r="I211" s="281">
        <v>1.0</v>
      </c>
      <c r="J211" s="284"/>
      <c r="K211" s="283">
        <v>1.0</v>
      </c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247"/>
    </row>
    <row r="212">
      <c r="A212" s="12" t="s">
        <v>250</v>
      </c>
      <c r="B212" s="13" t="s">
        <v>59</v>
      </c>
      <c r="C212" s="271" t="str">
        <f>'6thMAY'!E212</f>
        <v/>
      </c>
      <c r="D212" s="191"/>
      <c r="E212" s="280"/>
      <c r="F212" s="235" t="s">
        <v>35</v>
      </c>
      <c r="G212" s="235"/>
      <c r="H212" s="272">
        <f>'6thMAY'!J212</f>
        <v>0.0459</v>
      </c>
      <c r="I212" s="281">
        <v>1.0</v>
      </c>
      <c r="J212" s="282">
        <v>0.0392</v>
      </c>
      <c r="K212" s="283">
        <v>1.0</v>
      </c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0.0067</v>
      </c>
      <c r="N212" s="191"/>
      <c r="O212" s="247"/>
    </row>
    <row r="213">
      <c r="A213" s="12" t="s">
        <v>251</v>
      </c>
      <c r="B213" s="13" t="s">
        <v>34</v>
      </c>
      <c r="C213" s="271" t="str">
        <f>'6thMAY'!E213</f>
        <v/>
      </c>
      <c r="D213" s="191"/>
      <c r="E213" s="247"/>
      <c r="F213" s="235" t="s">
        <v>35</v>
      </c>
      <c r="G213" s="235"/>
      <c r="H213" s="272" t="str">
        <f>'6thMAY'!J213</f>
        <v/>
      </c>
      <c r="I213" s="281">
        <v>1.0</v>
      </c>
      <c r="J213" s="284"/>
      <c r="K213" s="283">
        <v>1.0</v>
      </c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'6thMAY'!E214</f>
        <v/>
      </c>
      <c r="D214" s="191"/>
      <c r="E214" s="247"/>
      <c r="F214" s="235"/>
      <c r="G214" s="235"/>
      <c r="H214" s="272" t="str">
        <f>'6thMAY'!J214</f>
        <v/>
      </c>
      <c r="I214" s="281">
        <v>1.0</v>
      </c>
      <c r="J214" s="284"/>
      <c r="K214" s="283">
        <v>1.0</v>
      </c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'6thMAY'!E215</f>
        <v/>
      </c>
      <c r="D215" s="191"/>
      <c r="E215" s="247"/>
      <c r="F215" s="235" t="s">
        <v>254</v>
      </c>
      <c r="G215" s="235"/>
      <c r="H215" s="272" t="str">
        <f>'6thMAY'!J215</f>
        <v/>
      </c>
      <c r="I215" s="281">
        <v>1.0</v>
      </c>
      <c r="J215" s="284"/>
      <c r="K215" s="283">
        <v>1.0</v>
      </c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'6thMAY'!E216</f>
        <v/>
      </c>
      <c r="D216" s="191"/>
      <c r="E216" s="247"/>
      <c r="F216" s="235" t="s">
        <v>234</v>
      </c>
      <c r="G216" s="235"/>
      <c r="H216" s="272" t="str">
        <f>'6thMAY'!J216</f>
        <v/>
      </c>
      <c r="I216" s="281">
        <v>1.0</v>
      </c>
      <c r="J216" s="284"/>
      <c r="K216" s="283">
        <v>1.0</v>
      </c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'6thMAY'!E217</f>
        <v/>
      </c>
      <c r="D217" s="227"/>
      <c r="E217" s="247"/>
      <c r="F217" s="235" t="s">
        <v>17</v>
      </c>
      <c r="G217" s="235"/>
      <c r="H217" s="272">
        <f>'6thMAY'!J217</f>
        <v>8</v>
      </c>
      <c r="I217" s="281">
        <v>1.0</v>
      </c>
      <c r="J217" s="282">
        <v>5.0</v>
      </c>
      <c r="K217" s="283">
        <v>1.0</v>
      </c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3</v>
      </c>
      <c r="N217" s="191"/>
      <c r="O217" s="247"/>
    </row>
    <row r="218">
      <c r="A218" s="12" t="s">
        <v>260</v>
      </c>
      <c r="B218" s="12" t="s">
        <v>261</v>
      </c>
      <c r="C218" s="271">
        <f>'6thMAY'!E218</f>
        <v>1</v>
      </c>
      <c r="D218" s="191"/>
      <c r="E218" s="280">
        <v>1.0</v>
      </c>
      <c r="F218" s="235" t="s">
        <v>35</v>
      </c>
      <c r="G218" s="235"/>
      <c r="H218" s="272" t="str">
        <f>'6thMAY'!J218</f>
        <v/>
      </c>
      <c r="I218" s="281">
        <v>1.0</v>
      </c>
      <c r="J218" s="282"/>
      <c r="K218" s="283">
        <v>1.0</v>
      </c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</v>
      </c>
      <c r="N218" s="191"/>
      <c r="O218" s="247"/>
    </row>
    <row r="219">
      <c r="A219" s="12" t="s">
        <v>263</v>
      </c>
      <c r="B219" s="12" t="s">
        <v>17</v>
      </c>
      <c r="C219" s="271" t="str">
        <f>'6thMAY'!E219</f>
        <v/>
      </c>
      <c r="D219" s="227"/>
      <c r="E219" s="247"/>
      <c r="F219" s="235" t="s">
        <v>17</v>
      </c>
      <c r="G219" s="235"/>
      <c r="H219" s="272">
        <f>'6thMAY'!J219</f>
        <v>41</v>
      </c>
      <c r="I219" s="281">
        <v>1.0</v>
      </c>
      <c r="J219" s="282">
        <v>21.0</v>
      </c>
      <c r="K219" s="283">
        <v>1.0</v>
      </c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20</v>
      </c>
      <c r="N219" s="191"/>
      <c r="O219" s="247"/>
    </row>
    <row r="220">
      <c r="A220" s="12" t="s">
        <v>264</v>
      </c>
      <c r="B220" s="12" t="s">
        <v>261</v>
      </c>
      <c r="C220" s="271">
        <f>'6thMAY'!E220</f>
        <v>1</v>
      </c>
      <c r="D220" s="191"/>
      <c r="E220" s="247"/>
      <c r="F220" s="235" t="s">
        <v>35</v>
      </c>
      <c r="G220" s="235"/>
      <c r="H220" s="272" t="str">
        <f>'6thMAY'!J220</f>
        <v/>
      </c>
      <c r="I220" s="281">
        <v>1.0</v>
      </c>
      <c r="J220" s="282">
        <v>1.853</v>
      </c>
      <c r="K220" s="283">
        <v>1.0</v>
      </c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1.147</v>
      </c>
      <c r="N220" s="191"/>
      <c r="O220" s="247"/>
    </row>
    <row r="221">
      <c r="A221" s="12" t="s">
        <v>265</v>
      </c>
      <c r="B221" s="12" t="s">
        <v>40</v>
      </c>
      <c r="C221" s="271" t="str">
        <f>'6thMAY'!E221</f>
        <v/>
      </c>
      <c r="D221" s="227">
        <v>1.0</v>
      </c>
      <c r="E221" s="247"/>
      <c r="F221" s="235" t="s">
        <v>17</v>
      </c>
      <c r="G221" s="235"/>
      <c r="H221" s="272">
        <f>'6thMAY'!J221</f>
        <v>23</v>
      </c>
      <c r="I221" s="281">
        <v>1.0</v>
      </c>
      <c r="J221" s="282">
        <v>37.0</v>
      </c>
      <c r="K221" s="283">
        <v>1.0</v>
      </c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11</v>
      </c>
      <c r="N221" s="191"/>
      <c r="O221" s="247"/>
    </row>
    <row r="222">
      <c r="A222" s="12" t="s">
        <v>266</v>
      </c>
      <c r="B222" s="12" t="s">
        <v>267</v>
      </c>
      <c r="C222" s="271" t="str">
        <f>'6thMAY'!E222</f>
        <v/>
      </c>
      <c r="D222" s="227">
        <v>1.0</v>
      </c>
      <c r="E222" s="247"/>
      <c r="F222" s="235" t="s">
        <v>17</v>
      </c>
      <c r="G222" s="235"/>
      <c r="H222" s="272">
        <f>'6thMAY'!J222</f>
        <v>17</v>
      </c>
      <c r="I222" s="281">
        <v>1.0</v>
      </c>
      <c r="J222" s="282">
        <v>53.0</v>
      </c>
      <c r="K222" s="283">
        <v>1.0</v>
      </c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14</v>
      </c>
      <c r="N222" s="191"/>
      <c r="O222" s="247"/>
    </row>
    <row r="223">
      <c r="A223" s="12" t="s">
        <v>268</v>
      </c>
      <c r="B223" s="12" t="s">
        <v>40</v>
      </c>
      <c r="C223" s="271" t="str">
        <f>'6thMAY'!E223</f>
        <v/>
      </c>
      <c r="D223" s="227">
        <v>1.0</v>
      </c>
      <c r="E223" s="247"/>
      <c r="F223" s="235" t="s">
        <v>17</v>
      </c>
      <c r="G223" s="285"/>
      <c r="H223" s="272">
        <f>'6thMAY'!J223</f>
        <v>7</v>
      </c>
      <c r="I223" s="281">
        <v>1.0</v>
      </c>
      <c r="J223" s="282">
        <v>20.0</v>
      </c>
      <c r="K223" s="283">
        <v>1.0</v>
      </c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12</v>
      </c>
      <c r="N223" s="191"/>
      <c r="O223" s="247"/>
    </row>
    <row r="224">
      <c r="A224" s="12" t="s">
        <v>269</v>
      </c>
      <c r="B224" s="294" t="s">
        <v>40</v>
      </c>
      <c r="C224" s="271" t="str">
        <f>'6thMAY'!E224</f>
        <v/>
      </c>
      <c r="D224" s="227">
        <v>1.0</v>
      </c>
      <c r="E224" s="191"/>
      <c r="F224" s="191" t="s">
        <v>17</v>
      </c>
      <c r="G224" s="191"/>
      <c r="H224" s="272">
        <f>'6thMAY'!J224</f>
        <v>11</v>
      </c>
      <c r="I224" s="281">
        <v>1.0</v>
      </c>
      <c r="J224" s="227">
        <v>57.0</v>
      </c>
      <c r="K224" s="283">
        <v>1.0</v>
      </c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4</v>
      </c>
      <c r="N224" s="191"/>
      <c r="O224" s="247"/>
    </row>
    <row r="225">
      <c r="A225" s="12" t="s">
        <v>270</v>
      </c>
      <c r="B225" s="294" t="s">
        <v>40</v>
      </c>
      <c r="C225" s="271">
        <f>'6thMAY'!E225</f>
        <v>1</v>
      </c>
      <c r="D225" s="191"/>
      <c r="E225" s="191"/>
      <c r="F225" s="191" t="s">
        <v>17</v>
      </c>
      <c r="G225" s="191"/>
      <c r="H225" s="272" t="str">
        <f>'6thMAY'!J225</f>
        <v/>
      </c>
      <c r="I225" s="281">
        <v>1.0</v>
      </c>
      <c r="J225" s="227">
        <v>38.0</v>
      </c>
      <c r="K225" s="283">
        <v>1.0</v>
      </c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12</v>
      </c>
      <c r="N225" s="191"/>
      <c r="O225" s="247"/>
    </row>
    <row r="226">
      <c r="A226" s="12" t="s">
        <v>271</v>
      </c>
      <c r="B226" s="294" t="s">
        <v>40</v>
      </c>
      <c r="C226" s="271" t="str">
        <f>'6thMAY'!E226</f>
        <v/>
      </c>
      <c r="D226" s="227">
        <v>1.0</v>
      </c>
      <c r="E226" s="191"/>
      <c r="F226" s="191" t="s">
        <v>17</v>
      </c>
      <c r="G226" s="191"/>
      <c r="H226" s="272">
        <f>'6thMAY'!J226</f>
        <v>29</v>
      </c>
      <c r="I226" s="281">
        <v>1.0</v>
      </c>
      <c r="J226" s="227">
        <v>53.0</v>
      </c>
      <c r="K226" s="283">
        <v>1.0</v>
      </c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26</v>
      </c>
      <c r="N226" s="191"/>
      <c r="O226" s="247"/>
    </row>
    <row r="227">
      <c r="A227" s="12" t="s">
        <v>272</v>
      </c>
      <c r="B227" s="294" t="s">
        <v>40</v>
      </c>
      <c r="C227" s="271" t="str">
        <f>'6thMAY'!E227</f>
        <v/>
      </c>
      <c r="D227" s="297"/>
      <c r="E227" s="296"/>
      <c r="F227" s="296" t="s">
        <v>17</v>
      </c>
      <c r="G227" s="296"/>
      <c r="H227" s="272">
        <f>'6thMAY'!J227</f>
        <v>13</v>
      </c>
      <c r="I227" s="281">
        <v>1.0</v>
      </c>
      <c r="J227" s="297">
        <v>10.0</v>
      </c>
      <c r="K227" s="283">
        <v>1.0</v>
      </c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3</v>
      </c>
      <c r="N227" s="296"/>
      <c r="O227" s="299"/>
    </row>
    <row r="228">
      <c r="A228" s="23"/>
      <c r="B228" s="11"/>
      <c r="C228" s="271" t="str">
        <f>'6thMAY'!E228</f>
        <v/>
      </c>
      <c r="D228" s="11"/>
      <c r="E228" s="11"/>
      <c r="F228" s="11"/>
      <c r="G228" s="11"/>
      <c r="H228" s="272" t="str">
        <f>'6thMAY'!J228</f>
        <v/>
      </c>
      <c r="I228" s="28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'6thMAY'!E229</f>
        <v/>
      </c>
      <c r="D229" s="11"/>
      <c r="E229" s="11"/>
      <c r="F229" s="11"/>
      <c r="G229" s="11"/>
      <c r="H229" s="272" t="str">
        <f>'6thMAY'!J229</f>
        <v/>
      </c>
      <c r="I229" s="281"/>
      <c r="J229" s="11"/>
      <c r="K229" s="283"/>
      <c r="L229" s="11"/>
      <c r="M229" s="11"/>
      <c r="N229" s="11"/>
      <c r="O229" s="11"/>
    </row>
    <row r="230">
      <c r="A230" s="11"/>
      <c r="B230" s="11"/>
      <c r="C230" s="271" t="str">
        <f>'6thMAY'!E230</f>
        <v/>
      </c>
      <c r="D230" s="11"/>
      <c r="E230" s="11"/>
      <c r="F230" s="11"/>
      <c r="G230" s="11"/>
      <c r="H230" s="272" t="str">
        <f>'6thMAY'!J230</f>
        <v/>
      </c>
      <c r="I230" s="281"/>
      <c r="J230" s="11"/>
      <c r="K230" s="283"/>
      <c r="L230" s="11"/>
      <c r="M230" s="11"/>
      <c r="N230" s="11"/>
      <c r="O230" s="11"/>
    </row>
    <row r="231">
      <c r="A231" s="11"/>
      <c r="B231" s="11"/>
      <c r="C231" s="271" t="str">
        <f>'6thMAY'!E231</f>
        <v/>
      </c>
      <c r="D231" s="11"/>
      <c r="E231" s="11"/>
      <c r="F231" s="11"/>
      <c r="G231" s="11"/>
      <c r="H231" s="272" t="str">
        <f>'6thMAY'!J231</f>
        <v/>
      </c>
      <c r="I231" s="281"/>
      <c r="J231" s="11"/>
      <c r="K231" s="283"/>
      <c r="L231" s="11"/>
      <c r="M231" s="11"/>
      <c r="N231" s="11"/>
      <c r="O231" s="11"/>
    </row>
    <row r="232">
      <c r="A232" s="11"/>
      <c r="B232" s="11"/>
      <c r="C232" s="271" t="str">
        <f>'6thMAY'!E232</f>
        <v/>
      </c>
      <c r="D232" s="11"/>
      <c r="E232" s="11"/>
      <c r="F232" s="11"/>
      <c r="G232" s="11"/>
      <c r="H232" s="272" t="str">
        <f>'6thMAY'!J232</f>
        <v/>
      </c>
      <c r="I232" s="281"/>
      <c r="J232" s="11"/>
      <c r="K232" s="283"/>
      <c r="L232" s="11"/>
      <c r="M232" s="11"/>
      <c r="N232" s="11"/>
      <c r="O232" s="11"/>
    </row>
    <row r="233">
      <c r="A233" s="11"/>
      <c r="B233" s="11"/>
      <c r="C233" s="271" t="str">
        <f>'6thMAY'!E233</f>
        <v/>
      </c>
      <c r="D233" s="11"/>
      <c r="E233" s="11"/>
      <c r="F233" s="11"/>
      <c r="G233" s="11"/>
      <c r="H233" s="272" t="str">
        <f>'6thMAY'!J233</f>
        <v/>
      </c>
      <c r="I233" s="11"/>
      <c r="J233" s="11"/>
      <c r="K233" s="283"/>
      <c r="L233" s="11"/>
      <c r="M233" s="11"/>
      <c r="N233" s="11"/>
      <c r="O233" s="11"/>
    </row>
    <row r="234">
      <c r="A234" s="11"/>
      <c r="B234" s="11"/>
      <c r="C234" s="271" t="str">
        <f>'6thMAY'!E234</f>
        <v/>
      </c>
      <c r="D234" s="11"/>
      <c r="E234" s="11"/>
      <c r="F234" s="11"/>
      <c r="G234" s="11"/>
      <c r="H234" s="272" t="str">
        <f>'6thMAY'!J234</f>
        <v/>
      </c>
      <c r="I234" s="11"/>
      <c r="J234" s="11"/>
      <c r="K234" s="283"/>
      <c r="L234" s="11"/>
      <c r="M234" s="11"/>
      <c r="N234" s="11"/>
      <c r="O234" s="11"/>
    </row>
    <row r="235">
      <c r="A235" s="11"/>
      <c r="B235" s="11"/>
      <c r="C235" s="271" t="str">
        <f>'6thMAY'!E235</f>
        <v/>
      </c>
      <c r="D235" s="11"/>
      <c r="E235" s="11"/>
      <c r="F235" s="11"/>
      <c r="G235" s="11"/>
      <c r="H235" s="272" t="str">
        <f>'6thMAY'!J235</f>
        <v/>
      </c>
      <c r="I235" s="11"/>
      <c r="J235" s="11"/>
      <c r="K235" s="283"/>
      <c r="L235" s="11"/>
      <c r="M235" s="11"/>
      <c r="N235" s="11"/>
      <c r="O235" s="11"/>
    </row>
    <row r="236">
      <c r="A236" s="11"/>
      <c r="B236" s="11"/>
      <c r="C236" s="271" t="str">
        <f>'6thMAY'!E236</f>
        <v/>
      </c>
      <c r="D236" s="11"/>
      <c r="E236" s="11"/>
      <c r="F236" s="11"/>
      <c r="G236" s="11"/>
      <c r="H236" s="272" t="str">
        <f>'6thMAY'!J236</f>
        <v/>
      </c>
      <c r="I236" s="11"/>
      <c r="J236" s="11"/>
      <c r="K236" s="283"/>
      <c r="L236" s="11"/>
      <c r="M236" s="11"/>
      <c r="N236" s="11"/>
      <c r="O236" s="11"/>
    </row>
    <row r="237">
      <c r="A237" s="11"/>
      <c r="B237" s="11"/>
      <c r="C237" s="271" t="str">
        <f>'6thMAY'!E237</f>
        <v/>
      </c>
      <c r="D237" s="11"/>
      <c r="E237" s="11"/>
      <c r="F237" s="11"/>
      <c r="G237" s="11"/>
      <c r="H237" s="272" t="str">
        <f>'6thMAY'!J237</f>
        <v/>
      </c>
      <c r="I237" s="11"/>
      <c r="J237" s="11"/>
      <c r="K237" s="283"/>
      <c r="L237" s="11"/>
      <c r="M237" s="11"/>
      <c r="N237" s="11"/>
      <c r="O237" s="11"/>
    </row>
    <row r="238">
      <c r="A238" s="11"/>
      <c r="B238" s="11"/>
      <c r="C238" s="271" t="str">
        <f>'6thMAY'!E238</f>
        <v/>
      </c>
      <c r="D238" s="11"/>
      <c r="E238" s="11"/>
      <c r="F238" s="11"/>
      <c r="G238" s="11"/>
      <c r="H238" s="272" t="str">
        <f>'6thMAY'!J238</f>
        <v/>
      </c>
      <c r="I238" s="11"/>
      <c r="J238" s="11"/>
      <c r="K238" s="283"/>
      <c r="L238" s="11"/>
      <c r="M238" s="11"/>
      <c r="N238" s="11"/>
      <c r="O238" s="11"/>
    </row>
    <row r="239">
      <c r="A239" s="11"/>
      <c r="B239" s="11"/>
      <c r="C239" s="271" t="str">
        <f>'6thMAY'!E239</f>
        <v/>
      </c>
      <c r="D239" s="11"/>
      <c r="E239" s="11"/>
      <c r="F239" s="11"/>
      <c r="G239" s="11"/>
      <c r="H239" s="272" t="str">
        <f>'6thMAY'!J239</f>
        <v/>
      </c>
      <c r="I239" s="11"/>
      <c r="J239" s="11"/>
      <c r="K239" s="283"/>
      <c r="L239" s="11"/>
      <c r="M239" s="11"/>
      <c r="N239" s="11"/>
      <c r="O239" s="11"/>
    </row>
    <row r="240">
      <c r="A240" s="11"/>
      <c r="B240" s="11"/>
      <c r="C240" s="271" t="str">
        <f>'6thMAY'!E240</f>
        <v/>
      </c>
      <c r="D240" s="11"/>
      <c r="E240" s="11"/>
      <c r="F240" s="11"/>
      <c r="G240" s="11"/>
      <c r="H240" s="272" t="str">
        <f>'6thMAY'!J240</f>
        <v/>
      </c>
      <c r="I240" s="11"/>
      <c r="J240" s="11"/>
      <c r="K240" s="283"/>
      <c r="L240" s="11"/>
      <c r="M240" s="11"/>
      <c r="N240" s="11"/>
      <c r="O240" s="11"/>
    </row>
    <row r="241">
      <c r="A241" s="11"/>
      <c r="B241" s="11"/>
      <c r="C241" s="271" t="str">
        <f>'6thMAY'!E241</f>
        <v/>
      </c>
      <c r="D241" s="11"/>
      <c r="E241" s="11"/>
      <c r="F241" s="11"/>
      <c r="G241" s="11"/>
      <c r="H241" s="272" t="str">
        <f>'6thMAY'!J241</f>
        <v/>
      </c>
      <c r="I241" s="11"/>
      <c r="J241" s="11"/>
      <c r="K241" s="283"/>
      <c r="L241" s="11"/>
      <c r="M241" s="11"/>
      <c r="N241" s="11"/>
      <c r="O241" s="11"/>
    </row>
    <row r="242">
      <c r="A242" s="11"/>
      <c r="B242" s="11"/>
      <c r="C242" s="271" t="str">
        <f>'6thMAY'!E242</f>
        <v/>
      </c>
      <c r="D242" s="11"/>
      <c r="E242" s="11"/>
      <c r="F242" s="11"/>
      <c r="G242" s="11"/>
      <c r="H242" s="272" t="str">
        <f>'6thMAY'!J242</f>
        <v/>
      </c>
      <c r="I242" s="11"/>
      <c r="J242" s="11"/>
      <c r="K242" s="283"/>
      <c r="L242" s="11"/>
      <c r="M242" s="11"/>
      <c r="N242" s="11"/>
      <c r="O242" s="11"/>
    </row>
    <row r="243">
      <c r="A243" s="11"/>
      <c r="B243" s="11"/>
      <c r="C243" s="271" t="str">
        <f>'6thMAY'!E243</f>
        <v/>
      </c>
      <c r="D243" s="11"/>
      <c r="E243" s="11"/>
      <c r="F243" s="11"/>
      <c r="G243" s="11"/>
      <c r="H243" s="272" t="str">
        <f>'6thMAY'!J243</f>
        <v/>
      </c>
      <c r="I243" s="11"/>
      <c r="J243" s="11"/>
      <c r="K243" s="283"/>
      <c r="L243" s="11"/>
      <c r="M243" s="11"/>
      <c r="N243" s="11"/>
      <c r="O243" s="11"/>
    </row>
    <row r="244">
      <c r="A244" s="11"/>
      <c r="B244" s="11"/>
      <c r="C244" s="271" t="str">
        <f>'6thMAY'!E244</f>
        <v/>
      </c>
      <c r="D244" s="11"/>
      <c r="E244" s="11"/>
      <c r="F244" s="11"/>
      <c r="G244" s="11"/>
      <c r="H244" s="272" t="str">
        <f>'6thMAY'!J244</f>
        <v/>
      </c>
      <c r="I244" s="11"/>
      <c r="J244" s="11"/>
      <c r="K244" s="283"/>
      <c r="L244" s="11"/>
      <c r="M244" s="11"/>
      <c r="N244" s="11"/>
      <c r="O244" s="11"/>
    </row>
    <row r="245">
      <c r="A245" s="11"/>
      <c r="B245" s="11"/>
      <c r="C245" s="271" t="str">
        <f>'6thMAY'!E245</f>
        <v/>
      </c>
      <c r="D245" s="11"/>
      <c r="E245" s="11"/>
      <c r="F245" s="11"/>
      <c r="G245" s="11"/>
      <c r="H245" s="272" t="str">
        <f>'6thMAY'!J245</f>
        <v/>
      </c>
      <c r="I245" s="11"/>
      <c r="J245" s="11"/>
      <c r="K245" s="283"/>
      <c r="L245" s="11"/>
      <c r="M245" s="11"/>
      <c r="N245" s="11"/>
      <c r="O245" s="11"/>
    </row>
    <row r="246">
      <c r="A246" s="11"/>
      <c r="B246" s="11"/>
      <c r="C246" s="271" t="str">
        <f>'6thMAY'!E246</f>
        <v/>
      </c>
      <c r="D246" s="11"/>
      <c r="E246" s="11"/>
      <c r="F246" s="11"/>
      <c r="G246" s="11"/>
      <c r="H246" s="272" t="str">
        <f>'6thMAY'!J246</f>
        <v/>
      </c>
      <c r="I246" s="11"/>
      <c r="J246" s="11"/>
      <c r="K246" s="283"/>
      <c r="L246" s="11"/>
      <c r="M246" s="11"/>
      <c r="N246" s="11"/>
      <c r="O246" s="11"/>
    </row>
    <row r="247">
      <c r="A247" s="11"/>
      <c r="B247" s="11"/>
      <c r="C247" s="271" t="str">
        <f>'6thMAY'!E247</f>
        <v/>
      </c>
      <c r="D247" s="11"/>
      <c r="E247" s="11"/>
      <c r="F247" s="11"/>
      <c r="G247" s="11"/>
      <c r="H247" s="272" t="str">
        <f>'6thMAY'!J247</f>
        <v/>
      </c>
      <c r="I247" s="11"/>
      <c r="J247" s="11"/>
      <c r="K247" s="283"/>
      <c r="L247" s="11"/>
      <c r="M247" s="11"/>
      <c r="N247" s="11"/>
      <c r="O247" s="11"/>
    </row>
    <row r="248">
      <c r="A248" s="11"/>
      <c r="B248" s="11"/>
      <c r="C248" s="271" t="str">
        <f>'6thMAY'!E248</f>
        <v/>
      </c>
      <c r="D248" s="11"/>
      <c r="E248" s="11"/>
      <c r="F248" s="11"/>
      <c r="G248" s="11"/>
      <c r="H248" s="272" t="str">
        <f>'6thMAY'!J248</f>
        <v/>
      </c>
      <c r="I248" s="11"/>
      <c r="J248" s="11"/>
      <c r="K248" s="283"/>
      <c r="L248" s="11"/>
      <c r="M248" s="11"/>
      <c r="N248" s="11"/>
      <c r="O248" s="11"/>
    </row>
    <row r="249">
      <c r="A249" s="11"/>
      <c r="B249" s="11"/>
      <c r="C249" s="271" t="str">
        <f>'6thMAY'!E249</f>
        <v/>
      </c>
      <c r="D249" s="11"/>
      <c r="E249" s="11"/>
      <c r="F249" s="11"/>
      <c r="G249" s="11"/>
      <c r="H249" s="272" t="str">
        <f>'6thMAY'!J249</f>
        <v/>
      </c>
      <c r="I249" s="11"/>
      <c r="J249" s="11"/>
      <c r="K249" s="283"/>
      <c r="L249" s="11"/>
      <c r="M249" s="11"/>
      <c r="N249" s="11"/>
      <c r="O249" s="11"/>
    </row>
    <row r="250">
      <c r="A250" s="11"/>
      <c r="B250" s="11"/>
      <c r="C250" s="271" t="str">
        <f>'6thMAY'!E250</f>
        <v/>
      </c>
      <c r="D250" s="11"/>
      <c r="E250" s="11"/>
      <c r="F250" s="11"/>
      <c r="G250" s="11"/>
      <c r="H250" s="272" t="str">
        <f>'6thMAY'!J250</f>
        <v/>
      </c>
      <c r="I250" s="11"/>
      <c r="J250" s="11"/>
      <c r="K250" s="283"/>
      <c r="L250" s="11"/>
      <c r="M250" s="11"/>
      <c r="N250" s="11"/>
      <c r="O250" s="11"/>
    </row>
    <row r="251">
      <c r="A251" s="11"/>
      <c r="B251" s="11"/>
      <c r="C251" s="271" t="str">
        <f>'6thMAY'!E251</f>
        <v/>
      </c>
      <c r="D251" s="11"/>
      <c r="E251" s="11"/>
      <c r="F251" s="11"/>
      <c r="G251" s="11"/>
      <c r="H251" s="272" t="str">
        <f>'6thMAY'!J251</f>
        <v/>
      </c>
      <c r="I251" s="11"/>
      <c r="J251" s="11"/>
      <c r="K251" s="283"/>
      <c r="L251" s="11"/>
      <c r="M251" s="11"/>
      <c r="N251" s="11"/>
      <c r="O251" s="11"/>
    </row>
    <row r="252">
      <c r="A252" s="11"/>
      <c r="B252" s="11"/>
      <c r="C252" s="271" t="str">
        <f>'6thMAY'!E252</f>
        <v/>
      </c>
      <c r="D252" s="11"/>
      <c r="E252" s="11"/>
      <c r="F252" s="11"/>
      <c r="G252" s="11"/>
      <c r="H252" s="272" t="str">
        <f>'6thMAY'!J252</f>
        <v/>
      </c>
      <c r="I252" s="11"/>
      <c r="J252" s="11"/>
      <c r="K252" s="283"/>
      <c r="L252" s="11"/>
      <c r="M252" s="11"/>
      <c r="N252" s="11"/>
      <c r="O252" s="11"/>
    </row>
    <row r="253">
      <c r="A253" s="11"/>
      <c r="B253" s="11"/>
      <c r="C253" s="271" t="str">
        <f>'6thMAY'!E253</f>
        <v/>
      </c>
      <c r="D253" s="11"/>
      <c r="E253" s="11"/>
      <c r="F253" s="11"/>
      <c r="G253" s="11"/>
      <c r="H253" s="272" t="str">
        <f>'6thMAY'!J253</f>
        <v/>
      </c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271" t="str">
        <f>'6thMAY'!E254</f>
        <v/>
      </c>
      <c r="D254" s="11"/>
      <c r="E254" s="11"/>
      <c r="F254" s="11"/>
      <c r="G254" s="11"/>
      <c r="H254" s="272" t="str">
        <f>'6thMAY'!J254</f>
        <v/>
      </c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271" t="str">
        <f>'6thMAY'!E255</f>
        <v/>
      </c>
      <c r="D255" s="11"/>
      <c r="E255" s="11"/>
      <c r="F255" s="11"/>
      <c r="G255" s="11"/>
      <c r="H255" s="272" t="str">
        <f>'6thMAY'!J255</f>
        <v/>
      </c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271" t="str">
        <f>'6thMAY'!E256</f>
        <v/>
      </c>
      <c r="D256" s="11"/>
      <c r="E256" s="11"/>
      <c r="F256" s="11"/>
      <c r="G256" s="11"/>
      <c r="H256" s="272" t="str">
        <f>'6thMAY'!J256</f>
        <v/>
      </c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272" t="str">
        <f>'6thMAY'!J257</f>
        <v/>
      </c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19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</sheetData>
  <mergeCells count="4">
    <mergeCell ref="A1:O1"/>
    <mergeCell ref="B2:E2"/>
    <mergeCell ref="F2:K2"/>
    <mergeCell ref="L2:O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1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f>'5thMAY'!E5</f>
        <v>24</v>
      </c>
      <c r="D5" s="272"/>
      <c r="E5" s="273">
        <v>12.0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36</v>
      </c>
      <c r="N5" s="268"/>
      <c r="O5" s="269"/>
    </row>
    <row r="6">
      <c r="A6" s="192" t="s">
        <v>401</v>
      </c>
      <c r="B6" s="191" t="s">
        <v>402</v>
      </c>
      <c r="C6" s="271" t="str">
        <f>'5thMAY'!E6</f>
        <v/>
      </c>
      <c r="D6" s="272">
        <v>5.0</v>
      </c>
      <c r="E6" s="273">
        <v>5.0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0</v>
      </c>
      <c r="N6" s="268"/>
      <c r="O6" s="269"/>
    </row>
    <row r="7">
      <c r="A7" s="192" t="s">
        <v>404</v>
      </c>
      <c r="B7" s="191" t="s">
        <v>402</v>
      </c>
      <c r="C7" s="271">
        <f>'5thMAY'!E7</f>
        <v>1</v>
      </c>
      <c r="D7" s="272">
        <v>4.0</v>
      </c>
      <c r="E7" s="273">
        <v>4.0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5</v>
      </c>
      <c r="N7" s="268"/>
      <c r="O7" s="269"/>
    </row>
    <row r="8">
      <c r="A8" s="192" t="s">
        <v>406</v>
      </c>
      <c r="B8" s="191" t="s">
        <v>402</v>
      </c>
      <c r="C8" s="271">
        <f>'5thMAY'!E8</f>
        <v>4</v>
      </c>
      <c r="D8" s="272">
        <v>10.0</v>
      </c>
      <c r="E8" s="273">
        <v>7.0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7</v>
      </c>
      <c r="N8" s="268"/>
      <c r="O8" s="269"/>
    </row>
    <row r="9">
      <c r="A9" s="192" t="s">
        <v>409</v>
      </c>
      <c r="B9" s="191" t="s">
        <v>402</v>
      </c>
      <c r="C9" s="271" t="str">
        <f>'5thMAY'!E9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192" t="s">
        <v>411</v>
      </c>
      <c r="B10" s="191" t="s">
        <v>402</v>
      </c>
      <c r="C10" s="271">
        <f>'5thMAY'!E10</f>
        <v>3</v>
      </c>
      <c r="D10" s="272">
        <v>5.0</v>
      </c>
      <c r="E10" s="273">
        <v>8.0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0</v>
      </c>
      <c r="N10" s="268"/>
      <c r="O10" s="269"/>
    </row>
    <row r="11">
      <c r="A11" s="204" t="s">
        <v>413</v>
      </c>
      <c r="B11" s="191" t="s">
        <v>402</v>
      </c>
      <c r="C11" s="271">
        <f>'5thMAY'!E11</f>
        <v>5</v>
      </c>
      <c r="D11" s="272">
        <v>12.0</v>
      </c>
      <c r="E11" s="273">
        <v>5.0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12</v>
      </c>
      <c r="N11" s="268"/>
      <c r="O11" s="269"/>
    </row>
    <row r="12">
      <c r="A12" s="192" t="s">
        <v>414</v>
      </c>
      <c r="B12" s="191" t="s">
        <v>402</v>
      </c>
      <c r="C12" s="271" t="str">
        <f>'5thMAY'!E12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 t="str">
        <f>'5thMAY'!E13</f>
        <v/>
      </c>
      <c r="D13" s="272">
        <v>6.0</v>
      </c>
      <c r="E13" s="273"/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54</v>
      </c>
      <c r="N13" s="268"/>
      <c r="O13" s="269"/>
    </row>
    <row r="14">
      <c r="A14" s="204" t="s">
        <v>418</v>
      </c>
      <c r="B14" s="191" t="s">
        <v>402</v>
      </c>
      <c r="C14" s="271">
        <f>'5thMAY'!E14</f>
        <v>1.5</v>
      </c>
      <c r="D14" s="272">
        <v>10.0</v>
      </c>
      <c r="E14" s="273">
        <v>2.5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9</v>
      </c>
      <c r="N14" s="268"/>
      <c r="O14" s="269"/>
    </row>
    <row r="15">
      <c r="A15" s="204" t="s">
        <v>420</v>
      </c>
      <c r="B15" s="191" t="s">
        <v>402</v>
      </c>
      <c r="C15" s="271">
        <f>'5thMAY'!E15</f>
        <v>3</v>
      </c>
      <c r="D15" s="268"/>
      <c r="E15" s="273">
        <v>3.0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0</v>
      </c>
      <c r="N15" s="268"/>
      <c r="O15" s="269"/>
    </row>
    <row r="16">
      <c r="A16" s="192" t="s">
        <v>422</v>
      </c>
      <c r="B16" s="191" t="s">
        <v>402</v>
      </c>
      <c r="C16" s="271">
        <f>'5thMAY'!E16</f>
        <v>6</v>
      </c>
      <c r="D16" s="272"/>
      <c r="E16" s="273">
        <v>4.0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8</v>
      </c>
      <c r="N16" s="268"/>
      <c r="O16" s="269"/>
    </row>
    <row r="17">
      <c r="A17" s="192" t="s">
        <v>423</v>
      </c>
      <c r="B17" s="191" t="s">
        <v>402</v>
      </c>
      <c r="C17" s="271">
        <f>'5thMAY'!E17</f>
        <v>4</v>
      </c>
      <c r="D17" s="272">
        <v>6.0</v>
      </c>
      <c r="E17" s="273"/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20</v>
      </c>
      <c r="N17" s="268"/>
      <c r="O17" s="269"/>
    </row>
    <row r="18">
      <c r="A18" s="192" t="s">
        <v>425</v>
      </c>
      <c r="B18" s="191" t="s">
        <v>402</v>
      </c>
      <c r="C18" s="271">
        <f>'5thMAY'!E18</f>
        <v>4</v>
      </c>
      <c r="D18" s="268"/>
      <c r="E18" s="273">
        <v>3.0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2</v>
      </c>
      <c r="N18" s="268"/>
      <c r="O18" s="269"/>
    </row>
    <row r="19">
      <c r="A19" s="192" t="s">
        <v>426</v>
      </c>
      <c r="B19" s="191" t="s">
        <v>402</v>
      </c>
      <c r="C19" s="271">
        <f>'5thMAY'!E19</f>
        <v>3</v>
      </c>
      <c r="D19" s="268"/>
      <c r="E19" s="273">
        <v>3.0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0</v>
      </c>
      <c r="N19" s="268"/>
      <c r="O19" s="269"/>
    </row>
    <row r="20">
      <c r="A20" s="192" t="s">
        <v>428</v>
      </c>
      <c r="B20" s="191" t="s">
        <v>402</v>
      </c>
      <c r="C20" s="271">
        <f>'5thMAY'!E20</f>
        <v>3</v>
      </c>
      <c r="D20" s="268"/>
      <c r="E20" s="273">
        <v>3.0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0</v>
      </c>
      <c r="N20" s="268"/>
      <c r="O20" s="269"/>
    </row>
    <row r="21">
      <c r="A21" s="204" t="s">
        <v>429</v>
      </c>
      <c r="B21" s="191" t="s">
        <v>402</v>
      </c>
      <c r="C21" s="271">
        <f>'5thMAY'!E21</f>
        <v>6</v>
      </c>
      <c r="D21" s="272">
        <v>5.0</v>
      </c>
      <c r="E21" s="273">
        <v>8.0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12</v>
      </c>
      <c r="N21" s="268"/>
      <c r="O21" s="269"/>
    </row>
    <row r="22">
      <c r="A22" s="204" t="s">
        <v>431</v>
      </c>
      <c r="B22" s="191" t="s">
        <v>402</v>
      </c>
      <c r="C22" s="271" t="str">
        <f>'5thMAY'!E22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>
        <f>'5thMAY'!E23</f>
        <v>7</v>
      </c>
      <c r="D23" s="272"/>
      <c r="E23" s="273">
        <v>3.0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8</v>
      </c>
      <c r="N23" s="268"/>
      <c r="O23" s="269"/>
    </row>
    <row r="24">
      <c r="A24" s="192" t="s">
        <v>433</v>
      </c>
      <c r="B24" s="191" t="s">
        <v>402</v>
      </c>
      <c r="C24" s="271">
        <f>'5thMAY'!E24</f>
        <v>5</v>
      </c>
      <c r="D24" s="272">
        <v>10.0</v>
      </c>
      <c r="E24" s="273">
        <v>6.0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9</v>
      </c>
      <c r="N24" s="268"/>
      <c r="O24" s="269"/>
    </row>
    <row r="25">
      <c r="A25" s="204" t="s">
        <v>435</v>
      </c>
      <c r="B25" s="191" t="s">
        <v>402</v>
      </c>
      <c r="C25" s="271">
        <f>'5thMAY'!E25</f>
        <v>2</v>
      </c>
      <c r="D25" s="272">
        <v>5.0</v>
      </c>
      <c r="E25" s="273">
        <v>4.0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3</v>
      </c>
      <c r="N25" s="268"/>
      <c r="O25" s="269"/>
    </row>
    <row r="26">
      <c r="A26" s="192" t="s">
        <v>438</v>
      </c>
      <c r="B26" s="191" t="s">
        <v>402</v>
      </c>
      <c r="C26" s="271">
        <f>'5thMAY'!E26</f>
        <v>5</v>
      </c>
      <c r="D26" s="268"/>
      <c r="E26" s="273">
        <v>2.5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2.5</v>
      </c>
      <c r="N26" s="268"/>
      <c r="O26" s="269"/>
    </row>
    <row r="27">
      <c r="A27" s="192" t="s">
        <v>439</v>
      </c>
      <c r="B27" s="191" t="s">
        <v>402</v>
      </c>
      <c r="C27" s="271" t="str">
        <f>'5thMAY'!E27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f>'5thMAY'!E28</f>
        <v>9</v>
      </c>
      <c r="D28" s="268"/>
      <c r="E28" s="273">
        <v>8.0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1</v>
      </c>
      <c r="N28" s="268"/>
      <c r="O28" s="269"/>
    </row>
    <row r="29">
      <c r="A29" s="204" t="s">
        <v>441</v>
      </c>
      <c r="B29" s="191" t="s">
        <v>402</v>
      </c>
      <c r="C29" s="271">
        <f>'5thMAY'!E29</f>
        <v>5</v>
      </c>
      <c r="D29" s="272">
        <v>11.0</v>
      </c>
      <c r="E29" s="273">
        <v>16.0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0</v>
      </c>
      <c r="N29" s="268"/>
      <c r="O29" s="269"/>
    </row>
    <row r="30">
      <c r="A30" s="204" t="s">
        <v>442</v>
      </c>
      <c r="B30" s="191" t="s">
        <v>402</v>
      </c>
      <c r="C30" s="271">
        <f>'5thMAY'!E30</f>
        <v>7</v>
      </c>
      <c r="D30" s="268"/>
      <c r="E30" s="273">
        <v>7.0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0</v>
      </c>
      <c r="N30" s="268"/>
      <c r="O30" s="269"/>
    </row>
    <row r="31">
      <c r="A31" s="204" t="s">
        <v>444</v>
      </c>
      <c r="B31" s="191" t="s">
        <v>402</v>
      </c>
      <c r="C31" s="271">
        <f>'5thMAY'!E31</f>
        <v>1</v>
      </c>
      <c r="D31" s="272">
        <v>5.0</v>
      </c>
      <c r="E31" s="273">
        <v>6.0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0</v>
      </c>
      <c r="N31" s="268"/>
      <c r="O31" s="269"/>
    </row>
    <row r="32">
      <c r="A32" s="204" t="s">
        <v>445</v>
      </c>
      <c r="B32" s="191" t="s">
        <v>402</v>
      </c>
      <c r="C32" s="271">
        <f>'5thMAY'!E32</f>
        <v>1</v>
      </c>
      <c r="D32" s="272">
        <v>5.0</v>
      </c>
      <c r="E32" s="273">
        <v>5.0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4</v>
      </c>
      <c r="N32" s="268"/>
      <c r="O32" s="269"/>
    </row>
    <row r="33">
      <c r="A33" s="192" t="s">
        <v>446</v>
      </c>
      <c r="B33" s="191" t="s">
        <v>402</v>
      </c>
      <c r="C33" s="271">
        <f>'5thMAY'!E33</f>
        <v>1</v>
      </c>
      <c r="D33" s="268"/>
      <c r="E33" s="273">
        <v>1.0</v>
      </c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192" t="s">
        <v>447</v>
      </c>
      <c r="B34" s="191" t="s">
        <v>402</v>
      </c>
      <c r="C34" s="271" t="str">
        <f>'5thMAY'!E34</f>
        <v/>
      </c>
      <c r="D34" s="272">
        <v>4.0</v>
      </c>
      <c r="E34" s="273">
        <v>1.0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3</v>
      </c>
      <c r="N34" s="268"/>
      <c r="O34" s="269"/>
    </row>
    <row r="35">
      <c r="A35" s="204" t="s">
        <v>449</v>
      </c>
      <c r="B35" s="191" t="s">
        <v>402</v>
      </c>
      <c r="C35" s="271">
        <f>'5thMAY'!E35</f>
        <v>5</v>
      </c>
      <c r="D35" s="272"/>
      <c r="E35" s="273">
        <v>5.0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268"/>
      <c r="O35" s="269"/>
    </row>
    <row r="36">
      <c r="A36" s="192" t="s">
        <v>451</v>
      </c>
      <c r="B36" s="191" t="s">
        <v>402</v>
      </c>
      <c r="C36" s="271">
        <f>'5thMAY'!E36</f>
        <v>1</v>
      </c>
      <c r="D36" s="272">
        <v>10.0</v>
      </c>
      <c r="E36" s="273">
        <v>4.5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13</v>
      </c>
      <c r="N36" s="268"/>
      <c r="O36" s="269"/>
    </row>
    <row r="37">
      <c r="A37" s="225" t="s">
        <v>452</v>
      </c>
      <c r="B37" s="191" t="s">
        <v>402</v>
      </c>
      <c r="C37" s="271">
        <f>'5thMAY'!E37</f>
        <v>12</v>
      </c>
      <c r="D37" s="268"/>
      <c r="E37" s="273">
        <v>11.0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4</v>
      </c>
      <c r="N37" s="268"/>
      <c r="O37" s="269"/>
    </row>
    <row r="38">
      <c r="A38" s="225" t="s">
        <v>454</v>
      </c>
      <c r="B38" s="191" t="s">
        <v>402</v>
      </c>
      <c r="C38" s="271">
        <f>'5thMAY'!E38</f>
        <v>3</v>
      </c>
      <c r="D38" s="272">
        <v>1.5</v>
      </c>
      <c r="E38" s="273">
        <v>4.5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23" t="s">
        <v>455</v>
      </c>
      <c r="B39" s="191" t="s">
        <v>402</v>
      </c>
      <c r="C39" s="271">
        <f>'5thMAY'!E39</f>
        <v>4</v>
      </c>
      <c r="D39" s="268"/>
      <c r="E39" s="273">
        <v>3.0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4</v>
      </c>
      <c r="N39" s="268"/>
      <c r="O39" s="269"/>
    </row>
    <row r="40">
      <c r="A40" s="223" t="s">
        <v>456</v>
      </c>
      <c r="B40" s="191" t="s">
        <v>402</v>
      </c>
      <c r="C40" s="271">
        <f>'5thMAY'!E40</f>
        <v>9</v>
      </c>
      <c r="D40" s="272"/>
      <c r="E40" s="273">
        <v>6.0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3</v>
      </c>
      <c r="N40" s="268"/>
      <c r="O40" s="269"/>
    </row>
    <row r="41">
      <c r="A41" s="223" t="s">
        <v>457</v>
      </c>
      <c r="B41" s="191" t="s">
        <v>402</v>
      </c>
      <c r="C41" s="271">
        <f>'5thMAY'!E41</f>
        <v>0.5</v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0.5</v>
      </c>
      <c r="N41" s="268"/>
      <c r="O41" s="269"/>
    </row>
    <row r="42">
      <c r="A42" s="307" t="s">
        <v>762</v>
      </c>
      <c r="B42" s="191"/>
      <c r="C42" s="271" t="str">
        <f>'5thMAY'!E42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'5thMAY'!E43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'5thMAY'!E44</f>
        <v/>
      </c>
      <c r="D44" s="227">
        <v>2.0</v>
      </c>
      <c r="E44" s="280"/>
      <c r="F44" s="235" t="s">
        <v>14</v>
      </c>
      <c r="G44" s="235"/>
      <c r="H44" s="272" t="str">
        <f>'5thMAY'!J44</f>
        <v/>
      </c>
      <c r="I44" s="281"/>
      <c r="J44" s="282">
        <v>1.0</v>
      </c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1</v>
      </c>
      <c r="N44" s="191"/>
      <c r="O44" s="247"/>
    </row>
    <row r="45">
      <c r="A45" s="12" t="s">
        <v>16</v>
      </c>
      <c r="B45" s="13" t="s">
        <v>17</v>
      </c>
      <c r="C45" s="271" t="str">
        <f>'5thMAY'!E45</f>
        <v/>
      </c>
      <c r="D45" s="227">
        <v>14.0</v>
      </c>
      <c r="E45" s="280"/>
      <c r="F45" s="235" t="s">
        <v>17</v>
      </c>
      <c r="G45" s="235"/>
      <c r="H45" s="272" t="str">
        <f>'5thMAY'!J45</f>
        <v/>
      </c>
      <c r="I45" s="281"/>
      <c r="J45" s="282">
        <v>14.0</v>
      </c>
      <c r="K45" s="283"/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0</v>
      </c>
      <c r="N45" s="191"/>
      <c r="O45" s="247"/>
    </row>
    <row r="46">
      <c r="A46" s="15" t="s">
        <v>19</v>
      </c>
      <c r="B46" s="13" t="s">
        <v>17</v>
      </c>
      <c r="C46" s="271" t="str">
        <f>'5thMAY'!E46</f>
        <v/>
      </c>
      <c r="D46" s="227">
        <v>7.0</v>
      </c>
      <c r="E46" s="280"/>
      <c r="F46" s="235" t="s">
        <v>17</v>
      </c>
      <c r="G46" s="235"/>
      <c r="H46" s="272" t="str">
        <f>'5thMAY'!J46</f>
        <v/>
      </c>
      <c r="I46" s="281"/>
      <c r="J46" s="282">
        <v>7.0</v>
      </c>
      <c r="K46" s="283"/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0</v>
      </c>
      <c r="N46" s="191"/>
      <c r="O46" s="247"/>
    </row>
    <row r="47">
      <c r="A47" s="12" t="s">
        <v>20</v>
      </c>
      <c r="B47" s="13" t="s">
        <v>17</v>
      </c>
      <c r="C47" s="271" t="str">
        <f>'5thMAY'!E47</f>
        <v/>
      </c>
      <c r="D47" s="227">
        <v>5.0</v>
      </c>
      <c r="E47" s="280"/>
      <c r="F47" s="235" t="s">
        <v>17</v>
      </c>
      <c r="G47" s="235"/>
      <c r="H47" s="272" t="str">
        <f>'5thMAY'!J47</f>
        <v/>
      </c>
      <c r="I47" s="281"/>
      <c r="J47" s="282">
        <v>5.0</v>
      </c>
      <c r="K47" s="283"/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0</v>
      </c>
      <c r="N47" s="191"/>
      <c r="O47" s="247"/>
    </row>
    <row r="48">
      <c r="A48" s="12" t="s">
        <v>21</v>
      </c>
      <c r="B48" s="13" t="s">
        <v>17</v>
      </c>
      <c r="C48" s="271" t="str">
        <f>'5thMAY'!E48</f>
        <v/>
      </c>
      <c r="D48" s="227">
        <v>3.5</v>
      </c>
      <c r="E48" s="280"/>
      <c r="F48" s="235" t="s">
        <v>17</v>
      </c>
      <c r="G48" s="235"/>
      <c r="H48" s="272" t="str">
        <f>'5thMAY'!J48</f>
        <v/>
      </c>
      <c r="I48" s="281"/>
      <c r="J48" s="282">
        <v>3.5</v>
      </c>
      <c r="K48" s="283"/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0</v>
      </c>
      <c r="N48" s="191"/>
      <c r="O48" s="247"/>
    </row>
    <row r="49">
      <c r="A49" s="12" t="s">
        <v>22</v>
      </c>
      <c r="B49" s="13" t="s">
        <v>17</v>
      </c>
      <c r="C49" s="271" t="str">
        <f>'5thMAY'!E49</f>
        <v/>
      </c>
      <c r="D49" s="191"/>
      <c r="E49" s="247"/>
      <c r="F49" s="235" t="s">
        <v>17</v>
      </c>
      <c r="G49" s="235"/>
      <c r="H49" s="272" t="str">
        <f>'5thMAY'!J49</f>
        <v/>
      </c>
      <c r="I49" s="281"/>
      <c r="J49" s="284"/>
      <c r="K49" s="283"/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'5thMAY'!E50</f>
        <v/>
      </c>
      <c r="D50" s="227">
        <v>1.0</v>
      </c>
      <c r="E50" s="247"/>
      <c r="F50" s="235" t="s">
        <v>25</v>
      </c>
      <c r="G50" s="235"/>
      <c r="H50" s="272">
        <f>'5thMAY'!J50</f>
        <v>0.306</v>
      </c>
      <c r="I50" s="281"/>
      <c r="J50" s="282">
        <v>0.443</v>
      </c>
      <c r="K50" s="283"/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0.563</v>
      </c>
      <c r="N50" s="191"/>
      <c r="O50" s="247"/>
    </row>
    <row r="51">
      <c r="A51" s="12" t="s">
        <v>27</v>
      </c>
      <c r="B51" s="12" t="s">
        <v>24</v>
      </c>
      <c r="C51" s="271" t="str">
        <f>'5thMAY'!E51</f>
        <v/>
      </c>
      <c r="D51" s="191"/>
      <c r="E51" s="247"/>
      <c r="F51" s="235" t="s">
        <v>24</v>
      </c>
      <c r="G51" s="235"/>
      <c r="H51" s="272" t="str">
        <f>'5thMAY'!J51</f>
        <v/>
      </c>
      <c r="I51" s="281"/>
      <c r="J51" s="284"/>
      <c r="K51" s="283"/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'5thMAY'!E52</f>
        <v/>
      </c>
      <c r="D52" s="191"/>
      <c r="E52" s="280"/>
      <c r="F52" s="235" t="s">
        <v>14</v>
      </c>
      <c r="G52" s="285"/>
      <c r="H52" s="272" t="str">
        <f>'5thMAY'!J52</f>
        <v/>
      </c>
      <c r="I52" s="281"/>
      <c r="J52" s="284"/>
      <c r="K52" s="283"/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16" t="s">
        <v>30</v>
      </c>
      <c r="B53" s="12" t="s">
        <v>24</v>
      </c>
      <c r="C53" s="271" t="str">
        <f>'5thMAY'!E53</f>
        <v/>
      </c>
      <c r="D53" s="227"/>
      <c r="E53" s="280"/>
      <c r="F53" s="235" t="s">
        <v>35</v>
      </c>
      <c r="G53" s="235"/>
      <c r="H53" s="272">
        <f>'5thMAY'!J53</f>
        <v>0.685</v>
      </c>
      <c r="I53" s="281"/>
      <c r="J53" s="282">
        <v>0.678</v>
      </c>
      <c r="K53" s="283"/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0.007</v>
      </c>
      <c r="N53" s="191"/>
      <c r="O53" s="247"/>
    </row>
    <row r="54">
      <c r="A54" s="12" t="s">
        <v>33</v>
      </c>
      <c r="B54" s="12" t="s">
        <v>34</v>
      </c>
      <c r="C54" s="271" t="str">
        <f>'5thMAY'!E54</f>
        <v/>
      </c>
      <c r="D54" s="227">
        <v>1.0</v>
      </c>
      <c r="E54" s="247"/>
      <c r="F54" s="235" t="s">
        <v>35</v>
      </c>
      <c r="G54" s="235"/>
      <c r="H54" s="272">
        <f>'5thMAY'!J54</f>
        <v>0.152</v>
      </c>
      <c r="I54" s="281"/>
      <c r="J54" s="284"/>
      <c r="K54" s="283"/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0.552</v>
      </c>
      <c r="N54" s="191"/>
      <c r="O54" s="247"/>
    </row>
    <row r="55">
      <c r="A55" s="12" t="s">
        <v>37</v>
      </c>
      <c r="B55" s="12" t="s">
        <v>17</v>
      </c>
      <c r="C55" s="271" t="str">
        <f>'5thMAY'!E55</f>
        <v/>
      </c>
      <c r="D55" s="191"/>
      <c r="E55" s="247"/>
      <c r="F55" s="235" t="s">
        <v>752</v>
      </c>
      <c r="G55" s="235"/>
      <c r="H55" s="272" t="str">
        <f>'5thMAY'!J55</f>
        <v/>
      </c>
      <c r="I55" s="281"/>
      <c r="J55" s="284"/>
      <c r="K55" s="283"/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'5thMAY'!E56</f>
        <v/>
      </c>
      <c r="D56" s="191"/>
      <c r="E56" s="247"/>
      <c r="F56" s="235" t="s">
        <v>17</v>
      </c>
      <c r="G56" s="235"/>
      <c r="H56" s="272" t="str">
        <f>'5thMAY'!J56</f>
        <v/>
      </c>
      <c r="I56" s="281"/>
      <c r="J56" s="284"/>
      <c r="K56" s="283"/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0</v>
      </c>
      <c r="N56" s="191"/>
      <c r="O56" s="247"/>
    </row>
    <row r="57">
      <c r="A57" s="12" t="s">
        <v>42</v>
      </c>
      <c r="B57" s="12" t="s">
        <v>24</v>
      </c>
      <c r="C57" s="271" t="str">
        <f>'5thMAY'!E57</f>
        <v/>
      </c>
      <c r="D57" s="227">
        <v>1.0</v>
      </c>
      <c r="E57" s="280"/>
      <c r="F57" s="235" t="s">
        <v>35</v>
      </c>
      <c r="G57" s="235"/>
      <c r="H57" s="272" t="str">
        <f>'5thMAY'!J57</f>
        <v/>
      </c>
      <c r="I57" s="281"/>
      <c r="J57" s="282">
        <v>0.389</v>
      </c>
      <c r="K57" s="283"/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0.008</v>
      </c>
      <c r="N57" s="191"/>
      <c r="O57" s="247"/>
    </row>
    <row r="58">
      <c r="A58" s="12" t="s">
        <v>44</v>
      </c>
      <c r="B58" s="12" t="s">
        <v>24</v>
      </c>
      <c r="C58" s="271">
        <f>'5thMAY'!E58</f>
        <v>1</v>
      </c>
      <c r="D58" s="191"/>
      <c r="E58" s="280">
        <v>0.908</v>
      </c>
      <c r="F58" s="235" t="s">
        <v>25</v>
      </c>
      <c r="G58" s="235"/>
      <c r="H58" s="272" t="str">
        <f>'5thMAY'!J58</f>
        <v/>
      </c>
      <c r="I58" s="281"/>
      <c r="J58" s="282"/>
      <c r="K58" s="283"/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0.06532</v>
      </c>
      <c r="N58" s="191"/>
      <c r="O58" s="247"/>
    </row>
    <row r="59">
      <c r="A59" s="12" t="s">
        <v>45</v>
      </c>
      <c r="B59" s="12" t="s">
        <v>24</v>
      </c>
      <c r="C59" s="271" t="str">
        <f>'5thMAY'!E59</f>
        <v/>
      </c>
      <c r="D59" s="191"/>
      <c r="E59" s="247"/>
      <c r="F59" s="235" t="s">
        <v>25</v>
      </c>
      <c r="G59" s="235"/>
      <c r="H59" s="272">
        <f>'5thMAY'!J59</f>
        <v>0.91</v>
      </c>
      <c r="I59" s="281"/>
      <c r="J59" s="282">
        <v>0.905</v>
      </c>
      <c r="K59" s="283"/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0.005</v>
      </c>
      <c r="N59" s="191"/>
      <c r="O59" s="247"/>
    </row>
    <row r="60">
      <c r="A60" s="17" t="s">
        <v>46</v>
      </c>
      <c r="B60" s="12" t="s">
        <v>47</v>
      </c>
      <c r="C60" s="271" t="str">
        <f>'5thMAY'!E60</f>
        <v/>
      </c>
      <c r="D60" s="191"/>
      <c r="E60" s="247"/>
      <c r="F60" s="235" t="s">
        <v>51</v>
      </c>
      <c r="G60" s="235"/>
      <c r="H60" s="272" t="str">
        <f>'5thMAY'!J60</f>
        <v/>
      </c>
      <c r="I60" s="281"/>
      <c r="J60" s="284"/>
      <c r="K60" s="283"/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'5thMAY'!E61</f>
        <v/>
      </c>
      <c r="D61" s="191"/>
      <c r="E61" s="247"/>
      <c r="F61" s="235" t="s">
        <v>51</v>
      </c>
      <c r="G61" s="235"/>
      <c r="H61" s="272" t="str">
        <f>'5thMAY'!J61</f>
        <v/>
      </c>
      <c r="I61" s="281"/>
      <c r="J61" s="284"/>
      <c r="K61" s="283"/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'5thMAY'!E62</f>
        <v/>
      </c>
      <c r="D62" s="191"/>
      <c r="E62" s="247"/>
      <c r="F62" s="235" t="s">
        <v>51</v>
      </c>
      <c r="G62" s="235"/>
      <c r="H62" s="272">
        <f>'5thMAY'!J62</f>
        <v>0.545</v>
      </c>
      <c r="I62" s="281"/>
      <c r="J62" s="282">
        <v>0.54</v>
      </c>
      <c r="K62" s="283"/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0.005</v>
      </c>
      <c r="N62" s="191"/>
      <c r="O62" s="247"/>
    </row>
    <row r="63">
      <c r="A63" s="12" t="s">
        <v>53</v>
      </c>
      <c r="B63" s="12" t="s">
        <v>35</v>
      </c>
      <c r="C63" s="271" t="str">
        <f>'5thMAY'!E63</f>
        <v/>
      </c>
      <c r="D63" s="191"/>
      <c r="E63" s="247"/>
      <c r="F63" s="235" t="s">
        <v>35</v>
      </c>
      <c r="G63" s="235"/>
      <c r="H63" s="272">
        <f>'5thMAY'!J63</f>
        <v>1</v>
      </c>
      <c r="I63" s="281"/>
      <c r="J63" s="282">
        <v>0.913</v>
      </c>
      <c r="K63" s="283"/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0.087</v>
      </c>
      <c r="N63" s="191"/>
      <c r="O63" s="247"/>
    </row>
    <row r="64">
      <c r="A64" s="11" t="s">
        <v>55</v>
      </c>
      <c r="B64" s="11" t="s">
        <v>56</v>
      </c>
      <c r="C64" s="271" t="str">
        <f>'5thMAY'!E64</f>
        <v/>
      </c>
      <c r="D64" s="191"/>
      <c r="E64" s="247"/>
      <c r="F64" s="235" t="s">
        <v>14</v>
      </c>
      <c r="G64" s="235"/>
      <c r="H64" s="272" t="str">
        <f>'5thMAY'!J64</f>
        <v/>
      </c>
      <c r="I64" s="281"/>
      <c r="J64" s="284"/>
      <c r="K64" s="283"/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</v>
      </c>
      <c r="N64" s="191"/>
      <c r="O64" s="247"/>
    </row>
    <row r="65">
      <c r="A65" s="10" t="s">
        <v>57</v>
      </c>
      <c r="B65" s="11"/>
      <c r="C65" s="271" t="str">
        <f>'5thMAY'!E65</f>
        <v/>
      </c>
      <c r="D65" s="191"/>
      <c r="E65" s="247"/>
      <c r="F65" s="235"/>
      <c r="G65" s="235"/>
      <c r="H65" s="272" t="str">
        <f>'5thMAY'!J65</f>
        <v/>
      </c>
      <c r="I65" s="281"/>
      <c r="J65" s="284"/>
      <c r="K65" s="283"/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'5thMAY'!E66</f>
        <v>1</v>
      </c>
      <c r="D66" s="227">
        <v>3.0</v>
      </c>
      <c r="E66" s="280">
        <v>2.0</v>
      </c>
      <c r="F66" s="235" t="s">
        <v>35</v>
      </c>
      <c r="G66" s="235"/>
      <c r="H66" s="272" t="str">
        <f>'5thMAY'!J66</f>
        <v/>
      </c>
      <c r="I66" s="281"/>
      <c r="J66" s="282">
        <v>1.382</v>
      </c>
      <c r="K66" s="283"/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2.618</v>
      </c>
      <c r="N66" s="191"/>
      <c r="O66" s="247"/>
    </row>
    <row r="67">
      <c r="A67" s="12" t="s">
        <v>61</v>
      </c>
      <c r="B67" s="12" t="s">
        <v>59</v>
      </c>
      <c r="C67" s="271">
        <f>'5thMAY'!E67</f>
        <v>1</v>
      </c>
      <c r="D67" s="191"/>
      <c r="E67" s="247"/>
      <c r="F67" s="235" t="s">
        <v>35</v>
      </c>
      <c r="G67" s="235"/>
      <c r="H67" s="272" t="str">
        <f>'5thMAY'!J67</f>
        <v/>
      </c>
      <c r="I67" s="281"/>
      <c r="J67" s="282">
        <v>0.1</v>
      </c>
      <c r="K67" s="283"/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</v>
      </c>
      <c r="N67" s="191"/>
      <c r="O67" s="247"/>
    </row>
    <row r="68">
      <c r="A68" s="12" t="s">
        <v>62</v>
      </c>
      <c r="B68" s="12" t="s">
        <v>35</v>
      </c>
      <c r="C68" s="271">
        <f>'5thMAY'!E68</f>
        <v>5</v>
      </c>
      <c r="D68" s="227"/>
      <c r="E68" s="280"/>
      <c r="F68" s="235" t="s">
        <v>35</v>
      </c>
      <c r="G68" s="235"/>
      <c r="H68" s="272" t="str">
        <f>'5thMAY'!J68</f>
        <v/>
      </c>
      <c r="I68" s="281"/>
      <c r="J68" s="284"/>
      <c r="K68" s="283"/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5</v>
      </c>
      <c r="N68" s="191"/>
      <c r="O68" s="247"/>
    </row>
    <row r="69">
      <c r="A69" s="12" t="s">
        <v>64</v>
      </c>
      <c r="B69" s="12" t="s">
        <v>59</v>
      </c>
      <c r="C69" s="271" t="str">
        <f>'5thMAY'!E69</f>
        <v/>
      </c>
      <c r="D69" s="227">
        <v>1.0</v>
      </c>
      <c r="E69" s="247"/>
      <c r="F69" s="235" t="s">
        <v>35</v>
      </c>
      <c r="G69" s="235"/>
      <c r="H69" s="272">
        <f>'5thMAY'!J69</f>
        <v>0.065</v>
      </c>
      <c r="I69" s="281"/>
      <c r="J69" s="282">
        <v>0.0373</v>
      </c>
      <c r="K69" s="283"/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0.4277</v>
      </c>
      <c r="N69" s="191"/>
      <c r="O69" s="247"/>
    </row>
    <row r="70">
      <c r="A70" s="10" t="s">
        <v>65</v>
      </c>
      <c r="B70" s="11"/>
      <c r="C70" s="271" t="str">
        <f>'5thMAY'!E70</f>
        <v/>
      </c>
      <c r="D70" s="191"/>
      <c r="E70" s="247"/>
      <c r="F70" s="235"/>
      <c r="G70" s="235"/>
      <c r="H70" s="272" t="str">
        <f>'5thMAY'!J70</f>
        <v/>
      </c>
      <c r="I70" s="281"/>
      <c r="J70" s="284"/>
      <c r="K70" s="283"/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'5thMAY'!E71</f>
        <v/>
      </c>
      <c r="D71" s="227">
        <v>1.0</v>
      </c>
      <c r="E71" s="247"/>
      <c r="F71" s="235" t="s">
        <v>25</v>
      </c>
      <c r="G71" s="285">
        <v>3.5</v>
      </c>
      <c r="H71" s="272" t="str">
        <f>'5thMAY'!J71</f>
        <v/>
      </c>
      <c r="I71" s="281"/>
      <c r="J71" s="282"/>
      <c r="K71" s="283"/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21.9</v>
      </c>
      <c r="N71" s="191"/>
      <c r="O71" s="247"/>
    </row>
    <row r="72">
      <c r="A72" s="12" t="s">
        <v>68</v>
      </c>
      <c r="B72" s="12" t="s">
        <v>35</v>
      </c>
      <c r="C72" s="271" t="str">
        <f>'5thMAY'!E72</f>
        <v/>
      </c>
      <c r="D72" s="227"/>
      <c r="E72" s="247"/>
      <c r="F72" s="235" t="s">
        <v>35</v>
      </c>
      <c r="G72" s="235"/>
      <c r="H72" s="272">
        <f>'5thMAY'!J72</f>
        <v>0.212</v>
      </c>
      <c r="I72" s="281"/>
      <c r="J72" s="284"/>
      <c r="K72" s="283"/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0.212</v>
      </c>
      <c r="N72" s="191"/>
      <c r="O72" s="247"/>
    </row>
    <row r="73">
      <c r="A73" s="12" t="s">
        <v>70</v>
      </c>
      <c r="B73" s="12" t="s">
        <v>35</v>
      </c>
      <c r="C73" s="271" t="str">
        <f>'5thMAY'!E73</f>
        <v/>
      </c>
      <c r="D73" s="191"/>
      <c r="E73" s="247"/>
      <c r="F73" s="235" t="s">
        <v>35</v>
      </c>
      <c r="G73" s="235"/>
      <c r="H73" s="272" t="str">
        <f>'5thMAY'!J73</f>
        <v/>
      </c>
      <c r="I73" s="281"/>
      <c r="J73" s="284"/>
      <c r="K73" s="283"/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>
        <f>'5thMAY'!E74</f>
        <v>1</v>
      </c>
      <c r="D74" s="227">
        <v>1.0</v>
      </c>
      <c r="E74" s="247"/>
      <c r="F74" s="235" t="s">
        <v>25</v>
      </c>
      <c r="G74" s="235"/>
      <c r="H74" s="272" t="str">
        <f>'5thMAY'!J74</f>
        <v/>
      </c>
      <c r="I74" s="281"/>
      <c r="J74" s="282">
        <v>0.684</v>
      </c>
      <c r="K74" s="283"/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1.316</v>
      </c>
      <c r="N74" s="191"/>
      <c r="O74" s="247"/>
    </row>
    <row r="75">
      <c r="A75" s="12" t="s">
        <v>74</v>
      </c>
      <c r="B75" s="12" t="s">
        <v>17</v>
      </c>
      <c r="C75" s="271" t="str">
        <f>'5thMAY'!E75</f>
        <v/>
      </c>
      <c r="D75" s="191"/>
      <c r="E75" s="247"/>
      <c r="F75" s="235" t="s">
        <v>25</v>
      </c>
      <c r="G75" s="235"/>
      <c r="H75" s="272" t="str">
        <f>'5thMAY'!J75</f>
        <v/>
      </c>
      <c r="I75" s="281"/>
      <c r="J75" s="284"/>
      <c r="K75" s="283"/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</v>
      </c>
      <c r="N75" s="191"/>
      <c r="O75" s="247"/>
    </row>
    <row r="76">
      <c r="A76" s="12" t="s">
        <v>76</v>
      </c>
      <c r="B76" s="12" t="s">
        <v>72</v>
      </c>
      <c r="C76" s="271" t="str">
        <f>'5thMAY'!E76</f>
        <v/>
      </c>
      <c r="D76" s="191"/>
      <c r="E76" s="247"/>
      <c r="F76" s="235" t="s">
        <v>35</v>
      </c>
      <c r="G76" s="235"/>
      <c r="H76" s="272">
        <v>1.0</v>
      </c>
      <c r="I76" s="281"/>
      <c r="J76" s="282">
        <v>1.0</v>
      </c>
      <c r="K76" s="283"/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'5thMAY'!E77</f>
        <v/>
      </c>
      <c r="D77" s="191"/>
      <c r="E77" s="247"/>
      <c r="F77" s="235" t="s">
        <v>25</v>
      </c>
      <c r="G77" s="235"/>
      <c r="H77" s="272">
        <f>'5thMAY'!J77</f>
        <v>0.949</v>
      </c>
      <c r="I77" s="281"/>
      <c r="J77" s="282">
        <v>0.648</v>
      </c>
      <c r="K77" s="283"/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0.301</v>
      </c>
      <c r="N77" s="191"/>
      <c r="O77" s="247"/>
    </row>
    <row r="78">
      <c r="A78" s="12" t="s">
        <v>80</v>
      </c>
      <c r="B78" s="12" t="s">
        <v>56</v>
      </c>
      <c r="C78" s="271" t="str">
        <f>'5thMAY'!E78</f>
        <v/>
      </c>
      <c r="D78" s="191"/>
      <c r="E78" s="247"/>
      <c r="F78" s="235" t="s">
        <v>35</v>
      </c>
      <c r="G78" s="235"/>
      <c r="H78" s="272" t="str">
        <f>'5thMAY'!J78</f>
        <v/>
      </c>
      <c r="I78" s="281"/>
      <c r="J78" s="284"/>
      <c r="K78" s="283"/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'5thMAY'!E79</f>
        <v/>
      </c>
      <c r="D79" s="191"/>
      <c r="E79" s="247"/>
      <c r="F79" s="235" t="s">
        <v>35</v>
      </c>
      <c r="G79" s="235"/>
      <c r="H79" s="272" t="str">
        <f>'5thMAY'!J79</f>
        <v/>
      </c>
      <c r="I79" s="281"/>
      <c r="J79" s="282"/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</v>
      </c>
      <c r="N79" s="191"/>
      <c r="O79" s="247"/>
    </row>
    <row r="80">
      <c r="A80" s="10" t="s">
        <v>85</v>
      </c>
      <c r="B80" s="11"/>
      <c r="C80" s="271" t="str">
        <f>'5thMAY'!E80</f>
        <v/>
      </c>
      <c r="D80" s="191"/>
      <c r="E80" s="247"/>
      <c r="F80" s="235"/>
      <c r="G80" s="235"/>
      <c r="H80" s="272" t="str">
        <f>'5thMAY'!J80</f>
        <v/>
      </c>
      <c r="I80" s="281"/>
      <c r="J80" s="284"/>
      <c r="K80" s="283"/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'5thMAY'!E81</f>
        <v/>
      </c>
      <c r="D81" s="227">
        <v>1.0</v>
      </c>
      <c r="E81" s="247"/>
      <c r="F81" s="235" t="s">
        <v>25</v>
      </c>
      <c r="G81" s="235"/>
      <c r="H81" s="272">
        <f>'5thMAY'!J81</f>
        <v>0.3</v>
      </c>
      <c r="I81" s="281"/>
      <c r="J81" s="282">
        <v>0.646</v>
      </c>
      <c r="K81" s="283"/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0.154</v>
      </c>
      <c r="N81" s="191"/>
      <c r="O81" s="247"/>
    </row>
    <row r="82">
      <c r="A82" s="12" t="s">
        <v>87</v>
      </c>
      <c r="B82" s="12" t="s">
        <v>83</v>
      </c>
      <c r="C82" s="271" t="str">
        <f>'5thMAY'!E82</f>
        <v/>
      </c>
      <c r="D82" s="227"/>
      <c r="E82" s="280"/>
      <c r="F82" s="235" t="s">
        <v>25</v>
      </c>
      <c r="G82" s="235"/>
      <c r="H82" s="272">
        <f>'5thMAY'!J82</f>
        <v>1.146</v>
      </c>
      <c r="I82" s="281"/>
      <c r="J82" s="282">
        <f>0.318+0.67</f>
        <v>0.988</v>
      </c>
      <c r="K82" s="283"/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0.158</v>
      </c>
      <c r="N82" s="191"/>
      <c r="O82" s="247"/>
    </row>
    <row r="83">
      <c r="A83" s="12" t="s">
        <v>88</v>
      </c>
      <c r="B83" s="12" t="s">
        <v>83</v>
      </c>
      <c r="C83" s="271" t="str">
        <f>'5thMAY'!E83</f>
        <v/>
      </c>
      <c r="D83" s="191"/>
      <c r="E83" s="247"/>
      <c r="F83" s="235" t="s">
        <v>25</v>
      </c>
      <c r="G83" s="285">
        <v>0.833</v>
      </c>
      <c r="H83" s="272">
        <f>'5thMAY'!J83</f>
        <v>0.687</v>
      </c>
      <c r="I83" s="281"/>
      <c r="J83" s="282">
        <v>0.833</v>
      </c>
      <c r="K83" s="283"/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0.687</v>
      </c>
      <c r="N83" s="191"/>
      <c r="O83" s="247"/>
    </row>
    <row r="84">
      <c r="A84" s="12" t="s">
        <v>89</v>
      </c>
      <c r="B84" s="12" t="s">
        <v>83</v>
      </c>
      <c r="C84" s="271" t="str">
        <f>'5thMAY'!E84</f>
        <v/>
      </c>
      <c r="D84" s="191"/>
      <c r="E84" s="280"/>
      <c r="F84" s="235" t="s">
        <v>25</v>
      </c>
      <c r="G84" s="235"/>
      <c r="H84" s="272">
        <f>'5thMAY'!J84</f>
        <v>0.763</v>
      </c>
      <c r="I84" s="281"/>
      <c r="J84" s="282">
        <v>0.608</v>
      </c>
      <c r="K84" s="283"/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0.155</v>
      </c>
      <c r="N84" s="191"/>
      <c r="O84" s="247"/>
    </row>
    <row r="85">
      <c r="A85" s="12" t="s">
        <v>90</v>
      </c>
      <c r="B85" s="12" t="s">
        <v>24</v>
      </c>
      <c r="C85" s="271" t="str">
        <f>'5thMAY'!E85</f>
        <v/>
      </c>
      <c r="D85" s="191"/>
      <c r="E85" s="280"/>
      <c r="F85" s="235" t="s">
        <v>25</v>
      </c>
      <c r="G85" s="235"/>
      <c r="H85" s="272">
        <f>'5thMAY'!J85</f>
        <v>0.154</v>
      </c>
      <c r="I85" s="281"/>
      <c r="J85" s="282">
        <v>0.056</v>
      </c>
      <c r="K85" s="283"/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0.098</v>
      </c>
      <c r="N85" s="191"/>
      <c r="O85" s="247"/>
    </row>
    <row r="86">
      <c r="A86" s="12" t="s">
        <v>91</v>
      </c>
      <c r="B86" s="12" t="s">
        <v>56</v>
      </c>
      <c r="C86" s="271" t="str">
        <f>'5thMAY'!E86</f>
        <v/>
      </c>
      <c r="D86" s="227"/>
      <c r="E86" s="280"/>
      <c r="F86" s="235" t="s">
        <v>25</v>
      </c>
      <c r="G86" s="235"/>
      <c r="H86" s="272">
        <f>'5thMAY'!J86</f>
        <v>2</v>
      </c>
      <c r="I86" s="281"/>
      <c r="J86" s="282">
        <v>1.0</v>
      </c>
      <c r="K86" s="283"/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1</v>
      </c>
      <c r="N86" s="191"/>
      <c r="O86" s="247"/>
    </row>
    <row r="87">
      <c r="A87" s="12" t="s">
        <v>92</v>
      </c>
      <c r="B87" s="12" t="s">
        <v>83</v>
      </c>
      <c r="C87" s="271" t="str">
        <f>'5thMAY'!E87</f>
        <v/>
      </c>
      <c r="D87" s="191"/>
      <c r="E87" s="247"/>
      <c r="F87" s="235" t="s">
        <v>25</v>
      </c>
      <c r="G87" s="235"/>
      <c r="H87" s="272">
        <f>'5thMAY'!J87</f>
        <v>0.634</v>
      </c>
      <c r="I87" s="281"/>
      <c r="J87" s="282">
        <v>0.62</v>
      </c>
      <c r="K87" s="283"/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0.014</v>
      </c>
      <c r="N87" s="191"/>
      <c r="O87" s="247"/>
    </row>
    <row r="88">
      <c r="A88" s="12" t="s">
        <v>93</v>
      </c>
      <c r="B88" s="12" t="s">
        <v>83</v>
      </c>
      <c r="C88" s="271" t="str">
        <f>'5thMAY'!E88</f>
        <v/>
      </c>
      <c r="D88" s="191"/>
      <c r="E88" s="247"/>
      <c r="F88" s="235" t="s">
        <v>25</v>
      </c>
      <c r="G88" s="235"/>
      <c r="H88" s="272">
        <f>'5thMAY'!J88</f>
        <v>0.82</v>
      </c>
      <c r="I88" s="281"/>
      <c r="J88" s="282">
        <v>0.812</v>
      </c>
      <c r="K88" s="283"/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0.008</v>
      </c>
      <c r="N88" s="191"/>
      <c r="O88" s="247"/>
    </row>
    <row r="89">
      <c r="A89" s="12" t="s">
        <v>95</v>
      </c>
      <c r="B89" s="12" t="s">
        <v>83</v>
      </c>
      <c r="C89" s="271" t="str">
        <f>'5thMAY'!E89</f>
        <v/>
      </c>
      <c r="D89" s="191"/>
      <c r="E89" s="247"/>
      <c r="F89" s="235" t="s">
        <v>25</v>
      </c>
      <c r="G89" s="235"/>
      <c r="H89" s="272">
        <f>'5thMAY'!J89</f>
        <v>1.071</v>
      </c>
      <c r="I89" s="281"/>
      <c r="J89" s="282">
        <v>0.966</v>
      </c>
      <c r="K89" s="283"/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0.105</v>
      </c>
      <c r="N89" s="191"/>
      <c r="O89" s="247"/>
    </row>
    <row r="90">
      <c r="A90" s="10" t="s">
        <v>96</v>
      </c>
      <c r="B90" s="11"/>
      <c r="C90" s="271" t="str">
        <f>'5thMAY'!E90</f>
        <v/>
      </c>
      <c r="D90" s="191"/>
      <c r="E90" s="247"/>
      <c r="F90" s="235"/>
      <c r="G90" s="235"/>
      <c r="H90" s="272" t="str">
        <f>'5thMAY'!J90</f>
        <v/>
      </c>
      <c r="I90" s="281"/>
      <c r="J90" s="284"/>
      <c r="K90" s="283"/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'5thMAY'!E91</f>
        <v/>
      </c>
      <c r="D91" s="191"/>
      <c r="E91" s="247"/>
      <c r="F91" s="235" t="s">
        <v>35</v>
      </c>
      <c r="G91" s="235"/>
      <c r="H91" s="272" t="str">
        <f>'5thMAY'!J91</f>
        <v/>
      </c>
      <c r="I91" s="281"/>
      <c r="J91" s="284"/>
      <c r="K91" s="283"/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'5thMAY'!E92</f>
        <v/>
      </c>
      <c r="D92" s="191"/>
      <c r="E92" s="247"/>
      <c r="F92" s="235" t="s">
        <v>35</v>
      </c>
      <c r="G92" s="235"/>
      <c r="H92" s="272">
        <f>'5thMAY'!J92</f>
        <v>0.465</v>
      </c>
      <c r="I92" s="281"/>
      <c r="J92" s="282">
        <v>0.465</v>
      </c>
      <c r="K92" s="283"/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</v>
      </c>
      <c r="N92" s="191"/>
      <c r="O92" s="247"/>
    </row>
    <row r="93">
      <c r="A93" s="12" t="s">
        <v>100</v>
      </c>
      <c r="B93" s="12" t="s">
        <v>40</v>
      </c>
      <c r="C93" s="271" t="str">
        <f>'5thMAY'!E93</f>
        <v/>
      </c>
      <c r="D93" s="191"/>
      <c r="E93" s="247"/>
      <c r="F93" s="235" t="s">
        <v>35</v>
      </c>
      <c r="G93" s="235"/>
      <c r="H93" s="272">
        <f>'5thMAY'!J93</f>
        <v>0.259</v>
      </c>
      <c r="I93" s="281"/>
      <c r="J93" s="282">
        <v>0.249</v>
      </c>
      <c r="K93" s="283"/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0.01</v>
      </c>
      <c r="N93" s="191"/>
      <c r="O93" s="247"/>
    </row>
    <row r="94">
      <c r="A94" s="12" t="s">
        <v>101</v>
      </c>
      <c r="B94" s="12" t="s">
        <v>40</v>
      </c>
      <c r="C94" s="271" t="str">
        <f>'5thMAY'!E94</f>
        <v/>
      </c>
      <c r="D94" s="191"/>
      <c r="E94" s="247"/>
      <c r="F94" s="235" t="s">
        <v>35</v>
      </c>
      <c r="G94" s="235"/>
      <c r="H94" s="272" t="str">
        <f>'5thMAY'!J94</f>
        <v/>
      </c>
      <c r="I94" s="281"/>
      <c r="J94" s="284"/>
      <c r="K94" s="283"/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'5thMAY'!E95</f>
        <v/>
      </c>
      <c r="D95" s="191"/>
      <c r="E95" s="247"/>
      <c r="F95" s="235" t="s">
        <v>35</v>
      </c>
      <c r="G95" s="235"/>
      <c r="H95" s="272">
        <f>'5thMAY'!J95</f>
        <v>0.218</v>
      </c>
      <c r="I95" s="281"/>
      <c r="J95" s="282">
        <v>0.209</v>
      </c>
      <c r="K95" s="283"/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0.009</v>
      </c>
      <c r="N95" s="191"/>
      <c r="O95" s="247"/>
    </row>
    <row r="96">
      <c r="A96" s="12" t="s">
        <v>103</v>
      </c>
      <c r="B96" s="12" t="s">
        <v>40</v>
      </c>
      <c r="C96" s="271" t="str">
        <f>'5thMAY'!E96</f>
        <v/>
      </c>
      <c r="D96" s="191"/>
      <c r="E96" s="247"/>
      <c r="F96" s="235" t="s">
        <v>35</v>
      </c>
      <c r="G96" s="235"/>
      <c r="H96" s="272" t="str">
        <f>'5thMAY'!J96</f>
        <v/>
      </c>
      <c r="I96" s="281"/>
      <c r="J96" s="282"/>
      <c r="K96" s="283"/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71" t="str">
        <f>'5thMAY'!E97</f>
        <v/>
      </c>
      <c r="D97" s="191"/>
      <c r="E97" s="247"/>
      <c r="F97" s="235" t="s">
        <v>35</v>
      </c>
      <c r="G97" s="235"/>
      <c r="H97" s="272" t="str">
        <f>'5thMAY'!J97</f>
        <v/>
      </c>
      <c r="I97" s="281"/>
      <c r="J97" s="284"/>
      <c r="K97" s="283"/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'5thMAY'!E98</f>
        <v/>
      </c>
      <c r="D98" s="191"/>
      <c r="E98" s="247"/>
      <c r="F98" s="235" t="s">
        <v>35</v>
      </c>
      <c r="G98" s="235"/>
      <c r="H98" s="272">
        <f>'5thMAY'!J98</f>
        <v>0.508</v>
      </c>
      <c r="I98" s="281"/>
      <c r="J98" s="282">
        <v>0.475</v>
      </c>
      <c r="K98" s="283"/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0.033</v>
      </c>
      <c r="N98" s="191"/>
      <c r="O98" s="247"/>
    </row>
    <row r="99">
      <c r="A99" s="12" t="s">
        <v>108</v>
      </c>
      <c r="B99" s="12" t="s">
        <v>40</v>
      </c>
      <c r="C99" s="271" t="str">
        <f>'5thMAY'!E99</f>
        <v/>
      </c>
      <c r="D99" s="191"/>
      <c r="E99" s="247"/>
      <c r="F99" s="235" t="s">
        <v>35</v>
      </c>
      <c r="G99" s="235"/>
      <c r="H99" s="272">
        <f>'5thMAY'!J99</f>
        <v>0.514</v>
      </c>
      <c r="I99" s="281"/>
      <c r="J99" s="282">
        <v>0.514</v>
      </c>
      <c r="K99" s="283"/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</v>
      </c>
      <c r="N99" s="191"/>
      <c r="O99" s="247"/>
    </row>
    <row r="100">
      <c r="A100" s="12" t="s">
        <v>109</v>
      </c>
      <c r="B100" s="12" t="s">
        <v>40</v>
      </c>
      <c r="C100" s="271" t="str">
        <f>'5thMAY'!E100</f>
        <v/>
      </c>
      <c r="D100" s="191"/>
      <c r="E100" s="247"/>
      <c r="F100" s="235" t="s">
        <v>35</v>
      </c>
      <c r="G100" s="235"/>
      <c r="H100" s="272">
        <f>'5thMAY'!J100</f>
        <v>0.406</v>
      </c>
      <c r="I100" s="281"/>
      <c r="J100" s="282">
        <v>0.396</v>
      </c>
      <c r="K100" s="283"/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0.01</v>
      </c>
      <c r="N100" s="191"/>
      <c r="O100" s="247"/>
    </row>
    <row r="101">
      <c r="A101" s="12" t="s">
        <v>110</v>
      </c>
      <c r="B101" s="12" t="s">
        <v>40</v>
      </c>
      <c r="C101" s="271" t="str">
        <f>'5thMAY'!E101</f>
        <v/>
      </c>
      <c r="D101" s="191"/>
      <c r="E101" s="247"/>
      <c r="F101" s="235" t="s">
        <v>35</v>
      </c>
      <c r="G101" s="235"/>
      <c r="H101" s="272">
        <f>'5thMAY'!J101</f>
        <v>0.25</v>
      </c>
      <c r="I101" s="281"/>
      <c r="J101" s="282">
        <v>0.23</v>
      </c>
      <c r="K101" s="283"/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0.02</v>
      </c>
      <c r="N101" s="191"/>
      <c r="O101" s="247"/>
    </row>
    <row r="102">
      <c r="A102" s="12" t="s">
        <v>111</v>
      </c>
      <c r="B102" s="12" t="s">
        <v>40</v>
      </c>
      <c r="C102" s="271" t="str">
        <f>'5thMAY'!E102</f>
        <v/>
      </c>
      <c r="D102" s="191"/>
      <c r="E102" s="247"/>
      <c r="F102" s="235" t="s">
        <v>35</v>
      </c>
      <c r="G102" s="235"/>
      <c r="H102" s="272" t="str">
        <f>'5thMAY'!J102</f>
        <v/>
      </c>
      <c r="I102" s="281"/>
      <c r="J102" s="284"/>
      <c r="K102" s="283"/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>
        <v>2.0</v>
      </c>
      <c r="D103" s="191"/>
      <c r="E103" s="280">
        <v>2.0</v>
      </c>
      <c r="F103" s="235" t="s">
        <v>35</v>
      </c>
      <c r="G103" s="235"/>
      <c r="H103" s="272">
        <f>'5thMAY'!J103</f>
        <v>0.129</v>
      </c>
      <c r="I103" s="281"/>
      <c r="J103" s="282"/>
      <c r="K103" s="283"/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0.129</v>
      </c>
      <c r="N103" s="191"/>
      <c r="O103" s="247"/>
    </row>
    <row r="104">
      <c r="A104" s="12" t="s">
        <v>114</v>
      </c>
      <c r="B104" s="12" t="s">
        <v>40</v>
      </c>
      <c r="C104" s="271" t="str">
        <f>'5thMAY'!E104</f>
        <v/>
      </c>
      <c r="D104" s="191"/>
      <c r="E104" s="247"/>
      <c r="F104" s="235" t="s">
        <v>35</v>
      </c>
      <c r="G104" s="285"/>
      <c r="H104" s="272">
        <f>'5thMAY'!J104</f>
        <v>0.457</v>
      </c>
      <c r="I104" s="281"/>
      <c r="J104" s="282">
        <v>0.45</v>
      </c>
      <c r="K104" s="283"/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0.007</v>
      </c>
      <c r="N104" s="191"/>
      <c r="O104" s="247"/>
    </row>
    <row r="105">
      <c r="A105" s="12" t="s">
        <v>116</v>
      </c>
      <c r="B105" s="12" t="s">
        <v>40</v>
      </c>
      <c r="C105" s="271" t="str">
        <f>'5thMAY'!E105</f>
        <v/>
      </c>
      <c r="D105" s="191"/>
      <c r="E105" s="247"/>
      <c r="F105" s="235" t="s">
        <v>35</v>
      </c>
      <c r="G105" s="235"/>
      <c r="H105" s="272" t="str">
        <f>'5thMAY'!J105</f>
        <v/>
      </c>
      <c r="I105" s="281"/>
      <c r="J105" s="284"/>
      <c r="K105" s="283"/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'5thMAY'!E106</f>
        <v/>
      </c>
      <c r="D106" s="191"/>
      <c r="E106" s="247"/>
      <c r="F106" s="235" t="s">
        <v>35</v>
      </c>
      <c r="G106" s="285"/>
      <c r="H106" s="272">
        <f>'5thMAY'!J106</f>
        <v>0.301</v>
      </c>
      <c r="I106" s="281"/>
      <c r="J106" s="282">
        <v>0.285</v>
      </c>
      <c r="K106" s="283"/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0.016</v>
      </c>
      <c r="N106" s="191"/>
      <c r="O106" s="247"/>
    </row>
    <row r="107">
      <c r="A107" s="12" t="s">
        <v>118</v>
      </c>
      <c r="B107" s="12" t="s">
        <v>40</v>
      </c>
      <c r="C107" s="271" t="str">
        <f>'5thMAY'!E107</f>
        <v/>
      </c>
      <c r="D107" s="191"/>
      <c r="E107" s="247"/>
      <c r="F107" s="235" t="s">
        <v>35</v>
      </c>
      <c r="G107" s="235"/>
      <c r="H107" s="272">
        <f>'5thMAY'!J107</f>
        <v>0.149</v>
      </c>
      <c r="I107" s="281"/>
      <c r="J107" s="282">
        <v>0.141</v>
      </c>
      <c r="K107" s="283"/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0.008</v>
      </c>
      <c r="N107" s="191"/>
      <c r="O107" s="247"/>
    </row>
    <row r="108">
      <c r="A108" s="12" t="s">
        <v>119</v>
      </c>
      <c r="B108" s="12" t="s">
        <v>40</v>
      </c>
      <c r="C108" s="271" t="str">
        <f>'5thMAY'!E108</f>
        <v/>
      </c>
      <c r="D108" s="191"/>
      <c r="E108" s="247"/>
      <c r="F108" s="235" t="s">
        <v>35</v>
      </c>
      <c r="G108" s="235"/>
      <c r="H108" s="272">
        <f>'5thMAY'!J108</f>
        <v>0.744</v>
      </c>
      <c r="I108" s="281"/>
      <c r="J108" s="284">
        <f>0.239+0.5</f>
        <v>0.739</v>
      </c>
      <c r="K108" s="283"/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0.005</v>
      </c>
      <c r="N108" s="191"/>
      <c r="O108" s="247"/>
    </row>
    <row r="109">
      <c r="A109" s="12" t="s">
        <v>120</v>
      </c>
      <c r="B109" s="12" t="s">
        <v>40</v>
      </c>
      <c r="C109" s="271" t="str">
        <f>'5thMAY'!E109</f>
        <v/>
      </c>
      <c r="D109" s="191"/>
      <c r="E109" s="247"/>
      <c r="F109" s="235" t="s">
        <v>35</v>
      </c>
      <c r="G109" s="235"/>
      <c r="H109" s="272">
        <f>'5thMAY'!J109</f>
        <v>0.131</v>
      </c>
      <c r="I109" s="281"/>
      <c r="J109" s="282">
        <v>0.111</v>
      </c>
      <c r="K109" s="283"/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0.02</v>
      </c>
      <c r="N109" s="191"/>
      <c r="O109" s="247"/>
    </row>
    <row r="110">
      <c r="A110" s="12" t="s">
        <v>121</v>
      </c>
      <c r="B110" s="12" t="s">
        <v>40</v>
      </c>
      <c r="C110" s="271" t="str">
        <f>'5thMAY'!E110</f>
        <v/>
      </c>
      <c r="D110" s="227">
        <v>1.0</v>
      </c>
      <c r="E110" s="247"/>
      <c r="F110" s="235" t="s">
        <v>35</v>
      </c>
      <c r="G110" s="285">
        <v>0.35</v>
      </c>
      <c r="H110" s="272" t="str">
        <f>'5thMAY'!J110</f>
        <v/>
      </c>
      <c r="I110" s="281"/>
      <c r="J110" s="282">
        <v>0.35</v>
      </c>
      <c r="K110" s="283"/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1</v>
      </c>
      <c r="N110" s="191"/>
      <c r="O110" s="247"/>
    </row>
    <row r="111">
      <c r="A111" s="12" t="s">
        <v>122</v>
      </c>
      <c r="B111" s="12" t="s">
        <v>40</v>
      </c>
      <c r="C111" s="271" t="str">
        <f>'5thMAY'!E111</f>
        <v/>
      </c>
      <c r="D111" s="191"/>
      <c r="E111" s="247"/>
      <c r="F111" s="235" t="s">
        <v>35</v>
      </c>
      <c r="G111" s="235"/>
      <c r="H111" s="272" t="str">
        <f>'5thMAY'!J111</f>
        <v/>
      </c>
      <c r="I111" s="281"/>
      <c r="J111" s="284"/>
      <c r="K111" s="283"/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'5thMAY'!E112</f>
        <v/>
      </c>
      <c r="D112" s="227">
        <v>1.0</v>
      </c>
      <c r="E112" s="247"/>
      <c r="F112" s="235" t="s">
        <v>35</v>
      </c>
      <c r="G112" s="235"/>
      <c r="H112" s="272">
        <f>'5thMAY'!J112</f>
        <v>0.037</v>
      </c>
      <c r="I112" s="281"/>
      <c r="J112" s="282">
        <v>0.037</v>
      </c>
      <c r="K112" s="283"/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1</v>
      </c>
      <c r="N112" s="191"/>
      <c r="O112" s="247"/>
    </row>
    <row r="113">
      <c r="A113" s="12" t="s">
        <v>124</v>
      </c>
      <c r="B113" s="12" t="s">
        <v>40</v>
      </c>
      <c r="C113" s="271" t="str">
        <f>'5thMAY'!E113</f>
        <v/>
      </c>
      <c r="D113" s="191"/>
      <c r="E113" s="247"/>
      <c r="F113" s="235" t="s">
        <v>35</v>
      </c>
      <c r="G113" s="235"/>
      <c r="H113" s="272">
        <f>'5thMAY'!J113</f>
        <v>0.122</v>
      </c>
      <c r="I113" s="281"/>
      <c r="J113" s="282">
        <v>0.116</v>
      </c>
      <c r="K113" s="283"/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0.006</v>
      </c>
      <c r="N113" s="191"/>
      <c r="O113" s="247"/>
    </row>
    <row r="114">
      <c r="A114" s="12" t="s">
        <v>125</v>
      </c>
      <c r="B114" s="12" t="s">
        <v>40</v>
      </c>
      <c r="C114" s="271" t="str">
        <f>'5thMAY'!E114</f>
        <v/>
      </c>
      <c r="D114" s="191"/>
      <c r="E114" s="247"/>
      <c r="F114" s="235" t="s">
        <v>35</v>
      </c>
      <c r="G114" s="235"/>
      <c r="H114" s="272" t="str">
        <f>'5thMAY'!J114</f>
        <v/>
      </c>
      <c r="I114" s="281"/>
      <c r="J114" s="284"/>
      <c r="K114" s="283"/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'5thMAY'!E115</f>
        <v/>
      </c>
      <c r="D115" s="191"/>
      <c r="E115" s="247"/>
      <c r="F115" s="235" t="s">
        <v>35</v>
      </c>
      <c r="G115" s="235"/>
      <c r="H115" s="272">
        <f>'5thMAY'!J115</f>
        <v>0.845</v>
      </c>
      <c r="I115" s="281"/>
      <c r="J115" s="282">
        <f>0.262+0.503</f>
        <v>0.765</v>
      </c>
      <c r="K115" s="283"/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0.08</v>
      </c>
      <c r="N115" s="191"/>
      <c r="O115" s="247"/>
    </row>
    <row r="116">
      <c r="A116" s="12" t="s">
        <v>127</v>
      </c>
      <c r="B116" s="12" t="s">
        <v>40</v>
      </c>
      <c r="C116" s="271" t="str">
        <f>'5thMAY'!E116</f>
        <v/>
      </c>
      <c r="D116" s="191"/>
      <c r="E116" s="247"/>
      <c r="F116" s="235" t="s">
        <v>35</v>
      </c>
      <c r="G116" s="235"/>
      <c r="H116" s="272">
        <f>'5thMAY'!J116</f>
        <v>0.076</v>
      </c>
      <c r="I116" s="281"/>
      <c r="J116" s="282">
        <v>0.075</v>
      </c>
      <c r="K116" s="283"/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0.001</v>
      </c>
      <c r="N116" s="191"/>
      <c r="O116" s="247"/>
    </row>
    <row r="117">
      <c r="A117" s="12" t="s">
        <v>128</v>
      </c>
      <c r="B117" s="12" t="s">
        <v>40</v>
      </c>
      <c r="C117" s="271" t="str">
        <f>'5thMAY'!E117</f>
        <v/>
      </c>
      <c r="D117" s="191"/>
      <c r="E117" s="247"/>
      <c r="F117" s="235" t="s">
        <v>35</v>
      </c>
      <c r="G117" s="235"/>
      <c r="H117" s="272">
        <f>'5thMAY'!J117</f>
        <v>0.04</v>
      </c>
      <c r="I117" s="281"/>
      <c r="J117" s="282">
        <v>0.04</v>
      </c>
      <c r="K117" s="283"/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</v>
      </c>
      <c r="N117" s="191"/>
      <c r="O117" s="247"/>
    </row>
    <row r="118">
      <c r="A118" s="12" t="s">
        <v>129</v>
      </c>
      <c r="B118" s="12" t="s">
        <v>40</v>
      </c>
      <c r="C118" s="271" t="str">
        <f>'5thMAY'!E118</f>
        <v/>
      </c>
      <c r="D118" s="191"/>
      <c r="E118" s="247"/>
      <c r="F118" s="235" t="s">
        <v>35</v>
      </c>
      <c r="G118" s="235"/>
      <c r="H118" s="272">
        <f>'5thMAY'!J118</f>
        <v>1</v>
      </c>
      <c r="I118" s="281"/>
      <c r="J118" s="282">
        <v>1.0</v>
      </c>
      <c r="K118" s="283"/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71" t="str">
        <f>'5thMAY'!E119</f>
        <v/>
      </c>
      <c r="D119" s="191"/>
      <c r="E119" s="247"/>
      <c r="F119" s="235" t="s">
        <v>35</v>
      </c>
      <c r="G119" s="235"/>
      <c r="H119" s="272" t="str">
        <f>'5thMAY'!J119</f>
        <v/>
      </c>
      <c r="I119" s="281"/>
      <c r="J119" s="282"/>
      <c r="K119" s="283"/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</v>
      </c>
      <c r="N119" s="191"/>
      <c r="O119" s="247"/>
    </row>
    <row r="120">
      <c r="A120" s="12" t="s">
        <v>131</v>
      </c>
      <c r="B120" s="12" t="s">
        <v>40</v>
      </c>
      <c r="C120" s="271" t="str">
        <f>'5thMAY'!E120</f>
        <v/>
      </c>
      <c r="D120" s="191"/>
      <c r="E120" s="247"/>
      <c r="F120" s="235" t="s">
        <v>35</v>
      </c>
      <c r="G120" s="285">
        <v>0.067</v>
      </c>
      <c r="H120" s="272" t="str">
        <f>'5thMAY'!J120</f>
        <v/>
      </c>
      <c r="I120" s="281"/>
      <c r="J120" s="282">
        <v>0.067</v>
      </c>
      <c r="K120" s="283"/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247"/>
    </row>
    <row r="121">
      <c r="A121" s="12" t="s">
        <v>132</v>
      </c>
      <c r="B121" s="12" t="s">
        <v>40</v>
      </c>
      <c r="C121" s="271" t="str">
        <f>'5thMAY'!E121</f>
        <v/>
      </c>
      <c r="D121" s="191"/>
      <c r="E121" s="247"/>
      <c r="F121" s="235" t="s">
        <v>35</v>
      </c>
      <c r="G121" s="235"/>
      <c r="H121" s="272">
        <f>'5thMAY'!J121</f>
        <v>0.057</v>
      </c>
      <c r="I121" s="281"/>
      <c r="J121" s="282"/>
      <c r="K121" s="283"/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0.057</v>
      </c>
      <c r="N121" s="191"/>
      <c r="O121" s="247"/>
    </row>
    <row r="122">
      <c r="A122" s="12" t="s">
        <v>133</v>
      </c>
      <c r="B122" s="12" t="s">
        <v>40</v>
      </c>
      <c r="C122" s="271" t="str">
        <f>'5thMAY'!E122</f>
        <v/>
      </c>
      <c r="D122" s="191"/>
      <c r="E122" s="247"/>
      <c r="F122" s="235" t="s">
        <v>35</v>
      </c>
      <c r="G122" s="235"/>
      <c r="H122" s="272">
        <f>'5thMAY'!J122</f>
        <v>0.042</v>
      </c>
      <c r="I122" s="281"/>
      <c r="J122" s="282">
        <v>0.041</v>
      </c>
      <c r="K122" s="283"/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0.001</v>
      </c>
      <c r="N122" s="191"/>
      <c r="O122" s="247"/>
    </row>
    <row r="123">
      <c r="A123" s="12" t="s">
        <v>134</v>
      </c>
      <c r="B123" s="12" t="s">
        <v>40</v>
      </c>
      <c r="C123" s="271" t="str">
        <f>'5thMAY'!E123</f>
        <v/>
      </c>
      <c r="D123" s="191"/>
      <c r="E123" s="247"/>
      <c r="F123" s="235" t="s">
        <v>35</v>
      </c>
      <c r="G123" s="235"/>
      <c r="H123" s="272" t="str">
        <f>'5thMAY'!J123</f>
        <v/>
      </c>
      <c r="I123" s="281"/>
      <c r="J123" s="284"/>
      <c r="K123" s="283"/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'5thMAY'!E124</f>
        <v/>
      </c>
      <c r="D124" s="191"/>
      <c r="E124" s="247"/>
      <c r="F124" s="235" t="s">
        <v>35</v>
      </c>
      <c r="G124" s="235"/>
      <c r="H124" s="272" t="str">
        <f>'5thMAY'!J124</f>
        <v/>
      </c>
      <c r="I124" s="281"/>
      <c r="J124" s="284"/>
      <c r="K124" s="283"/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'5thMAY'!E125</f>
        <v/>
      </c>
      <c r="D125" s="227">
        <v>3.0</v>
      </c>
      <c r="E125" s="247"/>
      <c r="F125" s="285" t="s">
        <v>35</v>
      </c>
      <c r="G125" s="235"/>
      <c r="H125" s="272" t="str">
        <f>'5thMAY'!J125</f>
        <v/>
      </c>
      <c r="I125" s="281"/>
      <c r="J125" s="284"/>
      <c r="K125" s="283"/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1.44</v>
      </c>
      <c r="N125" s="191"/>
      <c r="O125" s="247"/>
    </row>
    <row r="126">
      <c r="A126" s="21" t="s">
        <v>143</v>
      </c>
      <c r="B126" s="15" t="s">
        <v>40</v>
      </c>
      <c r="C126" s="271" t="str">
        <f>'5thMAY'!E126</f>
        <v/>
      </c>
      <c r="D126" s="191"/>
      <c r="E126" s="247"/>
      <c r="F126" s="285" t="s">
        <v>35</v>
      </c>
      <c r="G126" s="235"/>
      <c r="H126" s="272">
        <f>'5thMAY'!J126</f>
        <v>0.236</v>
      </c>
      <c r="I126" s="281"/>
      <c r="J126" s="282">
        <v>0.236</v>
      </c>
      <c r="K126" s="283"/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</v>
      </c>
      <c r="N126" s="191"/>
      <c r="O126" s="247"/>
    </row>
    <row r="127">
      <c r="A127" s="10" t="s">
        <v>146</v>
      </c>
      <c r="B127" s="11"/>
      <c r="C127" s="271" t="str">
        <f>'5thMAY'!E127</f>
        <v/>
      </c>
      <c r="D127" s="191"/>
      <c r="E127" s="247"/>
      <c r="F127" s="235"/>
      <c r="G127" s="235"/>
      <c r="H127" s="272" t="str">
        <f>'5thMAY'!J127</f>
        <v/>
      </c>
      <c r="I127" s="281"/>
      <c r="J127" s="284"/>
      <c r="K127" s="283"/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'5thMAY'!E128</f>
        <v/>
      </c>
      <c r="D128" s="191"/>
      <c r="E128" s="247"/>
      <c r="F128" s="235" t="s">
        <v>35</v>
      </c>
      <c r="G128" s="235"/>
      <c r="H128" s="272" t="str">
        <f>'5thMAY'!J128</f>
        <v/>
      </c>
      <c r="I128" s="281"/>
      <c r="J128" s="284"/>
      <c r="K128" s="283"/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'5thMAY'!E129</f>
        <v/>
      </c>
      <c r="D129" s="227">
        <v>1.0</v>
      </c>
      <c r="E129" s="247"/>
      <c r="F129" s="235" t="s">
        <v>35</v>
      </c>
      <c r="G129" s="235"/>
      <c r="H129" s="272">
        <f>'5thMAY'!J129</f>
        <v>0.584</v>
      </c>
      <c r="I129" s="281"/>
      <c r="J129" s="282">
        <v>1.544</v>
      </c>
      <c r="K129" s="283"/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0.04</v>
      </c>
      <c r="N129" s="191"/>
      <c r="O129" s="247"/>
    </row>
    <row r="130">
      <c r="A130" s="12" t="s">
        <v>149</v>
      </c>
      <c r="B130" s="12" t="s">
        <v>40</v>
      </c>
      <c r="C130" s="271" t="str">
        <f>'5thMAY'!E130</f>
        <v/>
      </c>
      <c r="D130" s="191"/>
      <c r="E130" s="247"/>
      <c r="F130" s="235" t="s">
        <v>35</v>
      </c>
      <c r="G130" s="235"/>
      <c r="H130" s="272">
        <f>'5thMAY'!J130</f>
        <v>0.128</v>
      </c>
      <c r="I130" s="281"/>
      <c r="J130" s="282">
        <v>0.128</v>
      </c>
      <c r="K130" s="283"/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</v>
      </c>
      <c r="N130" s="191"/>
      <c r="O130" s="247"/>
    </row>
    <row r="131">
      <c r="A131" s="12" t="s">
        <v>150</v>
      </c>
      <c r="B131" s="12" t="s">
        <v>24</v>
      </c>
      <c r="C131" s="271" t="str">
        <f>'5thMAY'!E131</f>
        <v/>
      </c>
      <c r="D131" s="191"/>
      <c r="E131" s="247"/>
      <c r="F131" s="235" t="s">
        <v>25</v>
      </c>
      <c r="G131" s="235"/>
      <c r="H131" s="272" t="str">
        <f>'5thMAY'!J131</f>
        <v/>
      </c>
      <c r="I131" s="281"/>
      <c r="J131" s="284"/>
      <c r="K131" s="283"/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'5thMAY'!E132</f>
        <v/>
      </c>
      <c r="D132" s="191"/>
      <c r="E132" s="247"/>
      <c r="F132" s="235"/>
      <c r="G132" s="235"/>
      <c r="H132" s="272" t="str">
        <f>'5thMAY'!J132</f>
        <v/>
      </c>
      <c r="I132" s="281"/>
      <c r="J132" s="284"/>
      <c r="K132" s="283"/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'5thMAY'!E133</f>
        <v/>
      </c>
      <c r="D133" s="227">
        <v>1.0</v>
      </c>
      <c r="E133" s="247"/>
      <c r="F133" s="235" t="s">
        <v>35</v>
      </c>
      <c r="G133" s="235"/>
      <c r="H133" s="272" t="str">
        <f>'5thMAY'!J133</f>
        <v/>
      </c>
      <c r="I133" s="281"/>
      <c r="J133" s="284"/>
      <c r="K133" s="283"/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0.2</v>
      </c>
      <c r="N133" s="191"/>
      <c r="O133" s="247"/>
    </row>
    <row r="134">
      <c r="A134" s="12" t="s">
        <v>154</v>
      </c>
      <c r="B134" s="12" t="s">
        <v>155</v>
      </c>
      <c r="C134" s="271" t="str">
        <f>'5thMAY'!E134</f>
        <v/>
      </c>
      <c r="D134" s="191"/>
      <c r="E134" s="247"/>
      <c r="F134" s="235" t="s">
        <v>35</v>
      </c>
      <c r="G134" s="235"/>
      <c r="H134" s="272" t="str">
        <f>'5thMAY'!J134</f>
        <v/>
      </c>
      <c r="I134" s="281"/>
      <c r="J134" s="284"/>
      <c r="K134" s="283"/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>
        <f>'5thMAY'!E135</f>
        <v>1</v>
      </c>
      <c r="D135" s="227"/>
      <c r="E135" s="280">
        <v>1.0</v>
      </c>
      <c r="F135" s="235" t="s">
        <v>35</v>
      </c>
      <c r="G135" s="235"/>
      <c r="H135" s="272">
        <f>'5thMAY'!J135</f>
        <v>0.293</v>
      </c>
      <c r="I135" s="281"/>
      <c r="J135" s="282">
        <v>0.193</v>
      </c>
      <c r="K135" s="283"/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0.1</v>
      </c>
      <c r="N135" s="191"/>
      <c r="O135" s="247"/>
    </row>
    <row r="136">
      <c r="A136" s="12" t="s">
        <v>158</v>
      </c>
      <c r="B136" s="12" t="s">
        <v>34</v>
      </c>
      <c r="C136" s="271" t="str">
        <f>'5thMAY'!E136</f>
        <v/>
      </c>
      <c r="D136" s="191"/>
      <c r="E136" s="247"/>
      <c r="F136" s="235" t="s">
        <v>35</v>
      </c>
      <c r="G136" s="235"/>
      <c r="H136" s="272" t="str">
        <f>'5thMAY'!J136</f>
        <v/>
      </c>
      <c r="I136" s="281"/>
      <c r="J136" s="284"/>
      <c r="K136" s="283"/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</v>
      </c>
      <c r="N136" s="191"/>
      <c r="O136" s="247"/>
    </row>
    <row r="137">
      <c r="A137" s="12" t="s">
        <v>159</v>
      </c>
      <c r="B137" s="12" t="s">
        <v>34</v>
      </c>
      <c r="C137" s="271" t="str">
        <f>'5thMAY'!E137</f>
        <v/>
      </c>
      <c r="D137" s="191"/>
      <c r="E137" s="247"/>
      <c r="F137" s="235" t="s">
        <v>35</v>
      </c>
      <c r="G137" s="235"/>
      <c r="H137" s="272" t="str">
        <f>'5thMAY'!J137</f>
        <v/>
      </c>
      <c r="I137" s="281"/>
      <c r="J137" s="284"/>
      <c r="K137" s="283"/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'5thMAY'!E138</f>
        <v/>
      </c>
      <c r="D138" s="191"/>
      <c r="E138" s="247"/>
      <c r="F138" s="235" t="s">
        <v>35</v>
      </c>
      <c r="G138" s="235"/>
      <c r="H138" s="272">
        <f>'5thMAY'!J138</f>
        <v>1</v>
      </c>
      <c r="I138" s="281"/>
      <c r="J138" s="282">
        <v>1.0</v>
      </c>
      <c r="K138" s="283"/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</v>
      </c>
      <c r="N138" s="191"/>
      <c r="O138" s="247"/>
    </row>
    <row r="139">
      <c r="A139" s="12" t="s">
        <v>161</v>
      </c>
      <c r="B139" s="12" t="s">
        <v>34</v>
      </c>
      <c r="C139" s="271" t="str">
        <f>'5thMAY'!E139</f>
        <v/>
      </c>
      <c r="D139" s="191"/>
      <c r="E139" s="247"/>
      <c r="F139" s="235" t="s">
        <v>35</v>
      </c>
      <c r="G139" s="235"/>
      <c r="H139" s="272">
        <f>'5thMAY'!J139</f>
        <v>1</v>
      </c>
      <c r="I139" s="281"/>
      <c r="J139" s="282">
        <v>0.434</v>
      </c>
      <c r="K139" s="283"/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0.566</v>
      </c>
      <c r="N139" s="191"/>
      <c r="O139" s="247"/>
    </row>
    <row r="140">
      <c r="A140" s="12" t="s">
        <v>162</v>
      </c>
      <c r="B140" s="12" t="s">
        <v>34</v>
      </c>
      <c r="C140" s="271" t="str">
        <f>'5thMAY'!E140</f>
        <v/>
      </c>
      <c r="D140" s="191"/>
      <c r="E140" s="247"/>
      <c r="F140" s="235" t="s">
        <v>35</v>
      </c>
      <c r="G140" s="235"/>
      <c r="H140" s="272" t="str">
        <f>'5thMAY'!J140</f>
        <v/>
      </c>
      <c r="I140" s="281"/>
      <c r="J140" s="282"/>
      <c r="K140" s="283"/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 t="str">
        <f>'5thMAY'!E141</f>
        <v/>
      </c>
      <c r="D141" s="191"/>
      <c r="E141" s="247"/>
      <c r="F141" s="235" t="s">
        <v>35</v>
      </c>
      <c r="G141" s="235"/>
      <c r="H141" s="272">
        <f>'5thMAY'!J141</f>
        <v>0.862</v>
      </c>
      <c r="I141" s="281"/>
      <c r="J141" s="282">
        <v>0.83</v>
      </c>
      <c r="K141" s="283"/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0.032</v>
      </c>
      <c r="N141" s="191"/>
      <c r="O141" s="247"/>
    </row>
    <row r="142">
      <c r="A142" s="12" t="s">
        <v>164</v>
      </c>
      <c r="B142" s="12" t="s">
        <v>155</v>
      </c>
      <c r="C142" s="271" t="str">
        <f>'5thMAY'!E142</f>
        <v/>
      </c>
      <c r="D142" s="191"/>
      <c r="E142" s="247"/>
      <c r="F142" s="235" t="s">
        <v>35</v>
      </c>
      <c r="G142" s="235"/>
      <c r="H142" s="272">
        <f>'5thMAY'!J142</f>
        <v>0.455</v>
      </c>
      <c r="I142" s="281"/>
      <c r="J142" s="282">
        <v>0.419</v>
      </c>
      <c r="K142" s="283"/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0.036</v>
      </c>
      <c r="N142" s="191"/>
      <c r="O142" s="247"/>
    </row>
    <row r="143">
      <c r="A143" s="12" t="s">
        <v>165</v>
      </c>
      <c r="B143" s="12" t="s">
        <v>155</v>
      </c>
      <c r="C143" s="271" t="str">
        <f>'5thMAY'!E143</f>
        <v/>
      </c>
      <c r="D143" s="191"/>
      <c r="E143" s="247"/>
      <c r="F143" s="235" t="s">
        <v>35</v>
      </c>
      <c r="G143" s="235"/>
      <c r="H143" s="272" t="str">
        <f>'5thMAY'!J143</f>
        <v/>
      </c>
      <c r="I143" s="281"/>
      <c r="J143" s="284"/>
      <c r="K143" s="283"/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'5thMAY'!E144</f>
        <v/>
      </c>
      <c r="D144" s="191"/>
      <c r="E144" s="247"/>
      <c r="F144" s="235" t="s">
        <v>35</v>
      </c>
      <c r="G144" s="285">
        <v>0.828</v>
      </c>
      <c r="H144" s="272" t="str">
        <f>'5thMAY'!J144</f>
        <v/>
      </c>
      <c r="I144" s="281"/>
      <c r="J144" s="282">
        <v>0.828</v>
      </c>
      <c r="K144" s="283"/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</v>
      </c>
      <c r="N144" s="191"/>
      <c r="O144" s="247"/>
    </row>
    <row r="145">
      <c r="A145" s="12" t="s">
        <v>167</v>
      </c>
      <c r="B145" s="12" t="s">
        <v>106</v>
      </c>
      <c r="C145" s="271">
        <f>'5thMAY'!E145</f>
        <v>1</v>
      </c>
      <c r="D145" s="191"/>
      <c r="E145" s="247"/>
      <c r="F145" s="235" t="s">
        <v>35</v>
      </c>
      <c r="G145" s="235"/>
      <c r="H145" s="272" t="str">
        <f>'5thMAY'!J145</f>
        <v/>
      </c>
      <c r="I145" s="281"/>
      <c r="J145" s="282">
        <v>0.357</v>
      </c>
      <c r="K145" s="283"/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0.058</v>
      </c>
      <c r="N145" s="191"/>
      <c r="O145" s="247"/>
    </row>
    <row r="146">
      <c r="A146" s="12" t="s">
        <v>168</v>
      </c>
      <c r="B146" s="12" t="s">
        <v>17</v>
      </c>
      <c r="C146" s="271" t="str">
        <f>'5thMAY'!E146</f>
        <v/>
      </c>
      <c r="D146" s="227"/>
      <c r="E146" s="247"/>
      <c r="F146" s="235" t="s">
        <v>35</v>
      </c>
      <c r="G146" s="235"/>
      <c r="H146" s="272">
        <f>'5thMAY'!J146</f>
        <v>0.475</v>
      </c>
      <c r="I146" s="281"/>
      <c r="J146" s="282">
        <v>0.369</v>
      </c>
      <c r="K146" s="283"/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0.106</v>
      </c>
      <c r="N146" s="191"/>
      <c r="O146" s="247"/>
    </row>
    <row r="147">
      <c r="A147" s="12" t="s">
        <v>169</v>
      </c>
      <c r="B147" s="12" t="s">
        <v>106</v>
      </c>
      <c r="C147" s="271" t="str">
        <f>'5thMAY'!E147</f>
        <v/>
      </c>
      <c r="D147" s="191"/>
      <c r="E147" s="247"/>
      <c r="F147" s="235" t="s">
        <v>35</v>
      </c>
      <c r="G147" s="235"/>
      <c r="H147" s="272" t="str">
        <f>'5thMAY'!J147</f>
        <v/>
      </c>
      <c r="I147" s="281"/>
      <c r="J147" s="284"/>
      <c r="K147" s="283"/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'5thMAY'!E148</f>
        <v/>
      </c>
      <c r="D148" s="191"/>
      <c r="E148" s="247"/>
      <c r="F148" s="235" t="s">
        <v>35</v>
      </c>
      <c r="G148" s="235"/>
      <c r="H148" s="272" t="str">
        <f>'5thMAY'!J148</f>
        <v/>
      </c>
      <c r="I148" s="281"/>
      <c r="J148" s="284"/>
      <c r="K148" s="283"/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>
        <f>'5thMAY'!E149</f>
        <v>1</v>
      </c>
      <c r="D149" s="191"/>
      <c r="E149" s="280">
        <v>1.0</v>
      </c>
      <c r="F149" s="235" t="s">
        <v>14</v>
      </c>
      <c r="G149" s="235"/>
      <c r="H149" s="272">
        <f>'5thMAY'!J149</f>
        <v>0.009</v>
      </c>
      <c r="I149" s="281"/>
      <c r="J149" s="282"/>
      <c r="K149" s="283"/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0.009</v>
      </c>
      <c r="N149" s="191"/>
      <c r="O149" s="247"/>
    </row>
    <row r="150">
      <c r="A150" s="11" t="s">
        <v>173</v>
      </c>
      <c r="B150" s="11" t="s">
        <v>106</v>
      </c>
      <c r="C150" s="271" t="str">
        <f>'5thMAY'!E150</f>
        <v/>
      </c>
      <c r="D150" s="287"/>
      <c r="E150" s="288"/>
      <c r="F150" s="235" t="s">
        <v>14</v>
      </c>
      <c r="G150" s="289"/>
      <c r="H150" s="272" t="str">
        <f>'5thMAY'!J150</f>
        <v/>
      </c>
      <c r="I150" s="281"/>
      <c r="J150" s="291"/>
      <c r="K150" s="283"/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</v>
      </c>
      <c r="N150" s="216"/>
      <c r="O150" s="292"/>
    </row>
    <row r="151">
      <c r="A151" s="22" t="s">
        <v>174</v>
      </c>
      <c r="B151" s="23" t="s">
        <v>106</v>
      </c>
      <c r="C151" s="271" t="str">
        <f>'5thMAY'!E151</f>
        <v/>
      </c>
      <c r="D151" s="216"/>
      <c r="E151" s="288"/>
      <c r="F151" s="235" t="s">
        <v>14</v>
      </c>
      <c r="G151" s="289"/>
      <c r="H151" s="272">
        <f>'5thMAY'!J151</f>
        <v>0.39</v>
      </c>
      <c r="I151" s="281"/>
      <c r="J151" s="301">
        <v>0.39</v>
      </c>
      <c r="K151" s="283"/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</v>
      </c>
      <c r="N151" s="216"/>
      <c r="O151" s="292"/>
    </row>
    <row r="152">
      <c r="A152" s="10" t="s">
        <v>175</v>
      </c>
      <c r="B152" s="11"/>
      <c r="C152" s="271" t="str">
        <f>'5thMAY'!E152</f>
        <v/>
      </c>
      <c r="D152" s="191"/>
      <c r="E152" s="247"/>
      <c r="F152" s="235"/>
      <c r="G152" s="235"/>
      <c r="H152" s="272" t="str">
        <f>'5thMAY'!J152</f>
        <v/>
      </c>
      <c r="I152" s="281"/>
      <c r="J152" s="284"/>
      <c r="K152" s="283"/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'5thMAY'!E153</f>
        <v/>
      </c>
      <c r="D153" s="227">
        <v>4.0</v>
      </c>
      <c r="E153" s="247"/>
      <c r="F153" s="235" t="s">
        <v>25</v>
      </c>
      <c r="G153" s="235"/>
      <c r="H153" s="272" t="str">
        <f>'5thMAY'!J153</f>
        <v/>
      </c>
      <c r="I153" s="281"/>
      <c r="J153" s="284"/>
      <c r="K153" s="283"/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4</v>
      </c>
      <c r="N153" s="191"/>
      <c r="O153" s="247"/>
    </row>
    <row r="154">
      <c r="A154" s="12" t="s">
        <v>178</v>
      </c>
      <c r="B154" s="12" t="s">
        <v>35</v>
      </c>
      <c r="C154" s="271">
        <f>'5thMAY'!E154</f>
        <v>8</v>
      </c>
      <c r="D154" s="227">
        <v>4.0</v>
      </c>
      <c r="E154" s="280">
        <v>6.571</v>
      </c>
      <c r="F154" s="235" t="s">
        <v>35</v>
      </c>
      <c r="G154" s="235"/>
      <c r="H154" s="272" t="str">
        <f>'5thMAY'!J154</f>
        <v/>
      </c>
      <c r="I154" s="281"/>
      <c r="J154" s="282"/>
      <c r="K154" s="283"/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2.7145</v>
      </c>
      <c r="N154" s="191"/>
      <c r="O154" s="247"/>
    </row>
    <row r="155">
      <c r="A155" s="12" t="s">
        <v>180</v>
      </c>
      <c r="B155" s="12" t="s">
        <v>35</v>
      </c>
      <c r="C155" s="271" t="str">
        <f>'5thMAY'!E155</f>
        <v/>
      </c>
      <c r="D155" s="191"/>
      <c r="E155" s="247"/>
      <c r="F155" s="235" t="s">
        <v>35</v>
      </c>
      <c r="G155" s="235"/>
      <c r="H155" s="272">
        <f>'5thMAY'!J155</f>
        <v>0.198</v>
      </c>
      <c r="I155" s="281"/>
      <c r="J155" s="282">
        <v>0.114</v>
      </c>
      <c r="K155" s="283"/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0.084</v>
      </c>
      <c r="N155" s="191"/>
      <c r="O155" s="247"/>
    </row>
    <row r="156">
      <c r="A156" s="12" t="s">
        <v>181</v>
      </c>
      <c r="B156" s="12" t="s">
        <v>35</v>
      </c>
      <c r="C156" s="271" t="str">
        <f>'5thMAY'!E156</f>
        <v/>
      </c>
      <c r="D156" s="191"/>
      <c r="E156" s="280"/>
      <c r="F156" s="235" t="s">
        <v>35</v>
      </c>
      <c r="G156" s="285">
        <v>0.346</v>
      </c>
      <c r="H156" s="272" t="str">
        <f>'5thMAY'!J156</f>
        <v/>
      </c>
      <c r="I156" s="281"/>
      <c r="J156" s="282">
        <v>0.346</v>
      </c>
      <c r="K156" s="283"/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</v>
      </c>
      <c r="N156" s="191"/>
      <c r="O156" s="247"/>
    </row>
    <row r="157">
      <c r="A157" s="12" t="s">
        <v>182</v>
      </c>
      <c r="B157" s="12" t="s">
        <v>35</v>
      </c>
      <c r="C157" s="271" t="str">
        <f>'5thMAY'!E157</f>
        <v/>
      </c>
      <c r="D157" s="191"/>
      <c r="E157" s="247"/>
      <c r="F157" s="235" t="s">
        <v>35</v>
      </c>
      <c r="G157" s="285">
        <v>0.419</v>
      </c>
      <c r="H157" s="272" t="str">
        <f>'5thMAY'!J157</f>
        <v/>
      </c>
      <c r="I157" s="281"/>
      <c r="J157" s="282">
        <v>0.419</v>
      </c>
      <c r="K157" s="283"/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71" t="str">
        <f>'5thMAY'!E158</f>
        <v/>
      </c>
      <c r="D158" s="191"/>
      <c r="E158" s="247"/>
      <c r="F158" s="235" t="s">
        <v>14</v>
      </c>
      <c r="G158" s="235"/>
      <c r="H158" s="272" t="str">
        <f>'5thMAY'!J158</f>
        <v/>
      </c>
      <c r="I158" s="281"/>
      <c r="J158" s="284"/>
      <c r="K158" s="283"/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'5thMAY'!E159</f>
        <v/>
      </c>
      <c r="D159" s="191"/>
      <c r="E159" s="247"/>
      <c r="F159" s="235"/>
      <c r="G159" s="235"/>
      <c r="H159" s="272" t="str">
        <f>'5thMAY'!J159</f>
        <v/>
      </c>
      <c r="I159" s="281"/>
      <c r="J159" s="284"/>
      <c r="K159" s="283"/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'5thMAY'!E160</f>
        <v/>
      </c>
      <c r="D160" s="227">
        <v>3.0</v>
      </c>
      <c r="E160" s="247"/>
      <c r="F160" s="235" t="s">
        <v>17</v>
      </c>
      <c r="G160" s="235"/>
      <c r="H160" s="272" t="str">
        <f>'5thMAY'!J160</f>
        <v/>
      </c>
      <c r="I160" s="281"/>
      <c r="J160" s="282">
        <v>3.0</v>
      </c>
      <c r="K160" s="283"/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0</v>
      </c>
      <c r="N160" s="191"/>
      <c r="O160" s="247"/>
    </row>
    <row r="161">
      <c r="A161" s="12" t="s">
        <v>187</v>
      </c>
      <c r="B161" s="12" t="s">
        <v>17</v>
      </c>
      <c r="C161" s="271" t="str">
        <f>'5thMAY'!E161</f>
        <v/>
      </c>
      <c r="D161" s="227">
        <v>3.0</v>
      </c>
      <c r="E161" s="247"/>
      <c r="F161" s="235" t="s">
        <v>17</v>
      </c>
      <c r="G161" s="235"/>
      <c r="H161" s="272" t="str">
        <f>'5thMAY'!J161</f>
        <v/>
      </c>
      <c r="I161" s="281"/>
      <c r="J161" s="282"/>
      <c r="K161" s="283"/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3</v>
      </c>
      <c r="N161" s="191"/>
      <c r="O161" s="247"/>
    </row>
    <row r="162">
      <c r="A162" s="12" t="s">
        <v>188</v>
      </c>
      <c r="B162" s="12" t="s">
        <v>35</v>
      </c>
      <c r="C162" s="271" t="str">
        <f>'5thMAY'!E162</f>
        <v/>
      </c>
      <c r="D162" s="227">
        <v>4.5</v>
      </c>
      <c r="E162" s="247"/>
      <c r="F162" s="235" t="s">
        <v>35</v>
      </c>
      <c r="G162" s="235"/>
      <c r="H162" s="272" t="str">
        <f>'5thMAY'!J162</f>
        <v/>
      </c>
      <c r="I162" s="281"/>
      <c r="J162" s="284"/>
      <c r="K162" s="283"/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4.5</v>
      </c>
      <c r="N162" s="191"/>
      <c r="O162" s="247"/>
    </row>
    <row r="163">
      <c r="A163" s="12" t="s">
        <v>189</v>
      </c>
      <c r="B163" s="12" t="s">
        <v>17</v>
      </c>
      <c r="C163" s="271" t="str">
        <f>'5thMAY'!E163</f>
        <v/>
      </c>
      <c r="D163" s="227"/>
      <c r="E163" s="280"/>
      <c r="F163" s="235" t="s">
        <v>17</v>
      </c>
      <c r="G163" s="285">
        <v>1.0</v>
      </c>
      <c r="H163" s="272">
        <f>'5thMAY'!J163</f>
        <v>0.5</v>
      </c>
      <c r="I163" s="281"/>
      <c r="J163" s="282">
        <v>1.5</v>
      </c>
      <c r="K163" s="283"/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0</v>
      </c>
      <c r="N163" s="191"/>
      <c r="O163" s="247"/>
    </row>
    <row r="164">
      <c r="A164" s="12" t="s">
        <v>190</v>
      </c>
      <c r="B164" s="12" t="s">
        <v>17</v>
      </c>
      <c r="C164" s="271" t="str">
        <f>'5thMAY'!E164</f>
        <v/>
      </c>
      <c r="D164" s="271"/>
      <c r="E164" s="247"/>
      <c r="F164" s="235" t="s">
        <v>17</v>
      </c>
      <c r="G164" s="235"/>
      <c r="H164" s="272" t="str">
        <f>'5thMAY'!J164</f>
        <v/>
      </c>
      <c r="I164" s="281"/>
      <c r="J164" s="284"/>
      <c r="K164" s="283"/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'5thMAY'!E165</f>
        <v/>
      </c>
      <c r="D165" s="227">
        <v>0.8</v>
      </c>
      <c r="E165" s="247"/>
      <c r="F165" s="235" t="s">
        <v>35</v>
      </c>
      <c r="G165" s="235"/>
      <c r="H165" s="272">
        <f>'5thMAY'!J165</f>
        <v>0.593</v>
      </c>
      <c r="I165" s="281"/>
      <c r="J165" s="284"/>
      <c r="K165" s="283"/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1.393</v>
      </c>
      <c r="N165" s="191"/>
      <c r="O165" s="247"/>
    </row>
    <row r="166">
      <c r="A166" s="12" t="s">
        <v>192</v>
      </c>
      <c r="B166" s="12" t="s">
        <v>35</v>
      </c>
      <c r="C166" s="271" t="str">
        <f>'5thMAY'!E166</f>
        <v/>
      </c>
      <c r="D166" s="227">
        <v>1.0</v>
      </c>
      <c r="E166" s="247"/>
      <c r="F166" s="235" t="s">
        <v>35</v>
      </c>
      <c r="G166" s="285"/>
      <c r="H166" s="272" t="str">
        <f>'5thMAY'!J166</f>
        <v/>
      </c>
      <c r="I166" s="281"/>
      <c r="J166" s="282"/>
      <c r="K166" s="283"/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1</v>
      </c>
      <c r="N166" s="191"/>
      <c r="O166" s="247"/>
    </row>
    <row r="167">
      <c r="A167" s="12" t="s">
        <v>193</v>
      </c>
      <c r="B167" s="12" t="s">
        <v>35</v>
      </c>
      <c r="C167" s="271" t="str">
        <f>'5thMAY'!E167</f>
        <v/>
      </c>
      <c r="D167" s="227">
        <v>6.8</v>
      </c>
      <c r="E167" s="247"/>
      <c r="F167" s="235" t="s">
        <v>35</v>
      </c>
      <c r="G167" s="235"/>
      <c r="H167" s="272" t="str">
        <f>'5thMAY'!J167</f>
        <v/>
      </c>
      <c r="I167" s="281"/>
      <c r="J167" s="282">
        <v>1.785</v>
      </c>
      <c r="K167" s="283"/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5.015</v>
      </c>
      <c r="N167" s="191"/>
      <c r="O167" s="247"/>
    </row>
    <row r="168">
      <c r="A168" s="12" t="s">
        <v>194</v>
      </c>
      <c r="B168" s="12" t="s">
        <v>17</v>
      </c>
      <c r="C168" s="271" t="str">
        <f>'5thMAY'!E168</f>
        <v/>
      </c>
      <c r="D168" s="227">
        <v>3.0</v>
      </c>
      <c r="E168" s="247"/>
      <c r="F168" s="235" t="s">
        <v>17</v>
      </c>
      <c r="G168" s="235"/>
      <c r="H168" s="272" t="str">
        <f>'5thMAY'!J168</f>
        <v/>
      </c>
      <c r="I168" s="281"/>
      <c r="J168" s="284"/>
      <c r="K168" s="283"/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3</v>
      </c>
      <c r="N168" s="191"/>
      <c r="O168" s="247"/>
    </row>
    <row r="169">
      <c r="A169" s="12" t="s">
        <v>195</v>
      </c>
      <c r="B169" s="12" t="s">
        <v>35</v>
      </c>
      <c r="C169" s="271" t="str">
        <f>'5thMAY'!E169</f>
        <v/>
      </c>
      <c r="D169" s="191"/>
      <c r="E169" s="247"/>
      <c r="F169" s="235" t="s">
        <v>35</v>
      </c>
      <c r="G169" s="285">
        <v>1.738</v>
      </c>
      <c r="H169" s="272">
        <f>'5thMAY'!J169</f>
        <v>1.732</v>
      </c>
      <c r="I169" s="281"/>
      <c r="J169" s="282">
        <v>1.738</v>
      </c>
      <c r="K169" s="283"/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1.732</v>
      </c>
      <c r="N169" s="191"/>
      <c r="O169" s="247"/>
    </row>
    <row r="170">
      <c r="A170" s="12" t="s">
        <v>196</v>
      </c>
      <c r="B170" s="12" t="s">
        <v>35</v>
      </c>
      <c r="C170" s="271" t="str">
        <f>'5thMAY'!E170</f>
        <v/>
      </c>
      <c r="D170" s="227">
        <v>0.8</v>
      </c>
      <c r="E170" s="247"/>
      <c r="F170" s="235" t="s">
        <v>35</v>
      </c>
      <c r="G170" s="235"/>
      <c r="H170" s="272">
        <f>'5thMAY'!J170</f>
        <v>0.191</v>
      </c>
      <c r="I170" s="281"/>
      <c r="J170" s="282"/>
      <c r="K170" s="283"/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0.991</v>
      </c>
      <c r="N170" s="191"/>
      <c r="O170" s="247"/>
    </row>
    <row r="171">
      <c r="A171" s="12" t="s">
        <v>197</v>
      </c>
      <c r="B171" s="12" t="s">
        <v>35</v>
      </c>
      <c r="C171" s="271" t="str">
        <f>'5thMAY'!E171</f>
        <v/>
      </c>
      <c r="D171" s="227">
        <v>0.8</v>
      </c>
      <c r="E171" s="247"/>
      <c r="F171" s="235" t="s">
        <v>35</v>
      </c>
      <c r="G171" s="285"/>
      <c r="H171" s="272">
        <f>'5thMAY'!J171</f>
        <v>0.132</v>
      </c>
      <c r="I171" s="281"/>
      <c r="J171" s="282"/>
      <c r="K171" s="283"/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0.932</v>
      </c>
      <c r="N171" s="191"/>
      <c r="O171" s="247"/>
    </row>
    <row r="172">
      <c r="A172" s="12" t="s">
        <v>198</v>
      </c>
      <c r="B172" s="12" t="s">
        <v>35</v>
      </c>
      <c r="C172" s="271" t="str">
        <f>'5thMAY'!E172</f>
        <v/>
      </c>
      <c r="D172" s="227">
        <v>1.0</v>
      </c>
      <c r="E172" s="247"/>
      <c r="F172" s="235" t="s">
        <v>35</v>
      </c>
      <c r="G172" s="235"/>
      <c r="H172" s="272">
        <f>'5thMAY'!J172</f>
        <v>1</v>
      </c>
      <c r="I172" s="281"/>
      <c r="J172" s="282">
        <v>1.0</v>
      </c>
      <c r="K172" s="283"/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1</v>
      </c>
      <c r="N172" s="191"/>
      <c r="O172" s="247"/>
    </row>
    <row r="173">
      <c r="A173" s="12" t="s">
        <v>199</v>
      </c>
      <c r="B173" s="12" t="s">
        <v>35</v>
      </c>
      <c r="C173" s="271" t="str">
        <f>'5thMAY'!E173</f>
        <v/>
      </c>
      <c r="D173" s="227">
        <v>1.0</v>
      </c>
      <c r="E173" s="247"/>
      <c r="F173" s="235" t="s">
        <v>35</v>
      </c>
      <c r="G173" s="235"/>
      <c r="H173" s="272">
        <f>'5thMAY'!J173</f>
        <v>1</v>
      </c>
      <c r="I173" s="281"/>
      <c r="J173" s="282">
        <v>0.5</v>
      </c>
      <c r="K173" s="283"/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1.5</v>
      </c>
      <c r="N173" s="191"/>
      <c r="O173" s="247"/>
    </row>
    <row r="174">
      <c r="A174" s="12" t="s">
        <v>200</v>
      </c>
      <c r="B174" s="12" t="s">
        <v>35</v>
      </c>
      <c r="C174" s="271" t="str">
        <f>'5thMAY'!E174</f>
        <v/>
      </c>
      <c r="D174" s="227">
        <v>1.0</v>
      </c>
      <c r="E174" s="247"/>
      <c r="F174" s="235" t="s">
        <v>35</v>
      </c>
      <c r="G174" s="235"/>
      <c r="H174" s="272" t="str">
        <f>'5thMAY'!J174</f>
        <v/>
      </c>
      <c r="I174" s="281"/>
      <c r="J174" s="282">
        <v>0.25</v>
      </c>
      <c r="K174" s="283"/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0.75</v>
      </c>
      <c r="N174" s="191"/>
      <c r="O174" s="247"/>
    </row>
    <row r="175">
      <c r="A175" s="12" t="s">
        <v>201</v>
      </c>
      <c r="B175" s="12" t="s">
        <v>202</v>
      </c>
      <c r="C175" s="271" t="str">
        <f>'5thMAY'!E175</f>
        <v/>
      </c>
      <c r="D175" s="191"/>
      <c r="E175" s="247"/>
      <c r="F175" s="235" t="s">
        <v>202</v>
      </c>
      <c r="G175" s="235"/>
      <c r="H175" s="272" t="str">
        <f>'5thMAY'!J175</f>
        <v/>
      </c>
      <c r="I175" s="281"/>
      <c r="J175" s="284"/>
      <c r="K175" s="283"/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'5thMAY'!E176</f>
        <v/>
      </c>
      <c r="D176" s="227">
        <v>2.0</v>
      </c>
      <c r="E176" s="247"/>
      <c r="F176" s="235" t="s">
        <v>202</v>
      </c>
      <c r="G176" s="235"/>
      <c r="H176" s="272" t="str">
        <f>'5thMAY'!J176</f>
        <v/>
      </c>
      <c r="I176" s="281"/>
      <c r="J176" s="282">
        <v>1.0</v>
      </c>
      <c r="K176" s="283"/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1</v>
      </c>
      <c r="N176" s="191"/>
      <c r="O176" s="247"/>
    </row>
    <row r="177">
      <c r="A177" s="12" t="s">
        <v>205</v>
      </c>
      <c r="B177" s="12" t="s">
        <v>202</v>
      </c>
      <c r="C177" s="271" t="str">
        <f>'5thMAY'!E177</f>
        <v/>
      </c>
      <c r="D177" s="227">
        <v>1.0</v>
      </c>
      <c r="E177" s="247"/>
      <c r="F177" s="235" t="s">
        <v>202</v>
      </c>
      <c r="G177" s="235"/>
      <c r="H177" s="272">
        <f>'5thMAY'!J177</f>
        <v>2</v>
      </c>
      <c r="I177" s="281"/>
      <c r="J177" s="284"/>
      <c r="K177" s="283"/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3</v>
      </c>
      <c r="N177" s="191"/>
      <c r="O177" s="247"/>
    </row>
    <row r="178">
      <c r="A178" s="12" t="s">
        <v>206</v>
      </c>
      <c r="B178" s="12" t="s">
        <v>207</v>
      </c>
      <c r="C178" s="271" t="str">
        <f>'5thMAY'!E178</f>
        <v/>
      </c>
      <c r="D178" s="227">
        <v>1.0</v>
      </c>
      <c r="E178" s="247"/>
      <c r="F178" s="235" t="s">
        <v>17</v>
      </c>
      <c r="G178" s="235"/>
      <c r="H178" s="272" t="str">
        <f>'5thMAY'!J178</f>
        <v/>
      </c>
      <c r="I178" s="281"/>
      <c r="J178" s="282">
        <v>25.0</v>
      </c>
      <c r="K178" s="283"/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5</v>
      </c>
      <c r="N178" s="191"/>
      <c r="O178" s="247"/>
    </row>
    <row r="179">
      <c r="A179" s="12" t="s">
        <v>209</v>
      </c>
      <c r="B179" s="12" t="s">
        <v>17</v>
      </c>
      <c r="C179" s="271" t="str">
        <f>'5thMAY'!E179</f>
        <v/>
      </c>
      <c r="D179" s="191"/>
      <c r="E179" s="247"/>
      <c r="F179" s="235" t="s">
        <v>17</v>
      </c>
      <c r="G179" s="235"/>
      <c r="H179" s="272" t="str">
        <f>'5thMAY'!J179</f>
        <v/>
      </c>
      <c r="I179" s="281"/>
      <c r="J179" s="284"/>
      <c r="K179" s="283"/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'5thMAY'!E180</f>
        <v/>
      </c>
      <c r="D180" s="227">
        <v>1.0</v>
      </c>
      <c r="E180" s="247"/>
      <c r="F180" s="235" t="s">
        <v>202</v>
      </c>
      <c r="G180" s="285"/>
      <c r="H180" s="272" t="str">
        <f>'5thMAY'!J180</f>
        <v/>
      </c>
      <c r="I180" s="281"/>
      <c r="J180" s="282"/>
      <c r="K180" s="283"/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1</v>
      </c>
      <c r="N180" s="191"/>
      <c r="O180" s="247"/>
    </row>
    <row r="181">
      <c r="A181" s="12" t="s">
        <v>211</v>
      </c>
      <c r="B181" s="12" t="s">
        <v>202</v>
      </c>
      <c r="C181" s="271" t="str">
        <f>'5thMAY'!E181</f>
        <v/>
      </c>
      <c r="D181" s="227">
        <v>1.0</v>
      </c>
      <c r="E181" s="247"/>
      <c r="F181" s="235" t="s">
        <v>202</v>
      </c>
      <c r="G181" s="235"/>
      <c r="H181" s="272" t="str">
        <f>'5thMAY'!J181</f>
        <v/>
      </c>
      <c r="I181" s="281"/>
      <c r="J181" s="282">
        <v>1.0</v>
      </c>
      <c r="K181" s="283"/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71" t="str">
        <f>'5thMAY'!E182</f>
        <v/>
      </c>
      <c r="D182" s="227">
        <v>1.0</v>
      </c>
      <c r="E182" s="247"/>
      <c r="F182" s="235" t="s">
        <v>202</v>
      </c>
      <c r="G182" s="235"/>
      <c r="H182" s="272">
        <f>'5thMAY'!J182</f>
        <v>0.035</v>
      </c>
      <c r="I182" s="281"/>
      <c r="J182" s="282">
        <v>1.0</v>
      </c>
      <c r="K182" s="283"/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0.035</v>
      </c>
      <c r="N182" s="191"/>
      <c r="O182" s="247"/>
    </row>
    <row r="183">
      <c r="A183" s="12" t="s">
        <v>213</v>
      </c>
      <c r="B183" s="12" t="s">
        <v>35</v>
      </c>
      <c r="C183" s="271" t="str">
        <f>'5thMAY'!E183</f>
        <v/>
      </c>
      <c r="D183" s="191"/>
      <c r="E183" s="247"/>
      <c r="F183" s="235" t="s">
        <v>35</v>
      </c>
      <c r="G183" s="235"/>
      <c r="H183" s="272" t="str">
        <f>'5thMAY'!J183</f>
        <v/>
      </c>
      <c r="I183" s="281"/>
      <c r="J183" s="284"/>
      <c r="K183" s="283"/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'5thMAY'!E184</f>
        <v/>
      </c>
      <c r="D184" s="191"/>
      <c r="E184" s="247"/>
      <c r="F184" s="235" t="s">
        <v>35</v>
      </c>
      <c r="G184" s="235"/>
      <c r="H184" s="272">
        <f>'5thMAY'!J184</f>
        <v>0.132</v>
      </c>
      <c r="I184" s="281"/>
      <c r="J184" s="282">
        <v>0.1</v>
      </c>
      <c r="K184" s="283"/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0.032</v>
      </c>
      <c r="N184" s="191"/>
      <c r="O184" s="247"/>
    </row>
    <row r="185">
      <c r="A185" s="12" t="s">
        <v>215</v>
      </c>
      <c r="B185" s="12" t="s">
        <v>35</v>
      </c>
      <c r="C185" s="271" t="str">
        <f>'5thMAY'!E185</f>
        <v/>
      </c>
      <c r="D185" s="191"/>
      <c r="E185" s="247"/>
      <c r="F185" s="235" t="s">
        <v>35</v>
      </c>
      <c r="G185" s="235"/>
      <c r="H185" s="272" t="str">
        <f>'5thMAY'!J185</f>
        <v/>
      </c>
      <c r="I185" s="281"/>
      <c r="J185" s="284"/>
      <c r="K185" s="283"/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</v>
      </c>
      <c r="N185" s="191"/>
      <c r="O185" s="247"/>
    </row>
    <row r="186">
      <c r="A186" s="12" t="s">
        <v>216</v>
      </c>
      <c r="B186" s="12" t="s">
        <v>17</v>
      </c>
      <c r="C186" s="271" t="str">
        <f>'5thMAY'!E186</f>
        <v/>
      </c>
      <c r="D186" s="191"/>
      <c r="E186" s="247"/>
      <c r="F186" s="235" t="s">
        <v>17</v>
      </c>
      <c r="G186" s="235"/>
      <c r="H186" s="272">
        <f>'5thMAY'!J186</f>
        <v>1.5</v>
      </c>
      <c r="I186" s="281"/>
      <c r="J186" s="282">
        <v>1.0</v>
      </c>
      <c r="K186" s="283"/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0.5</v>
      </c>
      <c r="N186" s="191"/>
      <c r="O186" s="247"/>
    </row>
    <row r="187">
      <c r="A187" s="12" t="s">
        <v>217</v>
      </c>
      <c r="B187" s="12" t="s">
        <v>35</v>
      </c>
      <c r="C187" s="271" t="str">
        <f>'5thMAY'!E187</f>
        <v/>
      </c>
      <c r="D187" s="191"/>
      <c r="E187" s="247"/>
      <c r="F187" s="235" t="s">
        <v>35</v>
      </c>
      <c r="G187" s="235"/>
      <c r="H187" s="272">
        <f>'5thMAY'!J187</f>
        <v>0.771</v>
      </c>
      <c r="I187" s="281"/>
      <c r="J187" s="282">
        <v>0.76</v>
      </c>
      <c r="K187" s="283"/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0.011</v>
      </c>
      <c r="N187" s="191"/>
      <c r="O187" s="247"/>
    </row>
    <row r="188">
      <c r="A188" s="12" t="s">
        <v>218</v>
      </c>
      <c r="B188" s="12" t="s">
        <v>17</v>
      </c>
      <c r="C188" s="271" t="str">
        <f>'5thMAY'!E188</f>
        <v/>
      </c>
      <c r="D188" s="227"/>
      <c r="E188" s="247"/>
      <c r="F188" s="235" t="s">
        <v>17</v>
      </c>
      <c r="G188" s="235"/>
      <c r="H188" s="272">
        <f>'5thMAY'!J188</f>
        <v>3</v>
      </c>
      <c r="I188" s="281"/>
      <c r="J188" s="282">
        <v>2.25</v>
      </c>
      <c r="K188" s="283"/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0.75</v>
      </c>
      <c r="N188" s="191"/>
      <c r="O188" s="247"/>
    </row>
    <row r="189">
      <c r="A189" s="12" t="s">
        <v>220</v>
      </c>
      <c r="B189" s="12" t="s">
        <v>35</v>
      </c>
      <c r="C189" s="271" t="str">
        <f>'5thMAY'!E189</f>
        <v/>
      </c>
      <c r="D189" s="191"/>
      <c r="E189" s="247"/>
      <c r="F189" s="235" t="s">
        <v>35</v>
      </c>
      <c r="G189" s="235"/>
      <c r="H189" s="272" t="str">
        <f>'5thMAY'!J189</f>
        <v/>
      </c>
      <c r="I189" s="281"/>
      <c r="J189" s="284"/>
      <c r="K189" s="283"/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'5thMAY'!E190</f>
        <v/>
      </c>
      <c r="D190" s="227">
        <v>6.0</v>
      </c>
      <c r="E190" s="247"/>
      <c r="F190" s="235" t="s">
        <v>17</v>
      </c>
      <c r="G190" s="235"/>
      <c r="H190" s="272">
        <f>'5thMAY'!J190</f>
        <v>1.5</v>
      </c>
      <c r="I190" s="281"/>
      <c r="J190" s="282">
        <v>1.25</v>
      </c>
      <c r="K190" s="283"/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6.25</v>
      </c>
      <c r="N190" s="191"/>
      <c r="O190" s="247"/>
    </row>
    <row r="191">
      <c r="A191" s="12" t="s">
        <v>222</v>
      </c>
      <c r="B191" s="12" t="s">
        <v>17</v>
      </c>
      <c r="C191" s="271" t="str">
        <f>'5thMAY'!E191</f>
        <v/>
      </c>
      <c r="D191" s="191"/>
      <c r="E191" s="247"/>
      <c r="F191" s="235" t="s">
        <v>17</v>
      </c>
      <c r="G191" s="235"/>
      <c r="H191" s="272" t="str">
        <f>'5thMAY'!J191</f>
        <v/>
      </c>
      <c r="I191" s="281"/>
      <c r="J191" s="284"/>
      <c r="K191" s="283"/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'5thMAY'!E192</f>
        <v/>
      </c>
      <c r="D192" s="227">
        <v>1.0</v>
      </c>
      <c r="E192" s="247"/>
      <c r="F192" s="235" t="s">
        <v>17</v>
      </c>
      <c r="G192" s="235"/>
      <c r="H192" s="272">
        <f>'5thMAY'!J192</f>
        <v>2</v>
      </c>
      <c r="I192" s="281"/>
      <c r="J192" s="282">
        <v>2.0</v>
      </c>
      <c r="K192" s="283"/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1</v>
      </c>
      <c r="N192" s="191"/>
      <c r="O192" s="247"/>
    </row>
    <row r="193">
      <c r="A193" s="12" t="s">
        <v>224</v>
      </c>
      <c r="B193" s="12" t="s">
        <v>202</v>
      </c>
      <c r="C193" s="271" t="str">
        <f>'5thMAY'!E193</f>
        <v/>
      </c>
      <c r="D193" s="227"/>
      <c r="E193" s="247"/>
      <c r="F193" s="235" t="s">
        <v>202</v>
      </c>
      <c r="G193" s="235"/>
      <c r="H193" s="272" t="str">
        <f>'5thMAY'!J193</f>
        <v/>
      </c>
      <c r="I193" s="281"/>
      <c r="J193" s="282"/>
      <c r="K193" s="283"/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</v>
      </c>
      <c r="N193" s="191"/>
      <c r="O193" s="247"/>
    </row>
    <row r="194">
      <c r="A194" s="12" t="s">
        <v>225</v>
      </c>
      <c r="B194" s="12" t="s">
        <v>35</v>
      </c>
      <c r="C194" s="271" t="str">
        <f>'5thMAY'!E194</f>
        <v/>
      </c>
      <c r="D194" s="191"/>
      <c r="E194" s="247"/>
      <c r="F194" s="235" t="s">
        <v>35</v>
      </c>
      <c r="G194" s="235"/>
      <c r="H194" s="272">
        <f>'5thMAY'!J194</f>
        <v>1</v>
      </c>
      <c r="I194" s="281"/>
      <c r="J194" s="282">
        <v>1.0</v>
      </c>
      <c r="K194" s="283"/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</v>
      </c>
      <c r="N194" s="191"/>
      <c r="O194" s="247"/>
    </row>
    <row r="195">
      <c r="A195" s="12" t="s">
        <v>227</v>
      </c>
      <c r="B195" s="12" t="s">
        <v>35</v>
      </c>
      <c r="C195" s="271" t="str">
        <f>'5thMAY'!E195</f>
        <v/>
      </c>
      <c r="D195" s="227">
        <v>0.5</v>
      </c>
      <c r="E195" s="247"/>
      <c r="F195" s="235" t="s">
        <v>35</v>
      </c>
      <c r="G195" s="285"/>
      <c r="H195" s="272" t="str">
        <f>'5thMAY'!J195</f>
        <v/>
      </c>
      <c r="I195" s="281"/>
      <c r="J195" s="282">
        <v>0.107</v>
      </c>
      <c r="K195" s="283"/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0.393</v>
      </c>
      <c r="N195" s="191"/>
      <c r="O195" s="247"/>
    </row>
    <row r="196">
      <c r="A196" s="12" t="s">
        <v>228</v>
      </c>
      <c r="B196" s="12" t="s">
        <v>155</v>
      </c>
      <c r="C196" s="271">
        <f>'5thMAY'!E196</f>
        <v>1</v>
      </c>
      <c r="D196" s="191"/>
      <c r="E196" s="247"/>
      <c r="F196" s="235" t="s">
        <v>35</v>
      </c>
      <c r="G196" s="235"/>
      <c r="H196" s="272">
        <f>'5thMAY'!J196</f>
        <v>0.09</v>
      </c>
      <c r="I196" s="281"/>
      <c r="J196" s="282">
        <v>0.17</v>
      </c>
      <c r="K196" s="283"/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0.42</v>
      </c>
      <c r="N196" s="191"/>
      <c r="O196" s="247"/>
    </row>
    <row r="197">
      <c r="A197" s="12" t="s">
        <v>229</v>
      </c>
      <c r="B197" s="12" t="s">
        <v>17</v>
      </c>
      <c r="C197" s="271" t="str">
        <f>'5thMAY'!E197</f>
        <v/>
      </c>
      <c r="D197" s="227">
        <v>2.0</v>
      </c>
      <c r="E197" s="247"/>
      <c r="F197" s="235" t="s">
        <v>17</v>
      </c>
      <c r="G197" s="235"/>
      <c r="H197" s="272">
        <f>'5thMAY'!J197</f>
        <v>1</v>
      </c>
      <c r="I197" s="281"/>
      <c r="J197" s="282">
        <v>0.119</v>
      </c>
      <c r="K197" s="283"/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2.881</v>
      </c>
      <c r="N197" s="191"/>
      <c r="O197" s="247"/>
    </row>
    <row r="198">
      <c r="A198" s="12" t="s">
        <v>231</v>
      </c>
      <c r="B198" s="12" t="s">
        <v>35</v>
      </c>
      <c r="C198" s="271" t="str">
        <f>'5thMAY'!E198</f>
        <v/>
      </c>
      <c r="D198" s="191"/>
      <c r="E198" s="247"/>
      <c r="F198" s="235" t="s">
        <v>35</v>
      </c>
      <c r="G198" s="235"/>
      <c r="H198" s="272">
        <f>'5thMAY'!J198</f>
        <v>1</v>
      </c>
      <c r="I198" s="281"/>
      <c r="J198" s="282">
        <v>1.0</v>
      </c>
      <c r="K198" s="283"/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</v>
      </c>
      <c r="N198" s="191"/>
      <c r="O198" s="247"/>
    </row>
    <row r="199">
      <c r="A199" s="12" t="s">
        <v>232</v>
      </c>
      <c r="B199" s="12" t="s">
        <v>202</v>
      </c>
      <c r="C199" s="271" t="str">
        <f>'5thMAY'!E199</f>
        <v/>
      </c>
      <c r="D199" s="191"/>
      <c r="E199" s="247"/>
      <c r="F199" s="235" t="s">
        <v>202</v>
      </c>
      <c r="G199" s="285">
        <v>0.25</v>
      </c>
      <c r="H199" s="272" t="str">
        <f>'5thMAY'!J199</f>
        <v/>
      </c>
      <c r="I199" s="281"/>
      <c r="J199" s="282">
        <v>0.25</v>
      </c>
      <c r="K199" s="283"/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</v>
      </c>
      <c r="N199" s="191"/>
      <c r="O199" s="247"/>
    </row>
    <row r="200">
      <c r="A200" s="12" t="s">
        <v>233</v>
      </c>
      <c r="B200" s="12" t="s">
        <v>17</v>
      </c>
      <c r="C200" s="271" t="str">
        <f>'5thMAY'!E200</f>
        <v/>
      </c>
      <c r="D200" s="227">
        <v>1.0</v>
      </c>
      <c r="E200" s="280"/>
      <c r="F200" s="235" t="s">
        <v>234</v>
      </c>
      <c r="G200" s="285"/>
      <c r="H200" s="272">
        <f>'5thMAY'!J200</f>
        <v>0.5</v>
      </c>
      <c r="I200" s="281"/>
      <c r="J200" s="282">
        <v>1.0</v>
      </c>
      <c r="K200" s="283"/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0.5</v>
      </c>
      <c r="N200" s="191"/>
      <c r="O200" s="247"/>
    </row>
    <row r="201">
      <c r="A201" s="25" t="s">
        <v>235</v>
      </c>
      <c r="B201" s="26" t="s">
        <v>202</v>
      </c>
      <c r="C201" s="271" t="str">
        <f>'5thMAY'!E201</f>
        <v/>
      </c>
      <c r="D201" s="227"/>
      <c r="E201" s="247"/>
      <c r="F201" s="235" t="s">
        <v>202</v>
      </c>
      <c r="G201" s="285">
        <v>0.5</v>
      </c>
      <c r="H201" s="272">
        <f>'5thMAY'!J201</f>
        <v>0.5</v>
      </c>
      <c r="I201" s="281"/>
      <c r="J201" s="282">
        <v>1.0</v>
      </c>
      <c r="K201" s="283"/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</v>
      </c>
      <c r="N201" s="191"/>
      <c r="O201" s="247"/>
    </row>
    <row r="202">
      <c r="A202" s="25" t="s">
        <v>236</v>
      </c>
      <c r="B202" s="26" t="s">
        <v>237</v>
      </c>
      <c r="C202" s="271" t="str">
        <f>'5thMAY'!E202</f>
        <v/>
      </c>
      <c r="D202" s="191"/>
      <c r="E202" s="247"/>
      <c r="F202" s="235" t="s">
        <v>35</v>
      </c>
      <c r="G202" s="235"/>
      <c r="H202" s="272">
        <f>'5thMAY'!J202</f>
        <v>1</v>
      </c>
      <c r="I202" s="281"/>
      <c r="J202" s="282">
        <v>0.914</v>
      </c>
      <c r="K202" s="283"/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0.086</v>
      </c>
      <c r="N202" s="191"/>
      <c r="O202" s="247"/>
    </row>
    <row r="203">
      <c r="A203" s="25" t="s">
        <v>238</v>
      </c>
      <c r="B203" s="26" t="s">
        <v>202</v>
      </c>
      <c r="C203" s="271" t="str">
        <f>'5thMAY'!E203</f>
        <v/>
      </c>
      <c r="D203" s="227"/>
      <c r="E203" s="247"/>
      <c r="F203" s="235" t="s">
        <v>202</v>
      </c>
      <c r="G203" s="235"/>
      <c r="H203" s="272">
        <f>'5thMAY'!J203</f>
        <v>1</v>
      </c>
      <c r="I203" s="281"/>
      <c r="J203" s="282">
        <v>0.25</v>
      </c>
      <c r="K203" s="283"/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0.75</v>
      </c>
      <c r="N203" s="191"/>
      <c r="O203" s="247"/>
    </row>
    <row r="204">
      <c r="A204" s="25" t="s">
        <v>239</v>
      </c>
      <c r="B204" s="26" t="s">
        <v>35</v>
      </c>
      <c r="C204" s="271" t="str">
        <f>'5thMAY'!E204</f>
        <v/>
      </c>
      <c r="D204" s="191"/>
      <c r="E204" s="247"/>
      <c r="F204" s="235" t="s">
        <v>35</v>
      </c>
      <c r="G204" s="235"/>
      <c r="H204" s="272" t="str">
        <f>'5thMAY'!J204</f>
        <v/>
      </c>
      <c r="I204" s="281"/>
      <c r="J204" s="284"/>
      <c r="K204" s="283"/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'5thMAY'!E205</f>
        <v/>
      </c>
      <c r="D205" s="227"/>
      <c r="E205" s="247"/>
      <c r="F205" s="235" t="s">
        <v>17</v>
      </c>
      <c r="G205" s="235"/>
      <c r="H205" s="272">
        <f>'5thMAY'!J205</f>
        <v>3</v>
      </c>
      <c r="I205" s="281"/>
      <c r="J205" s="282">
        <v>1.0</v>
      </c>
      <c r="K205" s="283"/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2</v>
      </c>
      <c r="N205" s="191"/>
      <c r="O205" s="247"/>
    </row>
    <row r="206">
      <c r="A206" s="12" t="s">
        <v>242</v>
      </c>
      <c r="B206" s="12" t="s">
        <v>35</v>
      </c>
      <c r="C206" s="271" t="str">
        <f>'5thMAY'!E206</f>
        <v/>
      </c>
      <c r="D206" s="227"/>
      <c r="E206" s="247"/>
      <c r="F206" s="235" t="s">
        <v>35</v>
      </c>
      <c r="G206" s="235"/>
      <c r="H206" s="272">
        <f>'5thMAY'!J206</f>
        <v>230</v>
      </c>
      <c r="I206" s="281"/>
      <c r="J206" s="282">
        <v>145.0</v>
      </c>
      <c r="K206" s="283"/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85</v>
      </c>
      <c r="N206" s="191"/>
      <c r="O206" s="247"/>
    </row>
    <row r="207">
      <c r="A207" s="12" t="s">
        <v>243</v>
      </c>
      <c r="B207" s="12" t="s">
        <v>241</v>
      </c>
      <c r="C207" s="271">
        <f>'5thMAY'!E207</f>
        <v>4</v>
      </c>
      <c r="D207" s="227">
        <v>6.0</v>
      </c>
      <c r="E207" s="280">
        <v>1.0</v>
      </c>
      <c r="F207" s="235" t="s">
        <v>17</v>
      </c>
      <c r="G207" s="285"/>
      <c r="H207" s="272" t="str">
        <f>'5thMAY'!J207</f>
        <v/>
      </c>
      <c r="I207" s="281"/>
      <c r="J207" s="282"/>
      <c r="K207" s="283"/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9</v>
      </c>
      <c r="N207" s="191"/>
      <c r="O207" s="247"/>
    </row>
    <row r="208">
      <c r="A208" s="10" t="s">
        <v>245</v>
      </c>
      <c r="B208" s="11"/>
      <c r="C208" s="271" t="str">
        <f>'5thMAY'!E208</f>
        <v/>
      </c>
      <c r="D208" s="191"/>
      <c r="E208" s="247"/>
      <c r="F208" s="235"/>
      <c r="G208" s="235"/>
      <c r="H208" s="272" t="str">
        <f>'5thMAY'!J208</f>
        <v/>
      </c>
      <c r="I208" s="281"/>
      <c r="J208" s="284"/>
      <c r="K208" s="283"/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'5thMAY'!E209</f>
        <v/>
      </c>
      <c r="D209" s="227"/>
      <c r="E209" s="247"/>
      <c r="F209" s="235" t="s">
        <v>155</v>
      </c>
      <c r="G209" s="285"/>
      <c r="H209" s="272">
        <f>'5thMAY'!J209</f>
        <v>4</v>
      </c>
      <c r="I209" s="281"/>
      <c r="J209" s="282">
        <v>1.0</v>
      </c>
      <c r="K209" s="283"/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3</v>
      </c>
      <c r="N209" s="191"/>
      <c r="O209" s="247"/>
    </row>
    <row r="210">
      <c r="A210" s="12" t="s">
        <v>247</v>
      </c>
      <c r="B210" s="13" t="s">
        <v>59</v>
      </c>
      <c r="C210" s="271">
        <f>'5thMAY'!E210</f>
        <v>2</v>
      </c>
      <c r="D210" s="191"/>
      <c r="E210" s="280">
        <v>1.0</v>
      </c>
      <c r="F210" s="235" t="s">
        <v>35</v>
      </c>
      <c r="G210" s="235"/>
      <c r="H210" s="272" t="str">
        <f>'5thMAY'!J210</f>
        <v/>
      </c>
      <c r="I210" s="281"/>
      <c r="J210" s="282"/>
      <c r="K210" s="283"/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0.5</v>
      </c>
      <c r="N210" s="191"/>
      <c r="O210" s="247"/>
    </row>
    <row r="211">
      <c r="A211" s="12" t="s">
        <v>248</v>
      </c>
      <c r="B211" s="13" t="s">
        <v>59</v>
      </c>
      <c r="C211" s="271">
        <f>'5thMAY'!E211</f>
        <v>2</v>
      </c>
      <c r="D211" s="191"/>
      <c r="E211" s="280">
        <v>1.0</v>
      </c>
      <c r="F211" s="235" t="s">
        <v>35</v>
      </c>
      <c r="G211" s="235"/>
      <c r="H211" s="272" t="str">
        <f>'5thMAY'!J211</f>
        <v/>
      </c>
      <c r="I211" s="281"/>
      <c r="J211" s="284"/>
      <c r="K211" s="283"/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0.45</v>
      </c>
      <c r="N211" s="191"/>
      <c r="O211" s="247"/>
    </row>
    <row r="212">
      <c r="A212" s="12" t="s">
        <v>250</v>
      </c>
      <c r="B212" s="13" t="s">
        <v>59</v>
      </c>
      <c r="C212" s="271" t="str">
        <f>'5thMAY'!E212</f>
        <v/>
      </c>
      <c r="D212" s="191"/>
      <c r="E212" s="280"/>
      <c r="F212" s="235" t="s">
        <v>35</v>
      </c>
      <c r="G212" s="235"/>
      <c r="H212" s="272">
        <f>'5thMAY'!J212</f>
        <v>0.098</v>
      </c>
      <c r="I212" s="281"/>
      <c r="J212" s="282">
        <v>0.0459</v>
      </c>
      <c r="K212" s="283"/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0.0521</v>
      </c>
      <c r="N212" s="191"/>
      <c r="O212" s="247"/>
    </row>
    <row r="213">
      <c r="A213" s="12" t="s">
        <v>251</v>
      </c>
      <c r="B213" s="13" t="s">
        <v>34</v>
      </c>
      <c r="C213" s="271" t="str">
        <f>'5thMAY'!E213</f>
        <v/>
      </c>
      <c r="D213" s="191"/>
      <c r="E213" s="247"/>
      <c r="F213" s="235" t="s">
        <v>35</v>
      </c>
      <c r="G213" s="235"/>
      <c r="H213" s="272" t="str">
        <f>'5thMAY'!J213</f>
        <v/>
      </c>
      <c r="I213" s="281"/>
      <c r="J213" s="284"/>
      <c r="K213" s="283"/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'5thMAY'!E214</f>
        <v/>
      </c>
      <c r="D214" s="191"/>
      <c r="E214" s="247"/>
      <c r="F214" s="235"/>
      <c r="G214" s="235"/>
      <c r="H214" s="272" t="str">
        <f>'5thMAY'!J214</f>
        <v/>
      </c>
      <c r="I214" s="281"/>
      <c r="J214" s="284"/>
      <c r="K214" s="283"/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'5thMAY'!E215</f>
        <v/>
      </c>
      <c r="D215" s="191"/>
      <c r="E215" s="247"/>
      <c r="F215" s="235" t="s">
        <v>254</v>
      </c>
      <c r="G215" s="235"/>
      <c r="H215" s="272" t="str">
        <f>'5thMAY'!J215</f>
        <v/>
      </c>
      <c r="I215" s="281"/>
      <c r="J215" s="284"/>
      <c r="K215" s="283"/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'5thMAY'!E216</f>
        <v/>
      </c>
      <c r="D216" s="191"/>
      <c r="E216" s="247"/>
      <c r="F216" s="235" t="s">
        <v>234</v>
      </c>
      <c r="G216" s="235"/>
      <c r="H216" s="272" t="str">
        <f>'5thMAY'!J216</f>
        <v/>
      </c>
      <c r="I216" s="281"/>
      <c r="J216" s="284"/>
      <c r="K216" s="283"/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'5thMAY'!E217</f>
        <v/>
      </c>
      <c r="D217" s="227"/>
      <c r="E217" s="247"/>
      <c r="F217" s="235" t="s">
        <v>17</v>
      </c>
      <c r="G217" s="235"/>
      <c r="H217" s="272">
        <f>'5thMAY'!J217</f>
        <v>9</v>
      </c>
      <c r="I217" s="281"/>
      <c r="J217" s="282">
        <v>8.0</v>
      </c>
      <c r="K217" s="283"/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1</v>
      </c>
      <c r="N217" s="191"/>
      <c r="O217" s="247"/>
    </row>
    <row r="218">
      <c r="A218" s="12" t="s">
        <v>260</v>
      </c>
      <c r="B218" s="12" t="s">
        <v>261</v>
      </c>
      <c r="C218" s="271">
        <f>'5thMAY'!E218</f>
        <v>1</v>
      </c>
      <c r="D218" s="191"/>
      <c r="E218" s="280">
        <v>1.0</v>
      </c>
      <c r="F218" s="235" t="s">
        <v>35</v>
      </c>
      <c r="G218" s="235"/>
      <c r="H218" s="272" t="str">
        <f>'5thMAY'!J218</f>
        <v/>
      </c>
      <c r="I218" s="281"/>
      <c r="J218" s="282"/>
      <c r="K218" s="283"/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</v>
      </c>
      <c r="N218" s="191"/>
      <c r="O218" s="247"/>
    </row>
    <row r="219">
      <c r="A219" s="12" t="s">
        <v>263</v>
      </c>
      <c r="B219" s="12" t="s">
        <v>17</v>
      </c>
      <c r="C219" s="271" t="str">
        <f>'5thMAY'!E219</f>
        <v/>
      </c>
      <c r="D219" s="227"/>
      <c r="E219" s="247"/>
      <c r="F219" s="235" t="s">
        <v>17</v>
      </c>
      <c r="G219" s="235"/>
      <c r="H219" s="272">
        <f>'5thMAY'!J219</f>
        <v>53</v>
      </c>
      <c r="I219" s="281"/>
      <c r="J219" s="282">
        <v>41.0</v>
      </c>
      <c r="K219" s="283"/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12</v>
      </c>
      <c r="N219" s="191"/>
      <c r="O219" s="247"/>
    </row>
    <row r="220">
      <c r="A220" s="12" t="s">
        <v>264</v>
      </c>
      <c r="B220" s="12" t="s">
        <v>261</v>
      </c>
      <c r="C220" s="271">
        <f>'5thMAY'!E220</f>
        <v>1</v>
      </c>
      <c r="D220" s="191"/>
      <c r="E220" s="280">
        <v>1.0</v>
      </c>
      <c r="F220" s="235" t="s">
        <v>35</v>
      </c>
      <c r="G220" s="235"/>
      <c r="H220" s="272" t="str">
        <f>'5thMAY'!J220</f>
        <v/>
      </c>
      <c r="I220" s="281"/>
      <c r="J220" s="284"/>
      <c r="K220" s="283"/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</v>
      </c>
      <c r="N220" s="191"/>
      <c r="O220" s="247"/>
    </row>
    <row r="221">
      <c r="A221" s="12" t="s">
        <v>265</v>
      </c>
      <c r="B221" s="12" t="s">
        <v>40</v>
      </c>
      <c r="C221" s="271" t="str">
        <f>'5thMAY'!E221</f>
        <v/>
      </c>
      <c r="D221" s="227">
        <v>1.0</v>
      </c>
      <c r="E221" s="247"/>
      <c r="F221" s="235" t="s">
        <v>17</v>
      </c>
      <c r="G221" s="235"/>
      <c r="H221" s="272">
        <f>'5thMAY'!J221</f>
        <v>52</v>
      </c>
      <c r="I221" s="281"/>
      <c r="J221" s="282">
        <v>23.0</v>
      </c>
      <c r="K221" s="283"/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54</v>
      </c>
      <c r="N221" s="191"/>
      <c r="O221" s="247"/>
    </row>
    <row r="222">
      <c r="A222" s="12" t="s">
        <v>266</v>
      </c>
      <c r="B222" s="12" t="s">
        <v>267</v>
      </c>
      <c r="C222" s="271" t="str">
        <f>'5thMAY'!E222</f>
        <v/>
      </c>
      <c r="D222" s="191"/>
      <c r="E222" s="247"/>
      <c r="F222" s="235" t="s">
        <v>17</v>
      </c>
      <c r="G222" s="235"/>
      <c r="H222" s="272">
        <f>'5thMAY'!J222</f>
        <v>32</v>
      </c>
      <c r="I222" s="281"/>
      <c r="J222" s="282">
        <v>17.0</v>
      </c>
      <c r="K222" s="283"/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15</v>
      </c>
      <c r="N222" s="191"/>
      <c r="O222" s="247"/>
    </row>
    <row r="223">
      <c r="A223" s="12" t="s">
        <v>268</v>
      </c>
      <c r="B223" s="12" t="s">
        <v>40</v>
      </c>
      <c r="C223" s="271" t="str">
        <f>'5thMAY'!E223</f>
        <v/>
      </c>
      <c r="D223" s="191"/>
      <c r="E223" s="247"/>
      <c r="F223" s="235" t="s">
        <v>17</v>
      </c>
      <c r="G223" s="235"/>
      <c r="H223" s="272">
        <f>'5thMAY'!J223</f>
        <v>25</v>
      </c>
      <c r="I223" s="281"/>
      <c r="J223" s="282">
        <v>7.0</v>
      </c>
      <c r="K223" s="283"/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18</v>
      </c>
      <c r="N223" s="191"/>
      <c r="O223" s="247"/>
    </row>
    <row r="224">
      <c r="A224" s="12" t="s">
        <v>269</v>
      </c>
      <c r="B224" s="294" t="s">
        <v>40</v>
      </c>
      <c r="C224" s="271" t="str">
        <f>'5thMAY'!E224</f>
        <v/>
      </c>
      <c r="D224" s="191"/>
      <c r="E224" s="191"/>
      <c r="F224" s="191" t="s">
        <v>17</v>
      </c>
      <c r="G224" s="191"/>
      <c r="H224" s="272">
        <f>'5thMAY'!J224</f>
        <v>32</v>
      </c>
      <c r="I224" s="281"/>
      <c r="J224" s="227">
        <v>11.0</v>
      </c>
      <c r="K224" s="283"/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21</v>
      </c>
      <c r="N224" s="191"/>
      <c r="O224" s="247"/>
    </row>
    <row r="225">
      <c r="A225" s="12" t="s">
        <v>270</v>
      </c>
      <c r="B225" s="294" t="s">
        <v>40</v>
      </c>
      <c r="C225" s="271" t="str">
        <f>'5thMAY'!E225</f>
        <v/>
      </c>
      <c r="D225" s="227">
        <v>1.0</v>
      </c>
      <c r="E225" s="227">
        <v>1.0</v>
      </c>
      <c r="F225" s="191" t="s">
        <v>17</v>
      </c>
      <c r="G225" s="227"/>
      <c r="H225" s="272">
        <f>'5thMAY'!J225</f>
        <v>15</v>
      </c>
      <c r="I225" s="281"/>
      <c r="J225" s="227"/>
      <c r="K225" s="283"/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15</v>
      </c>
      <c r="N225" s="191"/>
      <c r="O225" s="247"/>
    </row>
    <row r="226">
      <c r="A226" s="12" t="s">
        <v>271</v>
      </c>
      <c r="B226" s="294" t="s">
        <v>40</v>
      </c>
      <c r="C226" s="271" t="str">
        <f>'5thMAY'!E226</f>
        <v/>
      </c>
      <c r="D226" s="227"/>
      <c r="E226" s="191"/>
      <c r="F226" s="191" t="s">
        <v>17</v>
      </c>
      <c r="G226" s="191"/>
      <c r="H226" s="272">
        <f>'5thMAY'!J226</f>
        <v>70</v>
      </c>
      <c r="I226" s="281"/>
      <c r="J226" s="227">
        <v>29.0</v>
      </c>
      <c r="K226" s="283"/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41</v>
      </c>
      <c r="N226" s="191"/>
      <c r="O226" s="247"/>
    </row>
    <row r="227">
      <c r="A227" s="12" t="s">
        <v>272</v>
      </c>
      <c r="B227" s="294" t="s">
        <v>40</v>
      </c>
      <c r="C227" s="271" t="str">
        <f>'5thMAY'!E227</f>
        <v/>
      </c>
      <c r="D227" s="297"/>
      <c r="E227" s="296"/>
      <c r="F227" s="296" t="s">
        <v>17</v>
      </c>
      <c r="G227" s="297">
        <v>4.0</v>
      </c>
      <c r="H227" s="272">
        <f>'5thMAY'!J227</f>
        <v>9</v>
      </c>
      <c r="I227" s="281"/>
      <c r="J227" s="297">
        <v>13.0</v>
      </c>
      <c r="K227" s="283"/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0</v>
      </c>
      <c r="N227" s="296"/>
      <c r="O227" s="299"/>
    </row>
    <row r="228">
      <c r="A228" s="23"/>
      <c r="B228" s="11"/>
      <c r="C228" s="271" t="str">
        <f>'5thMAY'!E228</f>
        <v/>
      </c>
      <c r="D228" s="11"/>
      <c r="E228" s="11"/>
      <c r="F228" s="11"/>
      <c r="G228" s="11"/>
      <c r="H228" s="272" t="str">
        <f>'5thMAY'!J228</f>
        <v/>
      </c>
      <c r="I228" s="1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'5thMAY'!E229</f>
        <v/>
      </c>
      <c r="D229" s="11"/>
      <c r="E229" s="11"/>
      <c r="F229" s="11"/>
      <c r="G229" s="11"/>
      <c r="H229" s="272" t="str">
        <f>'5thMAY'!J229</f>
        <v/>
      </c>
      <c r="I229" s="11"/>
      <c r="J229" s="11"/>
      <c r="K229" s="11"/>
      <c r="L229" s="11"/>
      <c r="M229" s="11"/>
      <c r="N229" s="11"/>
      <c r="O229" s="11"/>
    </row>
    <row r="230">
      <c r="A230" s="11"/>
      <c r="B230" s="11"/>
      <c r="C230" s="271" t="str">
        <f>'5thMAY'!E230</f>
        <v/>
      </c>
      <c r="D230" s="11"/>
      <c r="E230" s="11"/>
      <c r="F230" s="11"/>
      <c r="G230" s="11"/>
      <c r="H230" s="272" t="str">
        <f>'5thMAY'!J230</f>
        <v/>
      </c>
      <c r="I230" s="11"/>
      <c r="J230" s="11"/>
      <c r="K230" s="11"/>
      <c r="L230" s="11"/>
      <c r="M230" s="11"/>
      <c r="N230" s="11"/>
      <c r="O230" s="11"/>
    </row>
    <row r="231">
      <c r="A231" s="11"/>
      <c r="B231" s="11"/>
      <c r="C231" s="271" t="str">
        <f>'5thMAY'!E231</f>
        <v/>
      </c>
      <c r="D231" s="11"/>
      <c r="E231" s="11"/>
      <c r="F231" s="11"/>
      <c r="G231" s="11"/>
      <c r="H231" s="272" t="str">
        <f>'5thMAY'!J231</f>
        <v/>
      </c>
      <c r="I231" s="11"/>
      <c r="J231" s="11"/>
      <c r="K231" s="11"/>
      <c r="L231" s="11"/>
      <c r="M231" s="11"/>
      <c r="N231" s="11"/>
      <c r="O231" s="11"/>
    </row>
    <row r="232">
      <c r="A232" s="11"/>
      <c r="B232" s="11"/>
      <c r="C232" s="271" t="str">
        <f>'5thMAY'!E232</f>
        <v/>
      </c>
      <c r="D232" s="11"/>
      <c r="E232" s="11"/>
      <c r="F232" s="11"/>
      <c r="G232" s="11"/>
      <c r="H232" s="272" t="str">
        <f>'5thMAY'!J232</f>
        <v/>
      </c>
      <c r="I232" s="11"/>
      <c r="J232" s="11"/>
      <c r="K232" s="11"/>
      <c r="L232" s="11"/>
      <c r="M232" s="11"/>
      <c r="N232" s="11"/>
      <c r="O232" s="11"/>
    </row>
    <row r="233">
      <c r="A233" s="11"/>
      <c r="B233" s="11"/>
      <c r="C233" s="271" t="str">
        <f>'5thMAY'!E233</f>
        <v/>
      </c>
      <c r="D233" s="11"/>
      <c r="E233" s="11"/>
      <c r="F233" s="11"/>
      <c r="G233" s="11"/>
      <c r="H233" s="272" t="str">
        <f>'5thMAY'!J233</f>
        <v/>
      </c>
      <c r="I233" s="11"/>
      <c r="J233" s="11"/>
      <c r="K233" s="11"/>
      <c r="L233" s="11"/>
      <c r="M233" s="11"/>
      <c r="N233" s="11"/>
      <c r="O233" s="11"/>
    </row>
    <row r="234">
      <c r="A234" s="11"/>
      <c r="B234" s="11"/>
      <c r="C234" s="271" t="str">
        <f>'5thMAY'!E234</f>
        <v/>
      </c>
      <c r="D234" s="11"/>
      <c r="E234" s="11"/>
      <c r="F234" s="11"/>
      <c r="G234" s="11"/>
      <c r="H234" s="272" t="str">
        <f>'5thMAY'!J234</f>
        <v/>
      </c>
      <c r="I234" s="11"/>
      <c r="J234" s="11"/>
      <c r="K234" s="11"/>
      <c r="L234" s="11"/>
      <c r="M234" s="11"/>
      <c r="N234" s="11"/>
      <c r="O234" s="11"/>
    </row>
    <row r="235">
      <c r="A235" s="11"/>
      <c r="B235" s="11"/>
      <c r="C235" s="271" t="str">
        <f>'5thMAY'!E235</f>
        <v/>
      </c>
      <c r="D235" s="11"/>
      <c r="E235" s="11"/>
      <c r="F235" s="11"/>
      <c r="G235" s="11"/>
      <c r="H235" s="272" t="str">
        <f>'5thMAY'!J235</f>
        <v/>
      </c>
      <c r="I235" s="11"/>
      <c r="J235" s="11"/>
      <c r="K235" s="11"/>
      <c r="L235" s="11"/>
      <c r="M235" s="11"/>
      <c r="N235" s="11"/>
      <c r="O235" s="11"/>
    </row>
    <row r="236">
      <c r="A236" s="11"/>
      <c r="B236" s="11"/>
      <c r="C236" s="271" t="str">
        <f>'5thMAY'!E236</f>
        <v/>
      </c>
      <c r="D236" s="11"/>
      <c r="E236" s="11"/>
      <c r="F236" s="11"/>
      <c r="G236" s="11"/>
      <c r="H236" s="272" t="str">
        <f>'5thMAY'!J236</f>
        <v/>
      </c>
      <c r="I236" s="11"/>
      <c r="J236" s="11"/>
      <c r="K236" s="11"/>
      <c r="L236" s="11"/>
      <c r="M236" s="11"/>
      <c r="N236" s="11"/>
      <c r="O236" s="11"/>
    </row>
    <row r="237">
      <c r="A237" s="11"/>
      <c r="B237" s="11"/>
      <c r="C237" s="271" t="str">
        <f>'5thMAY'!E237</f>
        <v/>
      </c>
      <c r="D237" s="11"/>
      <c r="E237" s="11"/>
      <c r="F237" s="11"/>
      <c r="G237" s="11"/>
      <c r="H237" s="272" t="str">
        <f>'5thMAY'!J237</f>
        <v/>
      </c>
      <c r="I237" s="11"/>
      <c r="J237" s="11"/>
      <c r="K237" s="11"/>
      <c r="L237" s="11"/>
      <c r="M237" s="11"/>
      <c r="N237" s="11"/>
      <c r="O237" s="11"/>
    </row>
    <row r="238">
      <c r="A238" s="11"/>
      <c r="B238" s="11"/>
      <c r="C238" s="271" t="str">
        <f>'5thMAY'!E238</f>
        <v/>
      </c>
      <c r="D238" s="11"/>
      <c r="E238" s="11"/>
      <c r="F238" s="11"/>
      <c r="G238" s="11"/>
      <c r="H238" s="272" t="str">
        <f>'5thMAY'!J238</f>
        <v/>
      </c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271" t="str">
        <f>'5thMAY'!E239</f>
        <v/>
      </c>
      <c r="D239" s="11"/>
      <c r="E239" s="11"/>
      <c r="F239" s="11"/>
      <c r="G239" s="11"/>
      <c r="H239" s="272" t="str">
        <f>'5thMAY'!J239</f>
        <v/>
      </c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271" t="str">
        <f>'5thMAY'!E240</f>
        <v/>
      </c>
      <c r="D240" s="11"/>
      <c r="E240" s="11"/>
      <c r="F240" s="11"/>
      <c r="G240" s="11"/>
      <c r="H240" s="272" t="str">
        <f>'5thMAY'!J240</f>
        <v/>
      </c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271" t="str">
        <f>'5thMAY'!E241</f>
        <v/>
      </c>
      <c r="D241" s="11"/>
      <c r="E241" s="11"/>
      <c r="F241" s="11"/>
      <c r="G241" s="11"/>
      <c r="H241" s="272" t="str">
        <f>'5thMAY'!J241</f>
        <v/>
      </c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271" t="str">
        <f>'5thMAY'!E242</f>
        <v/>
      </c>
      <c r="D242" s="11"/>
      <c r="E242" s="11"/>
      <c r="F242" s="11"/>
      <c r="G242" s="11"/>
      <c r="H242" s="272" t="str">
        <f>'5thMAY'!J242</f>
        <v/>
      </c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271" t="str">
        <f>'5thMAY'!E243</f>
        <v/>
      </c>
      <c r="D243" s="11"/>
      <c r="E243" s="11"/>
      <c r="F243" s="11"/>
      <c r="G243" s="11"/>
      <c r="H243" s="272" t="str">
        <f>'5thMAY'!J243</f>
        <v/>
      </c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271" t="str">
        <f>'5thMAY'!E244</f>
        <v/>
      </c>
      <c r="D244" s="11"/>
      <c r="E244" s="11"/>
      <c r="F244" s="11"/>
      <c r="G244" s="11"/>
      <c r="H244" s="272" t="str">
        <f>'5thMAY'!J244</f>
        <v/>
      </c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271" t="str">
        <f>'5thMAY'!E245</f>
        <v/>
      </c>
      <c r="D245" s="11"/>
      <c r="E245" s="11"/>
      <c r="F245" s="11"/>
      <c r="G245" s="11"/>
      <c r="H245" s="272" t="str">
        <f>'5thMAY'!J245</f>
        <v/>
      </c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271" t="str">
        <f>'5thMAY'!E246</f>
        <v/>
      </c>
      <c r="D246" s="11"/>
      <c r="E246" s="11"/>
      <c r="F246" s="11"/>
      <c r="G246" s="11"/>
      <c r="H246" s="272" t="str">
        <f>'5thMAY'!J246</f>
        <v/>
      </c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271" t="str">
        <f>'5thMAY'!E247</f>
        <v/>
      </c>
      <c r="D247" s="11"/>
      <c r="E247" s="11"/>
      <c r="F247" s="11"/>
      <c r="G247" s="11"/>
      <c r="H247" s="272" t="str">
        <f>'5thMAY'!J247</f>
        <v/>
      </c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271" t="str">
        <f>'5thMAY'!E248</f>
        <v/>
      </c>
      <c r="D248" s="11"/>
      <c r="E248" s="11"/>
      <c r="F248" s="11"/>
      <c r="G248" s="11"/>
      <c r="H248" s="272" t="str">
        <f>'5thMAY'!J248</f>
        <v/>
      </c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271" t="str">
        <f>'5thMAY'!E249</f>
        <v/>
      </c>
      <c r="D249" s="11"/>
      <c r="E249" s="11"/>
      <c r="F249" s="11"/>
      <c r="G249" s="11"/>
      <c r="H249" s="272" t="str">
        <f>'5thMAY'!J249</f>
        <v/>
      </c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271" t="str">
        <f>'5thMAY'!E250</f>
        <v/>
      </c>
      <c r="D250" s="11"/>
      <c r="E250" s="11"/>
      <c r="F250" s="11"/>
      <c r="G250" s="11"/>
      <c r="H250" s="272" t="str">
        <f>'5thMAY'!J250</f>
        <v/>
      </c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271" t="str">
        <f>'5thMAY'!E251</f>
        <v/>
      </c>
      <c r="D251" s="11"/>
      <c r="E251" s="11"/>
      <c r="F251" s="11"/>
      <c r="G251" s="11"/>
      <c r="H251" s="272" t="str">
        <f>'5thMAY'!J251</f>
        <v/>
      </c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271" t="str">
        <f>'5thMAY'!E252</f>
        <v/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271" t="str">
        <f>'5thMAY'!E253</f>
        <v/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271" t="str">
        <f>'5thMAY'!E254</f>
        <v/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19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</sheetData>
  <mergeCells count="4">
    <mergeCell ref="A1:O1"/>
    <mergeCell ref="B2:E2"/>
    <mergeCell ref="F2:K2"/>
    <mergeCell ref="L2:O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1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f>'4thMAY'!E5</f>
        <v>10</v>
      </c>
      <c r="D5" s="272">
        <v>20.0</v>
      </c>
      <c r="E5" s="273">
        <v>24.0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18</v>
      </c>
      <c r="N5" s="268"/>
      <c r="O5" s="269"/>
    </row>
    <row r="6">
      <c r="A6" s="192" t="s">
        <v>401</v>
      </c>
      <c r="B6" s="191" t="s">
        <v>402</v>
      </c>
      <c r="C6" s="271">
        <f>'4thMAY'!E6</f>
        <v>5</v>
      </c>
      <c r="D6" s="272">
        <v>2.0</v>
      </c>
      <c r="E6" s="273"/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14</v>
      </c>
      <c r="N6" s="268"/>
      <c r="O6" s="269"/>
    </row>
    <row r="7">
      <c r="A7" s="192" t="s">
        <v>404</v>
      </c>
      <c r="B7" s="191" t="s">
        <v>402</v>
      </c>
      <c r="C7" s="271">
        <f>'4thMAY'!E7</f>
        <v>7.4</v>
      </c>
      <c r="D7" s="268"/>
      <c r="E7" s="273">
        <v>1.0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32</v>
      </c>
      <c r="N7" s="268"/>
      <c r="O7" s="269"/>
    </row>
    <row r="8">
      <c r="A8" s="192" t="s">
        <v>406</v>
      </c>
      <c r="B8" s="191" t="s">
        <v>402</v>
      </c>
      <c r="C8" s="271">
        <f>'4thMAY'!E8</f>
        <v>5</v>
      </c>
      <c r="D8" s="272">
        <v>5.0</v>
      </c>
      <c r="E8" s="273">
        <v>4.0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6</v>
      </c>
      <c r="N8" s="268"/>
      <c r="O8" s="269"/>
    </row>
    <row r="9">
      <c r="A9" s="192" t="s">
        <v>409</v>
      </c>
      <c r="B9" s="191" t="s">
        <v>402</v>
      </c>
      <c r="C9" s="271" t="str">
        <f>'4thMAY'!E9</f>
        <v/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192" t="s">
        <v>411</v>
      </c>
      <c r="B10" s="191" t="s">
        <v>402</v>
      </c>
      <c r="C10" s="271">
        <f>'4thMAY'!E10</f>
        <v>4</v>
      </c>
      <c r="D10" s="268"/>
      <c r="E10" s="273">
        <v>3.0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8</v>
      </c>
      <c r="N10" s="268"/>
      <c r="O10" s="269"/>
    </row>
    <row r="11">
      <c r="A11" s="204" t="s">
        <v>413</v>
      </c>
      <c r="B11" s="191" t="s">
        <v>402</v>
      </c>
      <c r="C11" s="271">
        <f>'4thMAY'!E11</f>
        <v>1</v>
      </c>
      <c r="D11" s="272">
        <v>11.0</v>
      </c>
      <c r="E11" s="273">
        <v>5.0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7</v>
      </c>
      <c r="N11" s="268"/>
      <c r="O11" s="269"/>
    </row>
    <row r="12">
      <c r="A12" s="192" t="s">
        <v>414</v>
      </c>
      <c r="B12" s="191" t="s">
        <v>402</v>
      </c>
      <c r="C12" s="271" t="str">
        <f>'4thMAY'!E12</f>
        <v/>
      </c>
      <c r="D12" s="268"/>
      <c r="E12" s="273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>
        <f>'4thMAY'!E13</f>
        <v>2</v>
      </c>
      <c r="D13" s="272">
        <v>5.0</v>
      </c>
      <c r="E13" s="273"/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63</v>
      </c>
      <c r="N13" s="268"/>
      <c r="O13" s="269"/>
    </row>
    <row r="14">
      <c r="A14" s="204" t="s">
        <v>418</v>
      </c>
      <c r="B14" s="191" t="s">
        <v>402</v>
      </c>
      <c r="C14" s="271">
        <f>'4thMAY'!E14</f>
        <v>1</v>
      </c>
      <c r="D14" s="272">
        <v>5.0</v>
      </c>
      <c r="E14" s="273">
        <v>1.5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4.5</v>
      </c>
      <c r="N14" s="268"/>
      <c r="O14" s="269"/>
    </row>
    <row r="15">
      <c r="A15" s="204" t="s">
        <v>420</v>
      </c>
      <c r="B15" s="191" t="s">
        <v>402</v>
      </c>
      <c r="C15" s="271">
        <f>'4thMAY'!E15</f>
        <v>5</v>
      </c>
      <c r="D15" s="268"/>
      <c r="E15" s="273">
        <v>3.0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8</v>
      </c>
      <c r="N15" s="268"/>
      <c r="O15" s="269"/>
    </row>
    <row r="16">
      <c r="A16" s="192" t="s">
        <v>422</v>
      </c>
      <c r="B16" s="191" t="s">
        <v>402</v>
      </c>
      <c r="C16" s="271" t="str">
        <f>'4thMAY'!E16</f>
        <v/>
      </c>
      <c r="D16" s="272">
        <v>6.0</v>
      </c>
      <c r="E16" s="273">
        <v>6.0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0</v>
      </c>
      <c r="N16" s="268"/>
      <c r="O16" s="269"/>
    </row>
    <row r="17">
      <c r="A17" s="192" t="s">
        <v>423</v>
      </c>
      <c r="B17" s="191" t="s">
        <v>402</v>
      </c>
      <c r="C17" s="271">
        <f>'4thMAY'!E17</f>
        <v>2</v>
      </c>
      <c r="D17" s="272">
        <v>5.0</v>
      </c>
      <c r="E17" s="273">
        <v>4.0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6</v>
      </c>
      <c r="N17" s="268"/>
      <c r="O17" s="269"/>
    </row>
    <row r="18">
      <c r="A18" s="192" t="s">
        <v>425</v>
      </c>
      <c r="B18" s="191" t="s">
        <v>402</v>
      </c>
      <c r="C18" s="271">
        <f>'4thMAY'!E18</f>
        <v>5</v>
      </c>
      <c r="D18" s="268"/>
      <c r="E18" s="273">
        <v>4.0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2</v>
      </c>
      <c r="N18" s="268"/>
      <c r="O18" s="269"/>
    </row>
    <row r="19">
      <c r="A19" s="192" t="s">
        <v>426</v>
      </c>
      <c r="B19" s="191" t="s">
        <v>402</v>
      </c>
      <c r="C19" s="271" t="str">
        <f>'4thMAY'!E19</f>
        <v/>
      </c>
      <c r="D19" s="272">
        <v>5.0</v>
      </c>
      <c r="E19" s="273">
        <v>3.0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2</v>
      </c>
      <c r="N19" s="268"/>
      <c r="O19" s="269"/>
    </row>
    <row r="20">
      <c r="A20" s="192" t="s">
        <v>428</v>
      </c>
      <c r="B20" s="191" t="s">
        <v>402</v>
      </c>
      <c r="C20" s="271">
        <f>'4thMAY'!E20</f>
        <v>4</v>
      </c>
      <c r="D20" s="268"/>
      <c r="E20" s="273">
        <v>3.0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1</v>
      </c>
      <c r="N20" s="268"/>
      <c r="O20" s="269"/>
    </row>
    <row r="21">
      <c r="A21" s="204" t="s">
        <v>429</v>
      </c>
      <c r="B21" s="191" t="s">
        <v>402</v>
      </c>
      <c r="C21" s="271">
        <f>'4thMAY'!E21</f>
        <v>6</v>
      </c>
      <c r="D21" s="272"/>
      <c r="E21" s="273">
        <v>6.0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0</v>
      </c>
      <c r="N21" s="268"/>
      <c r="O21" s="269"/>
    </row>
    <row r="22">
      <c r="A22" s="204" t="s">
        <v>431</v>
      </c>
      <c r="B22" s="191" t="s">
        <v>402</v>
      </c>
      <c r="C22" s="271" t="str">
        <f>'4thMAY'!E22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>
        <f>'4thMAY'!E23</f>
        <v>3.1</v>
      </c>
      <c r="D23" s="272">
        <v>5.0</v>
      </c>
      <c r="E23" s="273">
        <v>7.0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2.2</v>
      </c>
      <c r="N23" s="268"/>
      <c r="O23" s="269"/>
    </row>
    <row r="24">
      <c r="A24" s="192" t="s">
        <v>433</v>
      </c>
      <c r="B24" s="191" t="s">
        <v>402</v>
      </c>
      <c r="C24" s="271">
        <f>'4thMAY'!E24</f>
        <v>13</v>
      </c>
      <c r="D24" s="272"/>
      <c r="E24" s="273">
        <v>5.0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8</v>
      </c>
      <c r="N24" s="268"/>
      <c r="O24" s="269"/>
    </row>
    <row r="25">
      <c r="A25" s="204" t="s">
        <v>435</v>
      </c>
      <c r="B25" s="191" t="s">
        <v>402</v>
      </c>
      <c r="C25" s="271" t="str">
        <f>'4thMAY'!E25</f>
        <v/>
      </c>
      <c r="D25" s="272">
        <v>5.0</v>
      </c>
      <c r="E25" s="273">
        <v>2.0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3</v>
      </c>
      <c r="N25" s="268"/>
      <c r="O25" s="269"/>
    </row>
    <row r="26">
      <c r="A26" s="192" t="s">
        <v>438</v>
      </c>
      <c r="B26" s="191" t="s">
        <v>402</v>
      </c>
      <c r="C26" s="271">
        <f>'4thMAY'!E26</f>
        <v>1</v>
      </c>
      <c r="D26" s="272">
        <v>5.0</v>
      </c>
      <c r="E26" s="273">
        <v>5.0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1</v>
      </c>
      <c r="N26" s="268"/>
      <c r="O26" s="269"/>
    </row>
    <row r="27">
      <c r="A27" s="192" t="s">
        <v>439</v>
      </c>
      <c r="B27" s="191" t="s">
        <v>402</v>
      </c>
      <c r="C27" s="271" t="str">
        <f>'4thMAY'!E27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f>'4thMAY'!E28</f>
        <v>1</v>
      </c>
      <c r="D28" s="272">
        <v>10.0</v>
      </c>
      <c r="E28" s="273">
        <v>9.0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2</v>
      </c>
      <c r="N28" s="268"/>
      <c r="O28" s="269"/>
    </row>
    <row r="29">
      <c r="A29" s="204" t="s">
        <v>441</v>
      </c>
      <c r="B29" s="191" t="s">
        <v>402</v>
      </c>
      <c r="C29" s="271">
        <f>'4thMAY'!E29</f>
        <v>7.1</v>
      </c>
      <c r="D29" s="268"/>
      <c r="E29" s="273">
        <v>5.0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4.2</v>
      </c>
      <c r="N29" s="268"/>
      <c r="O29" s="269"/>
    </row>
    <row r="30">
      <c r="A30" s="204" t="s">
        <v>442</v>
      </c>
      <c r="B30" s="191" t="s">
        <v>402</v>
      </c>
      <c r="C30" s="271">
        <f>'4thMAY'!E30</f>
        <v>8</v>
      </c>
      <c r="D30" s="268"/>
      <c r="E30" s="273">
        <v>7.0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1</v>
      </c>
      <c r="N30" s="268"/>
      <c r="O30" s="269"/>
    </row>
    <row r="31">
      <c r="A31" s="204" t="s">
        <v>444</v>
      </c>
      <c r="B31" s="191" t="s">
        <v>402</v>
      </c>
      <c r="C31" s="271">
        <f>'4thMAY'!E31</f>
        <v>2</v>
      </c>
      <c r="D31" s="272">
        <v>10.0</v>
      </c>
      <c r="E31" s="273">
        <v>1.0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11</v>
      </c>
      <c r="N31" s="268"/>
      <c r="O31" s="269"/>
    </row>
    <row r="32">
      <c r="A32" s="204" t="s">
        <v>445</v>
      </c>
      <c r="B32" s="191" t="s">
        <v>402</v>
      </c>
      <c r="C32" s="271">
        <f>'4thMAY'!E32</f>
        <v>2</v>
      </c>
      <c r="D32" s="268"/>
      <c r="E32" s="273">
        <v>1.0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4</v>
      </c>
      <c r="N32" s="268"/>
      <c r="O32" s="269"/>
    </row>
    <row r="33">
      <c r="A33" s="192" t="s">
        <v>446</v>
      </c>
      <c r="B33" s="191" t="s">
        <v>402</v>
      </c>
      <c r="C33" s="271">
        <f>'4thMAY'!E33</f>
        <v>1</v>
      </c>
      <c r="D33" s="268"/>
      <c r="E33" s="273">
        <v>1.0</v>
      </c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192" t="s">
        <v>447</v>
      </c>
      <c r="B34" s="191" t="s">
        <v>402</v>
      </c>
      <c r="C34" s="271">
        <f>'4thMAY'!E34</f>
        <v>1</v>
      </c>
      <c r="D34" s="272">
        <v>4.0</v>
      </c>
      <c r="E34" s="273"/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5</v>
      </c>
      <c r="N34" s="268"/>
      <c r="O34" s="269"/>
    </row>
    <row r="35">
      <c r="A35" s="204" t="s">
        <v>449</v>
      </c>
      <c r="B35" s="191" t="s">
        <v>402</v>
      </c>
      <c r="C35" s="271">
        <f>'4thMAY'!E35</f>
        <v>1</v>
      </c>
      <c r="D35" s="272">
        <v>5.0</v>
      </c>
      <c r="E35" s="273">
        <v>5.0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1</v>
      </c>
      <c r="N35" s="268"/>
      <c r="O35" s="269"/>
    </row>
    <row r="36">
      <c r="A36" s="192" t="s">
        <v>451</v>
      </c>
      <c r="B36" s="191" t="s">
        <v>402</v>
      </c>
      <c r="C36" s="271">
        <f>'4thMAY'!E36</f>
        <v>5</v>
      </c>
      <c r="D36" s="272"/>
      <c r="E36" s="273">
        <v>1.0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8</v>
      </c>
      <c r="N36" s="268"/>
      <c r="O36" s="269"/>
    </row>
    <row r="37">
      <c r="A37" s="225" t="s">
        <v>452</v>
      </c>
      <c r="B37" s="191" t="s">
        <v>402</v>
      </c>
      <c r="C37" s="271">
        <f>'4thMAY'!E37</f>
        <v>4</v>
      </c>
      <c r="D37" s="272">
        <v>10.0</v>
      </c>
      <c r="E37" s="273">
        <v>12.0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8</v>
      </c>
      <c r="N37" s="268"/>
      <c r="O37" s="269"/>
    </row>
    <row r="38">
      <c r="A38" s="225" t="s">
        <v>454</v>
      </c>
      <c r="B38" s="191" t="s">
        <v>402</v>
      </c>
      <c r="C38" s="271">
        <f>'4thMAY'!E38</f>
        <v>4</v>
      </c>
      <c r="D38" s="268"/>
      <c r="E38" s="273">
        <v>3.0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4</v>
      </c>
      <c r="N38" s="268"/>
      <c r="O38" s="269"/>
    </row>
    <row r="39">
      <c r="A39" s="223" t="s">
        <v>455</v>
      </c>
      <c r="B39" s="191" t="s">
        <v>402</v>
      </c>
      <c r="C39" s="271" t="str">
        <f>'4thMAY'!E39</f>
        <v/>
      </c>
      <c r="D39" s="272">
        <v>4.0</v>
      </c>
      <c r="E39" s="273">
        <v>4.0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0</v>
      </c>
      <c r="N39" s="268"/>
      <c r="O39" s="269"/>
    </row>
    <row r="40">
      <c r="A40" s="223" t="s">
        <v>456</v>
      </c>
      <c r="B40" s="191" t="s">
        <v>402</v>
      </c>
      <c r="C40" s="271">
        <f>'4thMAY'!E40</f>
        <v>4</v>
      </c>
      <c r="D40" s="272">
        <v>5.0</v>
      </c>
      <c r="E40" s="273">
        <v>9.0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0</v>
      </c>
      <c r="N40" s="268"/>
      <c r="O40" s="269"/>
    </row>
    <row r="41">
      <c r="A41" s="223" t="s">
        <v>457</v>
      </c>
      <c r="B41" s="191" t="s">
        <v>402</v>
      </c>
      <c r="C41" s="271" t="str">
        <f>'4thMAY'!E41</f>
        <v/>
      </c>
      <c r="D41" s="272">
        <v>0.5</v>
      </c>
      <c r="E41" s="273">
        <v>0.5</v>
      </c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307" t="s">
        <v>762</v>
      </c>
      <c r="B42" s="191"/>
      <c r="C42" s="271" t="str">
        <f>'4thMAY'!E42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'4thMAY'!E43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'4thMAY'!E44</f>
        <v/>
      </c>
      <c r="D44" s="227"/>
      <c r="E44" s="280"/>
      <c r="F44" s="235" t="s">
        <v>14</v>
      </c>
      <c r="G44" s="235"/>
      <c r="H44" s="272">
        <f>'4thMAY'!J44</f>
        <v>0.5</v>
      </c>
      <c r="I44" s="281">
        <v>1.0</v>
      </c>
      <c r="J44" s="282"/>
      <c r="K44" s="283">
        <v>1.0</v>
      </c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0.5</v>
      </c>
      <c r="N44" s="191"/>
      <c r="O44" s="247"/>
    </row>
    <row r="45">
      <c r="A45" s="12" t="s">
        <v>16</v>
      </c>
      <c r="B45" s="13" t="s">
        <v>17</v>
      </c>
      <c r="C45" s="271" t="str">
        <f>'4thMAY'!E45</f>
        <v/>
      </c>
      <c r="D45" s="227">
        <v>10.0</v>
      </c>
      <c r="E45" s="280"/>
      <c r="F45" s="235" t="s">
        <v>17</v>
      </c>
      <c r="G45" s="235"/>
      <c r="H45" s="272">
        <f>'4thMAY'!J45</f>
        <v>1</v>
      </c>
      <c r="I45" s="281">
        <v>1.0</v>
      </c>
      <c r="J45" s="284"/>
      <c r="K45" s="283">
        <v>1.0</v>
      </c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11</v>
      </c>
      <c r="N45" s="191"/>
      <c r="O45" s="247"/>
    </row>
    <row r="46">
      <c r="A46" s="15" t="s">
        <v>19</v>
      </c>
      <c r="B46" s="13" t="s">
        <v>17</v>
      </c>
      <c r="C46" s="271" t="str">
        <f>'4thMAY'!E46</f>
        <v/>
      </c>
      <c r="D46" s="227"/>
      <c r="E46" s="280"/>
      <c r="F46" s="235" t="s">
        <v>17</v>
      </c>
      <c r="G46" s="235"/>
      <c r="H46" s="272">
        <f>'4thMAY'!J46</f>
        <v>7</v>
      </c>
      <c r="I46" s="281">
        <v>1.0</v>
      </c>
      <c r="J46" s="284"/>
      <c r="K46" s="283">
        <v>1.0</v>
      </c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7</v>
      </c>
      <c r="N46" s="191"/>
      <c r="O46" s="247"/>
    </row>
    <row r="47">
      <c r="A47" s="12" t="s">
        <v>20</v>
      </c>
      <c r="B47" s="13" t="s">
        <v>17</v>
      </c>
      <c r="C47" s="271" t="str">
        <f>'4thMAY'!E47</f>
        <v/>
      </c>
      <c r="D47" s="191"/>
      <c r="E47" s="280"/>
      <c r="F47" s="235" t="s">
        <v>17</v>
      </c>
      <c r="G47" s="235"/>
      <c r="H47" s="272">
        <f>'4thMAY'!J47</f>
        <v>7</v>
      </c>
      <c r="I47" s="281">
        <v>1.0</v>
      </c>
      <c r="J47" s="284"/>
      <c r="K47" s="283">
        <v>1.0</v>
      </c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7</v>
      </c>
      <c r="N47" s="191"/>
      <c r="O47" s="247"/>
    </row>
    <row r="48">
      <c r="A48" s="12" t="s">
        <v>21</v>
      </c>
      <c r="B48" s="13" t="s">
        <v>17</v>
      </c>
      <c r="C48" s="271" t="str">
        <f>'4thMAY'!E48</f>
        <v/>
      </c>
      <c r="D48" s="227"/>
      <c r="E48" s="280"/>
      <c r="F48" s="235" t="s">
        <v>17</v>
      </c>
      <c r="G48" s="235"/>
      <c r="H48" s="272">
        <f>'4thMAY'!J48</f>
        <v>7</v>
      </c>
      <c r="I48" s="281">
        <v>1.0</v>
      </c>
      <c r="J48" s="284"/>
      <c r="K48" s="283">
        <v>1.0</v>
      </c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7</v>
      </c>
      <c r="N48" s="191"/>
      <c r="O48" s="247"/>
    </row>
    <row r="49">
      <c r="A49" s="12" t="s">
        <v>22</v>
      </c>
      <c r="B49" s="13" t="s">
        <v>17</v>
      </c>
      <c r="C49" s="271" t="str">
        <f>'4thMAY'!E49</f>
        <v/>
      </c>
      <c r="D49" s="191"/>
      <c r="E49" s="247"/>
      <c r="F49" s="235" t="s">
        <v>17</v>
      </c>
      <c r="G49" s="235"/>
      <c r="H49" s="272" t="str">
        <f>'4thMAY'!J49</f>
        <v/>
      </c>
      <c r="I49" s="281">
        <v>1.0</v>
      </c>
      <c r="J49" s="284"/>
      <c r="K49" s="283">
        <v>1.0</v>
      </c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'4thMAY'!E50</f>
        <v/>
      </c>
      <c r="D50" s="227"/>
      <c r="E50" s="247"/>
      <c r="F50" s="235" t="s">
        <v>25</v>
      </c>
      <c r="G50" s="285">
        <v>0.306</v>
      </c>
      <c r="H50" s="272">
        <f>'4thMAY'!J50</f>
        <v>0.209</v>
      </c>
      <c r="I50" s="281">
        <v>1.0</v>
      </c>
      <c r="J50" s="282">
        <v>0.306</v>
      </c>
      <c r="K50" s="283">
        <v>1.0</v>
      </c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0.209</v>
      </c>
      <c r="N50" s="191"/>
      <c r="O50" s="247"/>
    </row>
    <row r="51">
      <c r="A51" s="12" t="s">
        <v>27</v>
      </c>
      <c r="B51" s="12" t="s">
        <v>24</v>
      </c>
      <c r="C51" s="271" t="str">
        <f>'4thMAY'!E51</f>
        <v/>
      </c>
      <c r="D51" s="191"/>
      <c r="E51" s="247"/>
      <c r="F51" s="235" t="s">
        <v>24</v>
      </c>
      <c r="G51" s="235"/>
      <c r="H51" s="272" t="str">
        <f>'4thMAY'!J51</f>
        <v/>
      </c>
      <c r="I51" s="281">
        <v>1.0</v>
      </c>
      <c r="J51" s="284"/>
      <c r="K51" s="283">
        <v>1.0</v>
      </c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'4thMAY'!E52</f>
        <v/>
      </c>
      <c r="D52" s="191"/>
      <c r="E52" s="280"/>
      <c r="F52" s="235" t="s">
        <v>14</v>
      </c>
      <c r="G52" s="285"/>
      <c r="H52" s="272" t="str">
        <f>'4thMAY'!J52</f>
        <v/>
      </c>
      <c r="I52" s="281">
        <v>1.0</v>
      </c>
      <c r="J52" s="284"/>
      <c r="K52" s="283">
        <v>1.0</v>
      </c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16" t="s">
        <v>30</v>
      </c>
      <c r="B53" s="12" t="s">
        <v>24</v>
      </c>
      <c r="C53" s="271" t="str">
        <f>'4thMAY'!E53</f>
        <v/>
      </c>
      <c r="D53" s="227"/>
      <c r="E53" s="280"/>
      <c r="F53" s="235" t="s">
        <v>35</v>
      </c>
      <c r="G53" s="235"/>
      <c r="H53" s="272">
        <f>'4thMAY'!J53</f>
        <v>0.731</v>
      </c>
      <c r="I53" s="281">
        <v>1.0</v>
      </c>
      <c r="J53" s="282">
        <v>0.685</v>
      </c>
      <c r="K53" s="283">
        <v>1.0</v>
      </c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0.046</v>
      </c>
      <c r="N53" s="191"/>
      <c r="O53" s="247"/>
    </row>
    <row r="54">
      <c r="A54" s="12" t="s">
        <v>33</v>
      </c>
      <c r="B54" s="12" t="s">
        <v>34</v>
      </c>
      <c r="C54" s="271" t="str">
        <f>'4thMAY'!E54</f>
        <v/>
      </c>
      <c r="D54" s="227">
        <v>1.0</v>
      </c>
      <c r="E54" s="247"/>
      <c r="F54" s="235" t="s">
        <v>35</v>
      </c>
      <c r="G54" s="235"/>
      <c r="H54" s="272" t="str">
        <f>'4thMAY'!J54</f>
        <v/>
      </c>
      <c r="I54" s="281">
        <v>1.0</v>
      </c>
      <c r="J54" s="282">
        <v>0.152</v>
      </c>
      <c r="K54" s="283">
        <v>1.0</v>
      </c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0.311</v>
      </c>
      <c r="N54" s="191"/>
      <c r="O54" s="247"/>
    </row>
    <row r="55">
      <c r="A55" s="12" t="s">
        <v>37</v>
      </c>
      <c r="B55" s="12" t="s">
        <v>17</v>
      </c>
      <c r="C55" s="271" t="str">
        <f>'4thMAY'!E55</f>
        <v/>
      </c>
      <c r="D55" s="191"/>
      <c r="E55" s="247"/>
      <c r="F55" s="235" t="s">
        <v>752</v>
      </c>
      <c r="G55" s="235"/>
      <c r="H55" s="272" t="str">
        <f>'4thMAY'!J55</f>
        <v/>
      </c>
      <c r="I55" s="281">
        <v>1.0</v>
      </c>
      <c r="J55" s="284"/>
      <c r="K55" s="283">
        <v>1.0</v>
      </c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'4thMAY'!E56</f>
        <v/>
      </c>
      <c r="D56" s="191"/>
      <c r="E56" s="247"/>
      <c r="F56" s="235" t="s">
        <v>17</v>
      </c>
      <c r="G56" s="235"/>
      <c r="H56" s="272" t="str">
        <f>'4thMAY'!J56</f>
        <v/>
      </c>
      <c r="I56" s="281">
        <v>1.0</v>
      </c>
      <c r="J56" s="284"/>
      <c r="K56" s="283">
        <v>1.0</v>
      </c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0</v>
      </c>
      <c r="N56" s="191"/>
      <c r="O56" s="247"/>
    </row>
    <row r="57">
      <c r="A57" s="12" t="s">
        <v>42</v>
      </c>
      <c r="B57" s="12" t="s">
        <v>24</v>
      </c>
      <c r="C57" s="271" t="str">
        <f>'4thMAY'!E57</f>
        <v/>
      </c>
      <c r="D57" s="191"/>
      <c r="E57" s="280"/>
      <c r="F57" s="235" t="s">
        <v>35</v>
      </c>
      <c r="G57" s="235"/>
      <c r="H57" s="272" t="str">
        <f>'4thMAY'!J57</f>
        <v/>
      </c>
      <c r="I57" s="281">
        <v>1.0</v>
      </c>
      <c r="J57" s="282"/>
      <c r="K57" s="283">
        <v>1.0</v>
      </c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</v>
      </c>
      <c r="N57" s="191"/>
      <c r="O57" s="247"/>
    </row>
    <row r="58">
      <c r="A58" s="12" t="s">
        <v>44</v>
      </c>
      <c r="B58" s="12" t="s">
        <v>24</v>
      </c>
      <c r="C58" s="271">
        <f>'4thMAY'!E58</f>
        <v>1</v>
      </c>
      <c r="D58" s="191"/>
      <c r="E58" s="280">
        <v>1.0</v>
      </c>
      <c r="F58" s="235" t="s">
        <v>25</v>
      </c>
      <c r="G58" s="235"/>
      <c r="H58" s="272" t="str">
        <f>'4thMAY'!J58</f>
        <v/>
      </c>
      <c r="I58" s="281">
        <v>1.0</v>
      </c>
      <c r="J58" s="282"/>
      <c r="K58" s="283">
        <v>1.0</v>
      </c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</v>
      </c>
      <c r="N58" s="191"/>
      <c r="O58" s="247"/>
    </row>
    <row r="59">
      <c r="A59" s="12" t="s">
        <v>45</v>
      </c>
      <c r="B59" s="12" t="s">
        <v>24</v>
      </c>
      <c r="C59" s="271" t="str">
        <f>'4thMAY'!E59</f>
        <v/>
      </c>
      <c r="D59" s="191"/>
      <c r="E59" s="247"/>
      <c r="F59" s="235" t="s">
        <v>25</v>
      </c>
      <c r="G59" s="235"/>
      <c r="H59" s="272">
        <f>'4thMAY'!J59</f>
        <v>0.91</v>
      </c>
      <c r="I59" s="281">
        <v>1.0</v>
      </c>
      <c r="J59" s="282">
        <v>0.91</v>
      </c>
      <c r="K59" s="283">
        <v>1.0</v>
      </c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</v>
      </c>
      <c r="N59" s="191"/>
      <c r="O59" s="247"/>
    </row>
    <row r="60">
      <c r="A60" s="17" t="s">
        <v>46</v>
      </c>
      <c r="B60" s="12" t="s">
        <v>47</v>
      </c>
      <c r="C60" s="271" t="str">
        <f>'4thMAY'!E60</f>
        <v/>
      </c>
      <c r="D60" s="191"/>
      <c r="E60" s="247"/>
      <c r="F60" s="235" t="s">
        <v>51</v>
      </c>
      <c r="G60" s="235"/>
      <c r="H60" s="272" t="str">
        <f>'4thMAY'!J60</f>
        <v/>
      </c>
      <c r="I60" s="281">
        <v>1.0</v>
      </c>
      <c r="J60" s="284"/>
      <c r="K60" s="283">
        <v>1.0</v>
      </c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'4thMAY'!E61</f>
        <v/>
      </c>
      <c r="D61" s="191"/>
      <c r="E61" s="247"/>
      <c r="F61" s="235" t="s">
        <v>51</v>
      </c>
      <c r="G61" s="235"/>
      <c r="H61" s="272" t="str">
        <f>'4thMAY'!J61</f>
        <v/>
      </c>
      <c r="I61" s="281">
        <v>1.0</v>
      </c>
      <c r="J61" s="284"/>
      <c r="K61" s="283">
        <v>1.0</v>
      </c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'4thMAY'!E62</f>
        <v/>
      </c>
      <c r="D62" s="191"/>
      <c r="E62" s="247"/>
      <c r="F62" s="235" t="s">
        <v>51</v>
      </c>
      <c r="G62" s="235"/>
      <c r="H62" s="272">
        <f>'4thMAY'!J62</f>
        <v>0.558</v>
      </c>
      <c r="I62" s="281">
        <v>1.0</v>
      </c>
      <c r="J62" s="282">
        <v>0.545</v>
      </c>
      <c r="K62" s="283">
        <v>1.0</v>
      </c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0.013</v>
      </c>
      <c r="N62" s="191"/>
      <c r="O62" s="247"/>
    </row>
    <row r="63">
      <c r="A63" s="12" t="s">
        <v>53</v>
      </c>
      <c r="B63" s="12" t="s">
        <v>35</v>
      </c>
      <c r="C63" s="271" t="str">
        <f>'4thMAY'!E63</f>
        <v/>
      </c>
      <c r="D63" s="191"/>
      <c r="E63" s="247"/>
      <c r="F63" s="235" t="s">
        <v>35</v>
      </c>
      <c r="G63" s="235"/>
      <c r="H63" s="272">
        <f>'4thMAY'!J63</f>
        <v>1</v>
      </c>
      <c r="I63" s="281">
        <v>1.0</v>
      </c>
      <c r="J63" s="282">
        <v>1.0</v>
      </c>
      <c r="K63" s="283">
        <v>1.0</v>
      </c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</v>
      </c>
      <c r="N63" s="191"/>
      <c r="O63" s="247"/>
    </row>
    <row r="64">
      <c r="A64" s="11" t="s">
        <v>55</v>
      </c>
      <c r="B64" s="11" t="s">
        <v>56</v>
      </c>
      <c r="C64" s="271" t="str">
        <f>'4thMAY'!E64</f>
        <v/>
      </c>
      <c r="D64" s="191"/>
      <c r="E64" s="247"/>
      <c r="F64" s="235" t="s">
        <v>14</v>
      </c>
      <c r="G64" s="235"/>
      <c r="H64" s="272">
        <f>'4thMAY'!J64</f>
        <v>0.907</v>
      </c>
      <c r="I64" s="281">
        <v>1.0</v>
      </c>
      <c r="J64" s="284"/>
      <c r="K64" s="283">
        <v>1.0</v>
      </c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0.607</v>
      </c>
      <c r="N64" s="191"/>
      <c r="O64" s="247"/>
    </row>
    <row r="65">
      <c r="A65" s="10" t="s">
        <v>57</v>
      </c>
      <c r="B65" s="11"/>
      <c r="C65" s="271" t="str">
        <f>'4thMAY'!E65</f>
        <v/>
      </c>
      <c r="D65" s="191"/>
      <c r="E65" s="247"/>
      <c r="F65" s="235"/>
      <c r="G65" s="235"/>
      <c r="H65" s="272" t="str">
        <f>'4thMAY'!J65</f>
        <v/>
      </c>
      <c r="I65" s="281">
        <v>1.0</v>
      </c>
      <c r="J65" s="284"/>
      <c r="K65" s="283">
        <v>1.0</v>
      </c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'4thMAY'!E66</f>
        <v>2</v>
      </c>
      <c r="D66" s="227"/>
      <c r="E66" s="280">
        <v>1.0</v>
      </c>
      <c r="F66" s="235" t="s">
        <v>35</v>
      </c>
      <c r="G66" s="235"/>
      <c r="H66" s="272">
        <f>'4thMAY'!J66</f>
        <v>1.525</v>
      </c>
      <c r="I66" s="281">
        <v>1.0</v>
      </c>
      <c r="J66" s="282"/>
      <c r="K66" s="283">
        <v>1.0</v>
      </c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3.475</v>
      </c>
      <c r="N66" s="191"/>
      <c r="O66" s="247"/>
    </row>
    <row r="67">
      <c r="A67" s="12" t="s">
        <v>61</v>
      </c>
      <c r="B67" s="12" t="s">
        <v>59</v>
      </c>
      <c r="C67" s="271" t="str">
        <f>'4thMAY'!E67</f>
        <v/>
      </c>
      <c r="D67" s="227">
        <v>1.0</v>
      </c>
      <c r="E67" s="280">
        <v>1.0</v>
      </c>
      <c r="F67" s="235" t="s">
        <v>35</v>
      </c>
      <c r="G67" s="235"/>
      <c r="H67" s="272">
        <f>'4thMAY'!J67</f>
        <v>0.033</v>
      </c>
      <c r="I67" s="281">
        <v>1.0</v>
      </c>
      <c r="J67" s="282"/>
      <c r="K67" s="283">
        <v>1.0</v>
      </c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0.023</v>
      </c>
      <c r="N67" s="191"/>
      <c r="O67" s="247"/>
    </row>
    <row r="68">
      <c r="A68" s="12" t="s">
        <v>62</v>
      </c>
      <c r="B68" s="12" t="s">
        <v>35</v>
      </c>
      <c r="C68" s="271" t="str">
        <f>'4thMAY'!E68</f>
        <v/>
      </c>
      <c r="D68" s="227">
        <v>5.0</v>
      </c>
      <c r="E68" s="280">
        <v>5.0</v>
      </c>
      <c r="F68" s="235" t="s">
        <v>35</v>
      </c>
      <c r="G68" s="235"/>
      <c r="H68" s="272">
        <f>'4thMAY'!J68</f>
        <v>4</v>
      </c>
      <c r="I68" s="281">
        <v>1.0</v>
      </c>
      <c r="J68" s="284"/>
      <c r="K68" s="283">
        <v>1.0</v>
      </c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3.9</v>
      </c>
      <c r="N68" s="191"/>
      <c r="O68" s="247"/>
    </row>
    <row r="69">
      <c r="A69" s="12" t="s">
        <v>64</v>
      </c>
      <c r="B69" s="12" t="s">
        <v>59</v>
      </c>
      <c r="C69" s="271">
        <f>'4thMAY'!E69</f>
        <v>1</v>
      </c>
      <c r="D69" s="227"/>
      <c r="E69" s="247"/>
      <c r="F69" s="235" t="s">
        <v>35</v>
      </c>
      <c r="G69" s="235"/>
      <c r="H69" s="272" t="str">
        <f>'4thMAY'!J69</f>
        <v/>
      </c>
      <c r="I69" s="281">
        <v>1.0</v>
      </c>
      <c r="J69" s="282">
        <v>0.065</v>
      </c>
      <c r="K69" s="283">
        <v>1.0</v>
      </c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0.385</v>
      </c>
      <c r="N69" s="191"/>
      <c r="O69" s="247"/>
    </row>
    <row r="70">
      <c r="A70" s="10" t="s">
        <v>65</v>
      </c>
      <c r="B70" s="11"/>
      <c r="C70" s="271" t="str">
        <f>'4thMAY'!E70</f>
        <v/>
      </c>
      <c r="D70" s="191"/>
      <c r="E70" s="247"/>
      <c r="F70" s="235"/>
      <c r="G70" s="235"/>
      <c r="H70" s="272" t="str">
        <f>'4thMAY'!J70</f>
        <v/>
      </c>
      <c r="I70" s="281">
        <v>1.0</v>
      </c>
      <c r="J70" s="284"/>
      <c r="K70" s="283">
        <v>1.0</v>
      </c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'4thMAY'!E71</f>
        <v/>
      </c>
      <c r="D71" s="191"/>
      <c r="E71" s="247"/>
      <c r="F71" s="235" t="s">
        <v>25</v>
      </c>
      <c r="G71" s="285">
        <v>4.5</v>
      </c>
      <c r="H71" s="272" t="str">
        <f>'4thMAY'!J71</f>
        <v/>
      </c>
      <c r="I71" s="281">
        <v>1.0</v>
      </c>
      <c r="J71" s="282"/>
      <c r="K71" s="283">
        <v>1.0</v>
      </c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4.5</v>
      </c>
      <c r="N71" s="191"/>
      <c r="O71" s="247"/>
    </row>
    <row r="72">
      <c r="A72" s="12" t="s">
        <v>68</v>
      </c>
      <c r="B72" s="12" t="s">
        <v>35</v>
      </c>
      <c r="C72" s="271" t="str">
        <f>'4thMAY'!E72</f>
        <v/>
      </c>
      <c r="D72" s="227">
        <v>0.7</v>
      </c>
      <c r="E72" s="247"/>
      <c r="F72" s="235" t="s">
        <v>35</v>
      </c>
      <c r="G72" s="235"/>
      <c r="H72" s="272">
        <f>'4thMAY'!J72</f>
        <v>0.182</v>
      </c>
      <c r="I72" s="281">
        <v>1.0</v>
      </c>
      <c r="J72" s="282">
        <v>0.212</v>
      </c>
      <c r="K72" s="283">
        <v>1.0</v>
      </c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0.67</v>
      </c>
      <c r="N72" s="191"/>
      <c r="O72" s="247"/>
    </row>
    <row r="73">
      <c r="A73" s="12" t="s">
        <v>70</v>
      </c>
      <c r="B73" s="12" t="s">
        <v>35</v>
      </c>
      <c r="C73" s="271" t="str">
        <f>'4thMAY'!E73</f>
        <v/>
      </c>
      <c r="D73" s="191"/>
      <c r="E73" s="247"/>
      <c r="F73" s="235" t="s">
        <v>35</v>
      </c>
      <c r="G73" s="235"/>
      <c r="H73" s="272" t="str">
        <f>'4thMAY'!J73</f>
        <v/>
      </c>
      <c r="I73" s="281">
        <v>1.0</v>
      </c>
      <c r="J73" s="284"/>
      <c r="K73" s="283">
        <v>1.0</v>
      </c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'4thMAY'!E74</f>
        <v/>
      </c>
      <c r="D74" s="227">
        <v>1.0</v>
      </c>
      <c r="E74" s="280">
        <v>1.0</v>
      </c>
      <c r="F74" s="235" t="s">
        <v>25</v>
      </c>
      <c r="G74" s="235"/>
      <c r="H74" s="272">
        <f>'4thMAY'!J74</f>
        <v>0.502</v>
      </c>
      <c r="I74" s="281">
        <v>1.0</v>
      </c>
      <c r="J74" s="282"/>
      <c r="K74" s="283">
        <v>1.0</v>
      </c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0.44</v>
      </c>
      <c r="N74" s="191"/>
      <c r="O74" s="247"/>
    </row>
    <row r="75">
      <c r="A75" s="12" t="s">
        <v>74</v>
      </c>
      <c r="B75" s="12" t="s">
        <v>17</v>
      </c>
      <c r="C75" s="271" t="str">
        <f>'4thMAY'!E75</f>
        <v/>
      </c>
      <c r="D75" s="191"/>
      <c r="E75" s="247"/>
      <c r="F75" s="235" t="s">
        <v>25</v>
      </c>
      <c r="G75" s="235"/>
      <c r="H75" s="272" t="str">
        <f>'4thMAY'!J75</f>
        <v/>
      </c>
      <c r="I75" s="281">
        <v>1.0</v>
      </c>
      <c r="J75" s="284"/>
      <c r="K75" s="283">
        <v>1.0</v>
      </c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</v>
      </c>
      <c r="N75" s="191"/>
      <c r="O75" s="247"/>
    </row>
    <row r="76">
      <c r="A76" s="12" t="s">
        <v>76</v>
      </c>
      <c r="B76" s="12" t="s">
        <v>72</v>
      </c>
      <c r="C76" s="271" t="str">
        <f>'4thMAY'!E76</f>
        <v/>
      </c>
      <c r="D76" s="191"/>
      <c r="E76" s="247"/>
      <c r="F76" s="235" t="s">
        <v>35</v>
      </c>
      <c r="G76" s="235"/>
      <c r="H76" s="272">
        <f>'4thMAY'!J76</f>
        <v>1</v>
      </c>
      <c r="I76" s="281">
        <v>1.0</v>
      </c>
      <c r="J76" s="284"/>
      <c r="K76" s="283">
        <v>1.0</v>
      </c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0.938</v>
      </c>
      <c r="N76" s="191"/>
      <c r="O76" s="247"/>
    </row>
    <row r="77">
      <c r="A77" s="12" t="s">
        <v>77</v>
      </c>
      <c r="B77" s="12" t="s">
        <v>78</v>
      </c>
      <c r="C77" s="271" t="str">
        <f>'4thMAY'!E77</f>
        <v/>
      </c>
      <c r="D77" s="191"/>
      <c r="E77" s="247"/>
      <c r="F77" s="235" t="s">
        <v>25</v>
      </c>
      <c r="G77" s="235"/>
      <c r="H77" s="272">
        <f>'4thMAY'!J77</f>
        <v>1.287</v>
      </c>
      <c r="I77" s="281">
        <v>1.0</v>
      </c>
      <c r="J77" s="282">
        <v>0.949</v>
      </c>
      <c r="K77" s="283">
        <v>1.0</v>
      </c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0.338</v>
      </c>
      <c r="N77" s="191"/>
      <c r="O77" s="247"/>
    </row>
    <row r="78">
      <c r="A78" s="12" t="s">
        <v>80</v>
      </c>
      <c r="B78" s="12" t="s">
        <v>56</v>
      </c>
      <c r="C78" s="271" t="str">
        <f>'4thMAY'!E78</f>
        <v/>
      </c>
      <c r="D78" s="191"/>
      <c r="E78" s="247"/>
      <c r="F78" s="235" t="s">
        <v>35</v>
      </c>
      <c r="G78" s="235"/>
      <c r="H78" s="272" t="str">
        <f>'4thMAY'!J78</f>
        <v/>
      </c>
      <c r="I78" s="281">
        <v>1.0</v>
      </c>
      <c r="J78" s="284"/>
      <c r="K78" s="283">
        <v>1.0</v>
      </c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'4thMAY'!E79</f>
        <v/>
      </c>
      <c r="D79" s="191"/>
      <c r="E79" s="247"/>
      <c r="F79" s="235" t="s">
        <v>35</v>
      </c>
      <c r="G79" s="235"/>
      <c r="H79" s="272" t="str">
        <f>'4thMAY'!J79</f>
        <v/>
      </c>
      <c r="I79" s="281">
        <v>1.0</v>
      </c>
      <c r="J79" s="282"/>
      <c r="K79" s="283">
        <v>1.0</v>
      </c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</v>
      </c>
      <c r="N79" s="191"/>
      <c r="O79" s="247"/>
    </row>
    <row r="80">
      <c r="A80" s="10" t="s">
        <v>85</v>
      </c>
      <c r="B80" s="11"/>
      <c r="C80" s="271" t="str">
        <f>'4thMAY'!E80</f>
        <v/>
      </c>
      <c r="D80" s="191"/>
      <c r="E80" s="247"/>
      <c r="F80" s="235"/>
      <c r="G80" s="235"/>
      <c r="H80" s="272" t="str">
        <f>'4thMAY'!J80</f>
        <v/>
      </c>
      <c r="I80" s="281">
        <v>1.0</v>
      </c>
      <c r="J80" s="284"/>
      <c r="K80" s="283">
        <v>1.0</v>
      </c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'4thMAY'!E81</f>
        <v/>
      </c>
      <c r="D81" s="227">
        <v>1.0</v>
      </c>
      <c r="E81" s="247"/>
      <c r="F81" s="235" t="s">
        <v>25</v>
      </c>
      <c r="G81" s="235"/>
      <c r="H81" s="272">
        <f>'4thMAY'!J81</f>
        <v>0.26</v>
      </c>
      <c r="I81" s="281">
        <v>1.0</v>
      </c>
      <c r="J81" s="282">
        <v>0.3</v>
      </c>
      <c r="K81" s="283">
        <v>1.0</v>
      </c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0.46</v>
      </c>
      <c r="N81" s="191"/>
      <c r="O81" s="247"/>
    </row>
    <row r="82">
      <c r="A82" s="12" t="s">
        <v>87</v>
      </c>
      <c r="B82" s="12" t="s">
        <v>83</v>
      </c>
      <c r="C82" s="271" t="str">
        <f>'4thMAY'!E82</f>
        <v/>
      </c>
      <c r="D82" s="227"/>
      <c r="E82" s="280"/>
      <c r="F82" s="235" t="s">
        <v>25</v>
      </c>
      <c r="G82" s="285">
        <v>0.646</v>
      </c>
      <c r="H82" s="272">
        <f>'4thMAY'!J82</f>
        <v>0.5</v>
      </c>
      <c r="I82" s="281">
        <v>1.0</v>
      </c>
      <c r="J82" s="282">
        <f>0.447+0.699</f>
        <v>1.146</v>
      </c>
      <c r="K82" s="283">
        <v>1.0</v>
      </c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</v>
      </c>
      <c r="N82" s="191"/>
      <c r="O82" s="247"/>
    </row>
    <row r="83">
      <c r="A83" s="12" t="s">
        <v>88</v>
      </c>
      <c r="B83" s="12" t="s">
        <v>83</v>
      </c>
      <c r="C83" s="271" t="str">
        <f>'4thMAY'!E83</f>
        <v/>
      </c>
      <c r="D83" s="227">
        <v>1.0</v>
      </c>
      <c r="E83" s="247"/>
      <c r="F83" s="235" t="s">
        <v>25</v>
      </c>
      <c r="G83" s="235"/>
      <c r="H83" s="272">
        <f>'4thMAY'!J83</f>
        <v>0.628</v>
      </c>
      <c r="I83" s="281">
        <v>1.0</v>
      </c>
      <c r="J83" s="282">
        <f>1.187-0.5</f>
        <v>0.687</v>
      </c>
      <c r="K83" s="283">
        <v>1.0</v>
      </c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0.751</v>
      </c>
      <c r="N83" s="191"/>
      <c r="O83" s="247"/>
    </row>
    <row r="84">
      <c r="A84" s="12" t="s">
        <v>89</v>
      </c>
      <c r="B84" s="12" t="s">
        <v>83</v>
      </c>
      <c r="C84" s="271" t="str">
        <f>'4thMAY'!E84</f>
        <v/>
      </c>
      <c r="D84" s="191"/>
      <c r="E84" s="280"/>
      <c r="F84" s="235" t="s">
        <v>25</v>
      </c>
      <c r="G84" s="285">
        <v>0.763</v>
      </c>
      <c r="H84" s="272" t="str">
        <f>'4thMAY'!J84</f>
        <v/>
      </c>
      <c r="I84" s="281">
        <v>1.0</v>
      </c>
      <c r="J84" s="282">
        <v>0.763</v>
      </c>
      <c r="K84" s="283">
        <v>1.0</v>
      </c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0.293</v>
      </c>
      <c r="N84" s="191"/>
      <c r="O84" s="247"/>
    </row>
    <row r="85">
      <c r="A85" s="12" t="s">
        <v>90</v>
      </c>
      <c r="B85" s="12" t="s">
        <v>24</v>
      </c>
      <c r="C85" s="271" t="str">
        <f>'4thMAY'!E85</f>
        <v/>
      </c>
      <c r="D85" s="191"/>
      <c r="E85" s="280"/>
      <c r="F85" s="235" t="s">
        <v>25</v>
      </c>
      <c r="G85" s="235"/>
      <c r="H85" s="272">
        <f>'4thMAY'!J85</f>
        <v>0.268</v>
      </c>
      <c r="I85" s="281">
        <v>1.0</v>
      </c>
      <c r="J85" s="282">
        <v>0.154</v>
      </c>
      <c r="K85" s="283">
        <v>1.0</v>
      </c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0.114</v>
      </c>
      <c r="N85" s="191"/>
      <c r="O85" s="247"/>
    </row>
    <row r="86">
      <c r="A86" s="12" t="s">
        <v>91</v>
      </c>
      <c r="B86" s="12" t="s">
        <v>56</v>
      </c>
      <c r="C86" s="271" t="str">
        <f>'4thMAY'!E86</f>
        <v/>
      </c>
      <c r="D86" s="227"/>
      <c r="E86" s="280"/>
      <c r="F86" s="235" t="s">
        <v>25</v>
      </c>
      <c r="G86" s="235"/>
      <c r="H86" s="272">
        <f>'4thMAY'!J86</f>
        <v>2.896</v>
      </c>
      <c r="I86" s="281">
        <v>1.0</v>
      </c>
      <c r="J86" s="282">
        <v>2.0</v>
      </c>
      <c r="K86" s="283">
        <v>1.0</v>
      </c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0.896</v>
      </c>
      <c r="N86" s="191"/>
      <c r="O86" s="247"/>
    </row>
    <row r="87">
      <c r="A87" s="12" t="s">
        <v>92</v>
      </c>
      <c r="B87" s="12" t="s">
        <v>83</v>
      </c>
      <c r="C87" s="271" t="str">
        <f>'4thMAY'!E87</f>
        <v/>
      </c>
      <c r="D87" s="191"/>
      <c r="E87" s="247"/>
      <c r="F87" s="235" t="s">
        <v>25</v>
      </c>
      <c r="G87" s="285">
        <v>0.634</v>
      </c>
      <c r="H87" s="272" t="str">
        <f>'4thMAY'!J87</f>
        <v/>
      </c>
      <c r="I87" s="281">
        <v>1.0</v>
      </c>
      <c r="J87" s="282">
        <v>0.634</v>
      </c>
      <c r="K87" s="283">
        <v>1.0</v>
      </c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0.7</v>
      </c>
      <c r="N87" s="191"/>
      <c r="O87" s="247"/>
    </row>
    <row r="88">
      <c r="A88" s="12" t="s">
        <v>93</v>
      </c>
      <c r="B88" s="12" t="s">
        <v>83</v>
      </c>
      <c r="C88" s="271" t="str">
        <f>'4thMAY'!E88</f>
        <v/>
      </c>
      <c r="D88" s="191"/>
      <c r="E88" s="247"/>
      <c r="F88" s="235" t="s">
        <v>25</v>
      </c>
      <c r="G88" s="235"/>
      <c r="H88" s="272">
        <f>'4thMAY'!J88</f>
        <v>0.82</v>
      </c>
      <c r="I88" s="281">
        <v>1.0</v>
      </c>
      <c r="J88" s="282">
        <v>0.82</v>
      </c>
      <c r="K88" s="283">
        <v>1.0</v>
      </c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</v>
      </c>
      <c r="N88" s="191"/>
      <c r="O88" s="247"/>
    </row>
    <row r="89">
      <c r="A89" s="12" t="s">
        <v>95</v>
      </c>
      <c r="B89" s="12" t="s">
        <v>83</v>
      </c>
      <c r="C89" s="271" t="str">
        <f>'4thMAY'!E89</f>
        <v/>
      </c>
      <c r="D89" s="191"/>
      <c r="E89" s="247"/>
      <c r="F89" s="235" t="s">
        <v>25</v>
      </c>
      <c r="G89" s="235"/>
      <c r="H89" s="272">
        <f>'4thMAY'!J89</f>
        <v>1.09</v>
      </c>
      <c r="I89" s="281">
        <v>1.0</v>
      </c>
      <c r="J89" s="282">
        <v>1.071</v>
      </c>
      <c r="K89" s="283">
        <v>1.0</v>
      </c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0.019</v>
      </c>
      <c r="N89" s="191"/>
      <c r="O89" s="247"/>
    </row>
    <row r="90">
      <c r="A90" s="10" t="s">
        <v>96</v>
      </c>
      <c r="B90" s="11"/>
      <c r="C90" s="271" t="str">
        <f>'4thMAY'!E90</f>
        <v/>
      </c>
      <c r="D90" s="191"/>
      <c r="E90" s="247"/>
      <c r="F90" s="235"/>
      <c r="G90" s="235"/>
      <c r="H90" s="272" t="str">
        <f>'4thMAY'!J90</f>
        <v/>
      </c>
      <c r="I90" s="281">
        <v>1.0</v>
      </c>
      <c r="J90" s="284"/>
      <c r="K90" s="283">
        <v>1.0</v>
      </c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'4thMAY'!E91</f>
        <v/>
      </c>
      <c r="D91" s="191"/>
      <c r="E91" s="247"/>
      <c r="F91" s="235" t="s">
        <v>35</v>
      </c>
      <c r="G91" s="235"/>
      <c r="H91" s="272" t="str">
        <f>'4thMAY'!J91</f>
        <v/>
      </c>
      <c r="I91" s="281">
        <v>1.0</v>
      </c>
      <c r="J91" s="284"/>
      <c r="K91" s="283">
        <v>1.0</v>
      </c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'4thMAY'!E92</f>
        <v/>
      </c>
      <c r="D92" s="191"/>
      <c r="E92" s="247"/>
      <c r="F92" s="235" t="s">
        <v>35</v>
      </c>
      <c r="G92" s="235"/>
      <c r="H92" s="272">
        <f>'4thMAY'!J92</f>
        <v>0.75</v>
      </c>
      <c r="I92" s="281">
        <v>1.0</v>
      </c>
      <c r="J92" s="282">
        <v>0.465</v>
      </c>
      <c r="K92" s="283">
        <v>1.0</v>
      </c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0.285</v>
      </c>
      <c r="N92" s="191"/>
      <c r="O92" s="247"/>
    </row>
    <row r="93">
      <c r="A93" s="12" t="s">
        <v>100</v>
      </c>
      <c r="B93" s="12" t="s">
        <v>40</v>
      </c>
      <c r="C93" s="271" t="str">
        <f>'4thMAY'!E93</f>
        <v/>
      </c>
      <c r="D93" s="191"/>
      <c r="E93" s="247"/>
      <c r="F93" s="235" t="s">
        <v>35</v>
      </c>
      <c r="G93" s="235"/>
      <c r="H93" s="272">
        <f>'4thMAY'!J93</f>
        <v>0.302</v>
      </c>
      <c r="I93" s="281">
        <v>1.0</v>
      </c>
      <c r="J93" s="282">
        <v>0.259</v>
      </c>
      <c r="K93" s="283">
        <v>1.0</v>
      </c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0.043</v>
      </c>
      <c r="N93" s="191"/>
      <c r="O93" s="247"/>
    </row>
    <row r="94">
      <c r="A94" s="12" t="s">
        <v>101</v>
      </c>
      <c r="B94" s="12" t="s">
        <v>40</v>
      </c>
      <c r="C94" s="271" t="str">
        <f>'4thMAY'!E94</f>
        <v/>
      </c>
      <c r="D94" s="191"/>
      <c r="E94" s="247"/>
      <c r="F94" s="235" t="s">
        <v>35</v>
      </c>
      <c r="G94" s="235"/>
      <c r="H94" s="272" t="str">
        <f>'4thMAY'!J94</f>
        <v/>
      </c>
      <c r="I94" s="281">
        <v>1.0</v>
      </c>
      <c r="J94" s="284"/>
      <c r="K94" s="283">
        <v>1.0</v>
      </c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'4thMAY'!E95</f>
        <v/>
      </c>
      <c r="D95" s="191"/>
      <c r="E95" s="247"/>
      <c r="F95" s="235" t="s">
        <v>35</v>
      </c>
      <c r="G95" s="235"/>
      <c r="H95" s="272">
        <f>'4thMAY'!J95</f>
        <v>0.247</v>
      </c>
      <c r="I95" s="281">
        <v>1.0</v>
      </c>
      <c r="J95" s="282">
        <v>0.218</v>
      </c>
      <c r="K95" s="283">
        <v>1.0</v>
      </c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0.029</v>
      </c>
      <c r="N95" s="191"/>
      <c r="O95" s="247"/>
    </row>
    <row r="96">
      <c r="A96" s="12" t="s">
        <v>103</v>
      </c>
      <c r="B96" s="12" t="s">
        <v>40</v>
      </c>
      <c r="C96" s="271" t="str">
        <f>'4thMAY'!E96</f>
        <v/>
      </c>
      <c r="D96" s="191"/>
      <c r="E96" s="247"/>
      <c r="F96" s="235" t="s">
        <v>35</v>
      </c>
      <c r="G96" s="235"/>
      <c r="H96" s="272">
        <f>'4thMAY'!J96</f>
        <v>0.538</v>
      </c>
      <c r="I96" s="281">
        <v>1.0</v>
      </c>
      <c r="J96" s="282"/>
      <c r="K96" s="283">
        <v>1.0</v>
      </c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0.534</v>
      </c>
      <c r="N96" s="191"/>
      <c r="O96" s="247"/>
    </row>
    <row r="97">
      <c r="A97" s="12" t="s">
        <v>104</v>
      </c>
      <c r="B97" s="12" t="s">
        <v>40</v>
      </c>
      <c r="C97" s="271" t="str">
        <f>'4thMAY'!E97</f>
        <v/>
      </c>
      <c r="D97" s="191"/>
      <c r="E97" s="247"/>
      <c r="F97" s="235" t="s">
        <v>35</v>
      </c>
      <c r="G97" s="235"/>
      <c r="H97" s="272" t="str">
        <f>'4thMAY'!J97</f>
        <v/>
      </c>
      <c r="I97" s="281">
        <v>1.0</v>
      </c>
      <c r="J97" s="284"/>
      <c r="K97" s="283">
        <v>1.0</v>
      </c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'4thMAY'!E98</f>
        <v/>
      </c>
      <c r="D98" s="191"/>
      <c r="E98" s="247"/>
      <c r="F98" s="235" t="s">
        <v>35</v>
      </c>
      <c r="G98" s="285">
        <v>0.508</v>
      </c>
      <c r="H98" s="272">
        <f>'4thMAY'!J98</f>
        <v>0.381</v>
      </c>
      <c r="I98" s="281">
        <v>1.0</v>
      </c>
      <c r="J98" s="282">
        <v>0.508</v>
      </c>
      <c r="K98" s="283">
        <v>1.0</v>
      </c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0.381</v>
      </c>
      <c r="N98" s="191"/>
      <c r="O98" s="247"/>
    </row>
    <row r="99">
      <c r="A99" s="12" t="s">
        <v>108</v>
      </c>
      <c r="B99" s="12" t="s">
        <v>40</v>
      </c>
      <c r="C99" s="271" t="str">
        <f>'4thMAY'!E99</f>
        <v/>
      </c>
      <c r="D99" s="191"/>
      <c r="E99" s="247"/>
      <c r="F99" s="235" t="s">
        <v>35</v>
      </c>
      <c r="G99" s="235"/>
      <c r="H99" s="272">
        <f>'4thMAY'!J99</f>
        <v>0.524</v>
      </c>
      <c r="I99" s="281">
        <v>1.0</v>
      </c>
      <c r="J99" s="282">
        <v>0.514</v>
      </c>
      <c r="K99" s="283">
        <v>1.0</v>
      </c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0.01</v>
      </c>
      <c r="N99" s="191"/>
      <c r="O99" s="247"/>
    </row>
    <row r="100">
      <c r="A100" s="12" t="s">
        <v>109</v>
      </c>
      <c r="B100" s="12" t="s">
        <v>40</v>
      </c>
      <c r="C100" s="271" t="str">
        <f>'4thMAY'!E100</f>
        <v/>
      </c>
      <c r="D100" s="191"/>
      <c r="E100" s="247"/>
      <c r="F100" s="235" t="s">
        <v>35</v>
      </c>
      <c r="G100" s="235"/>
      <c r="H100" s="272">
        <f>'4thMAY'!J100</f>
        <v>0.415</v>
      </c>
      <c r="I100" s="281">
        <v>1.0</v>
      </c>
      <c r="J100" s="282">
        <v>0.406</v>
      </c>
      <c r="K100" s="283">
        <v>1.0</v>
      </c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0.009</v>
      </c>
      <c r="N100" s="191"/>
      <c r="O100" s="247"/>
    </row>
    <row r="101">
      <c r="A101" s="12" t="s">
        <v>110</v>
      </c>
      <c r="B101" s="12" t="s">
        <v>40</v>
      </c>
      <c r="C101" s="271" t="str">
        <f>'4thMAY'!E101</f>
        <v/>
      </c>
      <c r="D101" s="191"/>
      <c r="E101" s="247"/>
      <c r="F101" s="235" t="s">
        <v>35</v>
      </c>
      <c r="G101" s="235"/>
      <c r="H101" s="272">
        <f>'4thMAY'!J101</f>
        <v>0.263</v>
      </c>
      <c r="I101" s="281">
        <v>1.0</v>
      </c>
      <c r="J101" s="282">
        <v>0.25</v>
      </c>
      <c r="K101" s="283">
        <v>1.0</v>
      </c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0.013</v>
      </c>
      <c r="N101" s="191"/>
      <c r="O101" s="247"/>
    </row>
    <row r="102">
      <c r="A102" s="12" t="s">
        <v>111</v>
      </c>
      <c r="B102" s="12" t="s">
        <v>40</v>
      </c>
      <c r="C102" s="271" t="str">
        <f>'4thMAY'!E102</f>
        <v/>
      </c>
      <c r="D102" s="191"/>
      <c r="E102" s="247"/>
      <c r="F102" s="235" t="s">
        <v>35</v>
      </c>
      <c r="G102" s="235"/>
      <c r="H102" s="272" t="str">
        <f>'4thMAY'!J102</f>
        <v/>
      </c>
      <c r="I102" s="281">
        <v>1.0</v>
      </c>
      <c r="J102" s="284"/>
      <c r="K102" s="283">
        <v>1.0</v>
      </c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>
        <f>'4thMAY'!E103</f>
        <v>1</v>
      </c>
      <c r="D103" s="191"/>
      <c r="E103" s="280">
        <v>1.0</v>
      </c>
      <c r="F103" s="235" t="s">
        <v>35</v>
      </c>
      <c r="G103" s="235"/>
      <c r="H103" s="272">
        <f>'4thMAY'!J103</f>
        <v>0.129</v>
      </c>
      <c r="I103" s="281">
        <v>1.0</v>
      </c>
      <c r="J103" s="282">
        <v>0.129</v>
      </c>
      <c r="K103" s="283">
        <v>1.0</v>
      </c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</v>
      </c>
      <c r="N103" s="191"/>
      <c r="O103" s="247"/>
    </row>
    <row r="104">
      <c r="A104" s="12" t="s">
        <v>114</v>
      </c>
      <c r="B104" s="12" t="s">
        <v>40</v>
      </c>
      <c r="C104" s="271" t="str">
        <f>'4thMAY'!E104</f>
        <v/>
      </c>
      <c r="D104" s="191"/>
      <c r="E104" s="247"/>
      <c r="F104" s="235" t="s">
        <v>35</v>
      </c>
      <c r="G104" s="285"/>
      <c r="H104" s="272">
        <f>'4thMAY'!J104</f>
        <v>0.463</v>
      </c>
      <c r="I104" s="281">
        <v>1.0</v>
      </c>
      <c r="J104" s="282">
        <v>0.457</v>
      </c>
      <c r="K104" s="283">
        <v>1.0</v>
      </c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0.006</v>
      </c>
      <c r="N104" s="191"/>
      <c r="O104" s="247"/>
    </row>
    <row r="105">
      <c r="A105" s="12" t="s">
        <v>116</v>
      </c>
      <c r="B105" s="12" t="s">
        <v>40</v>
      </c>
      <c r="C105" s="271" t="str">
        <f>'4thMAY'!E105</f>
        <v/>
      </c>
      <c r="D105" s="191"/>
      <c r="E105" s="247"/>
      <c r="F105" s="235" t="s">
        <v>35</v>
      </c>
      <c r="G105" s="235"/>
      <c r="H105" s="272" t="str">
        <f>'4thMAY'!J105</f>
        <v/>
      </c>
      <c r="I105" s="281">
        <v>1.0</v>
      </c>
      <c r="J105" s="284"/>
      <c r="K105" s="283">
        <v>1.0</v>
      </c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'4thMAY'!E106</f>
        <v/>
      </c>
      <c r="D106" s="191"/>
      <c r="E106" s="247"/>
      <c r="F106" s="235" t="s">
        <v>35</v>
      </c>
      <c r="G106" s="285"/>
      <c r="H106" s="272">
        <f>'4thMAY'!J106</f>
        <v>0.32</v>
      </c>
      <c r="I106" s="281">
        <v>1.0</v>
      </c>
      <c r="J106" s="282">
        <v>0.301</v>
      </c>
      <c r="K106" s="283">
        <v>1.0</v>
      </c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0.019</v>
      </c>
      <c r="N106" s="191"/>
      <c r="O106" s="247"/>
    </row>
    <row r="107">
      <c r="A107" s="12" t="s">
        <v>118</v>
      </c>
      <c r="B107" s="12" t="s">
        <v>40</v>
      </c>
      <c r="C107" s="271" t="str">
        <f>'4thMAY'!E107</f>
        <v/>
      </c>
      <c r="D107" s="191"/>
      <c r="E107" s="247"/>
      <c r="F107" s="235" t="s">
        <v>35</v>
      </c>
      <c r="G107" s="235"/>
      <c r="H107" s="272">
        <f>'4thMAY'!J107</f>
        <v>0.16</v>
      </c>
      <c r="I107" s="281">
        <v>1.0</v>
      </c>
      <c r="J107" s="282">
        <v>0.149</v>
      </c>
      <c r="K107" s="283">
        <v>1.0</v>
      </c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0.011</v>
      </c>
      <c r="N107" s="191"/>
      <c r="O107" s="247"/>
    </row>
    <row r="108">
      <c r="A108" s="12" t="s">
        <v>119</v>
      </c>
      <c r="B108" s="12" t="s">
        <v>40</v>
      </c>
      <c r="C108" s="271" t="str">
        <f>'4thMAY'!E108</f>
        <v/>
      </c>
      <c r="D108" s="191"/>
      <c r="E108" s="247"/>
      <c r="F108" s="235" t="s">
        <v>35</v>
      </c>
      <c r="G108" s="235"/>
      <c r="H108" s="272">
        <f>'4thMAY'!J108</f>
        <v>0.753</v>
      </c>
      <c r="I108" s="281">
        <v>1.0</v>
      </c>
      <c r="J108" s="284">
        <f>0.243+0.501</f>
        <v>0.744</v>
      </c>
      <c r="K108" s="283">
        <v>1.0</v>
      </c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0.009</v>
      </c>
      <c r="N108" s="191"/>
      <c r="O108" s="247"/>
    </row>
    <row r="109">
      <c r="A109" s="12" t="s">
        <v>120</v>
      </c>
      <c r="B109" s="12" t="s">
        <v>40</v>
      </c>
      <c r="C109" s="271" t="str">
        <f>'4thMAY'!E109</f>
        <v/>
      </c>
      <c r="D109" s="191"/>
      <c r="E109" s="247"/>
      <c r="F109" s="235" t="s">
        <v>35</v>
      </c>
      <c r="G109" s="235"/>
      <c r="H109" s="272">
        <f>'4thMAY'!J109</f>
        <v>0.142</v>
      </c>
      <c r="I109" s="281">
        <v>1.0</v>
      </c>
      <c r="J109" s="282">
        <v>0.131</v>
      </c>
      <c r="K109" s="283">
        <v>1.0</v>
      </c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0.011</v>
      </c>
      <c r="N109" s="191"/>
      <c r="O109" s="247"/>
    </row>
    <row r="110">
      <c r="A110" s="12" t="s">
        <v>121</v>
      </c>
      <c r="B110" s="12" t="s">
        <v>40</v>
      </c>
      <c r="C110" s="271" t="str">
        <f>'4thMAY'!E110</f>
        <v/>
      </c>
      <c r="D110" s="191"/>
      <c r="E110" s="247"/>
      <c r="F110" s="235" t="s">
        <v>35</v>
      </c>
      <c r="G110" s="235"/>
      <c r="H110" s="272">
        <f>'4thMAY'!J110</f>
        <v>0.226</v>
      </c>
      <c r="I110" s="281">
        <v>1.0</v>
      </c>
      <c r="J110" s="284"/>
      <c r="K110" s="283">
        <v>1.0</v>
      </c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0.213</v>
      </c>
      <c r="N110" s="191"/>
      <c r="O110" s="247"/>
    </row>
    <row r="111">
      <c r="A111" s="12" t="s">
        <v>122</v>
      </c>
      <c r="B111" s="12" t="s">
        <v>40</v>
      </c>
      <c r="C111" s="271" t="str">
        <f>'4thMAY'!E111</f>
        <v/>
      </c>
      <c r="D111" s="191"/>
      <c r="E111" s="247"/>
      <c r="F111" s="235" t="s">
        <v>35</v>
      </c>
      <c r="G111" s="235"/>
      <c r="H111" s="272" t="str">
        <f>'4thMAY'!J111</f>
        <v/>
      </c>
      <c r="I111" s="281">
        <v>1.0</v>
      </c>
      <c r="J111" s="284"/>
      <c r="K111" s="283">
        <v>1.0</v>
      </c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'4thMAY'!E112</f>
        <v/>
      </c>
      <c r="D112" s="191"/>
      <c r="E112" s="247"/>
      <c r="F112" s="235" t="s">
        <v>35</v>
      </c>
      <c r="G112" s="235"/>
      <c r="H112" s="272">
        <f>'4thMAY'!J112</f>
        <v>0.064</v>
      </c>
      <c r="I112" s="281">
        <v>1.0</v>
      </c>
      <c r="J112" s="282">
        <v>0.037</v>
      </c>
      <c r="K112" s="283">
        <v>1.0</v>
      </c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0.027</v>
      </c>
      <c r="N112" s="191"/>
      <c r="O112" s="247"/>
    </row>
    <row r="113">
      <c r="A113" s="12" t="s">
        <v>124</v>
      </c>
      <c r="B113" s="12" t="s">
        <v>40</v>
      </c>
      <c r="C113" s="271" t="str">
        <f>'4thMAY'!E113</f>
        <v/>
      </c>
      <c r="D113" s="191"/>
      <c r="E113" s="247"/>
      <c r="F113" s="235" t="s">
        <v>35</v>
      </c>
      <c r="G113" s="235"/>
      <c r="H113" s="272">
        <f>'4thMAY'!J113</f>
        <v>0.123</v>
      </c>
      <c r="I113" s="281">
        <v>1.0</v>
      </c>
      <c r="J113" s="282">
        <v>0.122</v>
      </c>
      <c r="K113" s="283">
        <v>1.0</v>
      </c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0.001</v>
      </c>
      <c r="N113" s="191"/>
      <c r="O113" s="247"/>
    </row>
    <row r="114">
      <c r="A114" s="12" t="s">
        <v>125</v>
      </c>
      <c r="B114" s="12" t="s">
        <v>40</v>
      </c>
      <c r="C114" s="271" t="str">
        <f>'4thMAY'!E114</f>
        <v/>
      </c>
      <c r="D114" s="191"/>
      <c r="E114" s="247"/>
      <c r="F114" s="235" t="s">
        <v>35</v>
      </c>
      <c r="G114" s="235"/>
      <c r="H114" s="272" t="str">
        <f>'4thMAY'!J114</f>
        <v/>
      </c>
      <c r="I114" s="281">
        <v>1.0</v>
      </c>
      <c r="J114" s="284"/>
      <c r="K114" s="283">
        <v>1.0</v>
      </c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'4thMAY'!E115</f>
        <v/>
      </c>
      <c r="D115" s="191"/>
      <c r="E115" s="247"/>
      <c r="F115" s="235" t="s">
        <v>35</v>
      </c>
      <c r="G115" s="235"/>
      <c r="H115" s="272">
        <f>'4thMAY'!J115</f>
        <v>0.889</v>
      </c>
      <c r="I115" s="281">
        <v>1.0</v>
      </c>
      <c r="J115" s="282">
        <f>0.342+0.503</f>
        <v>0.845</v>
      </c>
      <c r="K115" s="283">
        <v>1.0</v>
      </c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0.044</v>
      </c>
      <c r="N115" s="191"/>
      <c r="O115" s="247"/>
    </row>
    <row r="116">
      <c r="A116" s="12" t="s">
        <v>127</v>
      </c>
      <c r="B116" s="12" t="s">
        <v>40</v>
      </c>
      <c r="C116" s="271" t="str">
        <f>'4thMAY'!E116</f>
        <v/>
      </c>
      <c r="D116" s="191"/>
      <c r="E116" s="247"/>
      <c r="F116" s="235" t="s">
        <v>35</v>
      </c>
      <c r="G116" s="235"/>
      <c r="H116" s="272">
        <f>'4thMAY'!J116</f>
        <v>0.082</v>
      </c>
      <c r="I116" s="281">
        <v>1.0</v>
      </c>
      <c r="J116" s="282">
        <v>0.076</v>
      </c>
      <c r="K116" s="283">
        <v>1.0</v>
      </c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0.006</v>
      </c>
      <c r="N116" s="191"/>
      <c r="O116" s="247"/>
    </row>
    <row r="117">
      <c r="A117" s="12" t="s">
        <v>128</v>
      </c>
      <c r="B117" s="12" t="s">
        <v>40</v>
      </c>
      <c r="C117" s="271" t="str">
        <f>'4thMAY'!E117</f>
        <v/>
      </c>
      <c r="D117" s="191"/>
      <c r="E117" s="247"/>
      <c r="F117" s="235" t="s">
        <v>35</v>
      </c>
      <c r="G117" s="235"/>
      <c r="H117" s="272">
        <f>'4thMAY'!J117</f>
        <v>0.043</v>
      </c>
      <c r="I117" s="281">
        <v>1.0</v>
      </c>
      <c r="J117" s="282">
        <v>0.04</v>
      </c>
      <c r="K117" s="283">
        <v>1.0</v>
      </c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0.003</v>
      </c>
      <c r="N117" s="191"/>
      <c r="O117" s="247"/>
    </row>
    <row r="118">
      <c r="A118" s="12" t="s">
        <v>129</v>
      </c>
      <c r="B118" s="12" t="s">
        <v>40</v>
      </c>
      <c r="C118" s="271" t="str">
        <f>'4thMAY'!E118</f>
        <v/>
      </c>
      <c r="D118" s="191"/>
      <c r="E118" s="247"/>
      <c r="F118" s="235" t="s">
        <v>35</v>
      </c>
      <c r="G118" s="235"/>
      <c r="H118" s="272">
        <f>'4thMAY'!J118</f>
        <v>1</v>
      </c>
      <c r="I118" s="281">
        <v>1.0</v>
      </c>
      <c r="J118" s="282">
        <v>1.0</v>
      </c>
      <c r="K118" s="283">
        <v>1.0</v>
      </c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71" t="str">
        <f>'4thMAY'!E119</f>
        <v/>
      </c>
      <c r="D119" s="191"/>
      <c r="E119" s="247"/>
      <c r="F119" s="235" t="s">
        <v>35</v>
      </c>
      <c r="G119" s="235"/>
      <c r="H119" s="272" t="str">
        <f>'4thMAY'!J119</f>
        <v/>
      </c>
      <c r="I119" s="281">
        <v>1.0</v>
      </c>
      <c r="J119" s="282"/>
      <c r="K119" s="283">
        <v>1.0</v>
      </c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</v>
      </c>
      <c r="N119" s="191"/>
      <c r="O119" s="247"/>
    </row>
    <row r="120">
      <c r="A120" s="12" t="s">
        <v>131</v>
      </c>
      <c r="B120" s="12" t="s">
        <v>40</v>
      </c>
      <c r="C120" s="271" t="str">
        <f>'4thMAY'!E120</f>
        <v/>
      </c>
      <c r="D120" s="191"/>
      <c r="E120" s="247"/>
      <c r="F120" s="235" t="s">
        <v>35</v>
      </c>
      <c r="G120" s="235"/>
      <c r="H120" s="272">
        <f>'4thMAY'!J120</f>
        <v>0.083</v>
      </c>
      <c r="I120" s="281">
        <v>1.0</v>
      </c>
      <c r="J120" s="282"/>
      <c r="K120" s="283">
        <v>1.0</v>
      </c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0.072</v>
      </c>
      <c r="N120" s="191"/>
      <c r="O120" s="247"/>
    </row>
    <row r="121">
      <c r="A121" s="12" t="s">
        <v>132</v>
      </c>
      <c r="B121" s="12" t="s">
        <v>40</v>
      </c>
      <c r="C121" s="271" t="str">
        <f>'4thMAY'!E121</f>
        <v/>
      </c>
      <c r="D121" s="191"/>
      <c r="E121" s="247"/>
      <c r="F121" s="235" t="s">
        <v>35</v>
      </c>
      <c r="G121" s="235"/>
      <c r="H121" s="272">
        <f>'4thMAY'!J121</f>
        <v>0.075</v>
      </c>
      <c r="I121" s="281">
        <v>1.0</v>
      </c>
      <c r="J121" s="282">
        <v>0.057</v>
      </c>
      <c r="K121" s="283">
        <v>1.0</v>
      </c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0.018</v>
      </c>
      <c r="N121" s="191"/>
      <c r="O121" s="247"/>
    </row>
    <row r="122">
      <c r="A122" s="12" t="s">
        <v>133</v>
      </c>
      <c r="B122" s="12" t="s">
        <v>40</v>
      </c>
      <c r="C122" s="271" t="str">
        <f>'4thMAY'!E122</f>
        <v/>
      </c>
      <c r="D122" s="191"/>
      <c r="E122" s="247"/>
      <c r="F122" s="235" t="s">
        <v>35</v>
      </c>
      <c r="G122" s="285">
        <v>0.032</v>
      </c>
      <c r="H122" s="272">
        <f>'4thMAY'!J122</f>
        <v>0.01</v>
      </c>
      <c r="I122" s="281">
        <v>1.0</v>
      </c>
      <c r="J122" s="282">
        <v>0.042</v>
      </c>
      <c r="K122" s="283">
        <v>1.0</v>
      </c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</v>
      </c>
      <c r="N122" s="191"/>
      <c r="O122" s="247"/>
    </row>
    <row r="123">
      <c r="A123" s="12" t="s">
        <v>134</v>
      </c>
      <c r="B123" s="12" t="s">
        <v>40</v>
      </c>
      <c r="C123" s="271" t="str">
        <f>'4thMAY'!E123</f>
        <v/>
      </c>
      <c r="D123" s="191"/>
      <c r="E123" s="247"/>
      <c r="F123" s="235" t="s">
        <v>35</v>
      </c>
      <c r="G123" s="235"/>
      <c r="H123" s="272" t="str">
        <f>'4thMAY'!J123</f>
        <v/>
      </c>
      <c r="I123" s="281">
        <v>1.0</v>
      </c>
      <c r="J123" s="284"/>
      <c r="K123" s="283">
        <v>1.0</v>
      </c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'4thMAY'!E124</f>
        <v/>
      </c>
      <c r="D124" s="191"/>
      <c r="E124" s="247"/>
      <c r="F124" s="235" t="s">
        <v>35</v>
      </c>
      <c r="G124" s="235"/>
      <c r="H124" s="272" t="str">
        <f>'4thMAY'!J124</f>
        <v/>
      </c>
      <c r="I124" s="281">
        <v>1.0</v>
      </c>
      <c r="J124" s="284"/>
      <c r="K124" s="283">
        <v>1.0</v>
      </c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'4thMAY'!E125</f>
        <v/>
      </c>
      <c r="D125" s="191"/>
      <c r="E125" s="247"/>
      <c r="F125" s="285" t="s">
        <v>35</v>
      </c>
      <c r="G125" s="235"/>
      <c r="H125" s="272" t="str">
        <f>'4thMAY'!J125</f>
        <v/>
      </c>
      <c r="I125" s="281">
        <v>1.0</v>
      </c>
      <c r="J125" s="284"/>
      <c r="K125" s="283">
        <v>1.0</v>
      </c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247"/>
    </row>
    <row r="126">
      <c r="A126" s="21" t="s">
        <v>143</v>
      </c>
      <c r="B126" s="15" t="s">
        <v>40</v>
      </c>
      <c r="C126" s="271" t="str">
        <f>'4thMAY'!E126</f>
        <v/>
      </c>
      <c r="D126" s="191"/>
      <c r="E126" s="247"/>
      <c r="F126" s="285" t="s">
        <v>35</v>
      </c>
      <c r="G126" s="235"/>
      <c r="H126" s="272">
        <f>'4thMAY'!J126</f>
        <v>0.237</v>
      </c>
      <c r="I126" s="281">
        <v>1.0</v>
      </c>
      <c r="J126" s="282">
        <v>0.236</v>
      </c>
      <c r="K126" s="283">
        <v>1.0</v>
      </c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0.001</v>
      </c>
      <c r="N126" s="191"/>
      <c r="O126" s="247"/>
    </row>
    <row r="127">
      <c r="A127" s="10" t="s">
        <v>146</v>
      </c>
      <c r="B127" s="11"/>
      <c r="C127" s="271" t="str">
        <f>'4thMAY'!E127</f>
        <v/>
      </c>
      <c r="D127" s="191"/>
      <c r="E127" s="247"/>
      <c r="F127" s="235"/>
      <c r="G127" s="235"/>
      <c r="H127" s="272" t="str">
        <f>'4thMAY'!J127</f>
        <v/>
      </c>
      <c r="I127" s="281">
        <v>1.0</v>
      </c>
      <c r="J127" s="284"/>
      <c r="K127" s="283">
        <v>1.0</v>
      </c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'4thMAY'!E128</f>
        <v/>
      </c>
      <c r="D128" s="191"/>
      <c r="E128" s="247"/>
      <c r="F128" s="235" t="s">
        <v>35</v>
      </c>
      <c r="G128" s="235"/>
      <c r="H128" s="272" t="str">
        <f>'4thMAY'!J128</f>
        <v/>
      </c>
      <c r="I128" s="281">
        <v>1.0</v>
      </c>
      <c r="J128" s="284"/>
      <c r="K128" s="283">
        <v>1.0</v>
      </c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'4thMAY'!E129</f>
        <v/>
      </c>
      <c r="D129" s="227">
        <v>1.0</v>
      </c>
      <c r="E129" s="247"/>
      <c r="F129" s="235" t="s">
        <v>35</v>
      </c>
      <c r="G129" s="235"/>
      <c r="H129" s="272">
        <f>'4thMAY'!J129</f>
        <v>0.655</v>
      </c>
      <c r="I129" s="281">
        <v>1.0</v>
      </c>
      <c r="J129" s="282">
        <v>0.584</v>
      </c>
      <c r="K129" s="283">
        <v>1.0</v>
      </c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1.071</v>
      </c>
      <c r="N129" s="191"/>
      <c r="O129" s="247"/>
    </row>
    <row r="130">
      <c r="A130" s="12" t="s">
        <v>149</v>
      </c>
      <c r="B130" s="12" t="s">
        <v>40</v>
      </c>
      <c r="C130" s="271" t="str">
        <f>'4thMAY'!E130</f>
        <v/>
      </c>
      <c r="D130" s="191"/>
      <c r="E130" s="247"/>
      <c r="F130" s="235" t="s">
        <v>35</v>
      </c>
      <c r="G130" s="235"/>
      <c r="H130" s="272">
        <f>'4thMAY'!J130</f>
        <v>0.14</v>
      </c>
      <c r="I130" s="281">
        <v>1.0</v>
      </c>
      <c r="J130" s="282">
        <v>0.128</v>
      </c>
      <c r="K130" s="283">
        <v>1.0</v>
      </c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0.012</v>
      </c>
      <c r="N130" s="191"/>
      <c r="O130" s="247"/>
    </row>
    <row r="131">
      <c r="A131" s="12" t="s">
        <v>150</v>
      </c>
      <c r="B131" s="12" t="s">
        <v>24</v>
      </c>
      <c r="C131" s="271" t="str">
        <f>'4thMAY'!E131</f>
        <v/>
      </c>
      <c r="D131" s="191"/>
      <c r="E131" s="247"/>
      <c r="F131" s="235" t="s">
        <v>25</v>
      </c>
      <c r="G131" s="235"/>
      <c r="H131" s="272" t="str">
        <f>'4thMAY'!J131</f>
        <v/>
      </c>
      <c r="I131" s="281">
        <v>1.0</v>
      </c>
      <c r="J131" s="284"/>
      <c r="K131" s="283">
        <v>1.0</v>
      </c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'4thMAY'!E132</f>
        <v/>
      </c>
      <c r="D132" s="191"/>
      <c r="E132" s="247"/>
      <c r="F132" s="235"/>
      <c r="G132" s="235"/>
      <c r="H132" s="272" t="str">
        <f>'4thMAY'!J132</f>
        <v/>
      </c>
      <c r="I132" s="281">
        <v>1.0</v>
      </c>
      <c r="J132" s="284"/>
      <c r="K132" s="283">
        <v>1.0</v>
      </c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'4thMAY'!E133</f>
        <v/>
      </c>
      <c r="D133" s="227">
        <v>1.0</v>
      </c>
      <c r="E133" s="247"/>
      <c r="F133" s="235" t="s">
        <v>35</v>
      </c>
      <c r="G133" s="235"/>
      <c r="H133" s="272">
        <f>'4thMAY'!J133</f>
        <v>0.15</v>
      </c>
      <c r="I133" s="281">
        <v>1.0</v>
      </c>
      <c r="J133" s="284"/>
      <c r="K133" s="283">
        <v>1.0</v>
      </c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0.314</v>
      </c>
      <c r="N133" s="191"/>
      <c r="O133" s="247"/>
    </row>
    <row r="134">
      <c r="A134" s="12" t="s">
        <v>154</v>
      </c>
      <c r="B134" s="12" t="s">
        <v>155</v>
      </c>
      <c r="C134" s="271" t="str">
        <f>'4thMAY'!E134</f>
        <v/>
      </c>
      <c r="D134" s="227">
        <v>5.0</v>
      </c>
      <c r="E134" s="247"/>
      <c r="F134" s="235" t="s">
        <v>35</v>
      </c>
      <c r="G134" s="235"/>
      <c r="H134" s="272" t="str">
        <f>'4thMAY'!J134</f>
        <v/>
      </c>
      <c r="I134" s="281">
        <v>1.0</v>
      </c>
      <c r="J134" s="284"/>
      <c r="K134" s="283">
        <v>1.0</v>
      </c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2.5</v>
      </c>
      <c r="N134" s="191"/>
      <c r="O134" s="247"/>
    </row>
    <row r="135">
      <c r="A135" s="12" t="s">
        <v>157</v>
      </c>
      <c r="B135" s="12" t="s">
        <v>34</v>
      </c>
      <c r="C135" s="271">
        <f>'4thMAY'!E135</f>
        <v>1</v>
      </c>
      <c r="D135" s="227"/>
      <c r="E135" s="280">
        <v>1.0</v>
      </c>
      <c r="F135" s="235" t="s">
        <v>35</v>
      </c>
      <c r="G135" s="235"/>
      <c r="H135" s="272">
        <f>'4thMAY'!J135</f>
        <v>0.655</v>
      </c>
      <c r="I135" s="281">
        <v>1.0</v>
      </c>
      <c r="J135" s="282">
        <v>0.293</v>
      </c>
      <c r="K135" s="283">
        <v>1.0</v>
      </c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0.362</v>
      </c>
      <c r="N135" s="191"/>
      <c r="O135" s="247"/>
    </row>
    <row r="136">
      <c r="A136" s="12" t="s">
        <v>158</v>
      </c>
      <c r="B136" s="12" t="s">
        <v>34</v>
      </c>
      <c r="C136" s="271" t="str">
        <f>'4thMAY'!E136</f>
        <v/>
      </c>
      <c r="D136" s="191"/>
      <c r="E136" s="247"/>
      <c r="F136" s="235" t="s">
        <v>35</v>
      </c>
      <c r="G136" s="235"/>
      <c r="H136" s="272" t="str">
        <f>'4thMAY'!J136</f>
        <v/>
      </c>
      <c r="I136" s="281">
        <v>1.0</v>
      </c>
      <c r="J136" s="284"/>
      <c r="K136" s="283">
        <v>1.0</v>
      </c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</v>
      </c>
      <c r="N136" s="191"/>
      <c r="O136" s="247"/>
    </row>
    <row r="137">
      <c r="A137" s="12" t="s">
        <v>159</v>
      </c>
      <c r="B137" s="12" t="s">
        <v>34</v>
      </c>
      <c r="C137" s="271" t="str">
        <f>'4thMAY'!E137</f>
        <v/>
      </c>
      <c r="D137" s="191"/>
      <c r="E137" s="247"/>
      <c r="F137" s="235" t="s">
        <v>35</v>
      </c>
      <c r="G137" s="235"/>
      <c r="H137" s="272" t="str">
        <f>'4thMAY'!J137</f>
        <v/>
      </c>
      <c r="I137" s="281">
        <v>1.0</v>
      </c>
      <c r="J137" s="284"/>
      <c r="K137" s="283">
        <v>1.0</v>
      </c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'4thMAY'!E138</f>
        <v/>
      </c>
      <c r="D138" s="191"/>
      <c r="E138" s="247"/>
      <c r="F138" s="235" t="s">
        <v>35</v>
      </c>
      <c r="G138" s="285">
        <v>1.0</v>
      </c>
      <c r="H138" s="272">
        <f>'4thMAY'!J138</f>
        <v>0.028</v>
      </c>
      <c r="I138" s="281">
        <v>1.0</v>
      </c>
      <c r="J138" s="282">
        <v>1.0</v>
      </c>
      <c r="K138" s="283">
        <v>1.0</v>
      </c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0.028</v>
      </c>
      <c r="N138" s="191"/>
      <c r="O138" s="247"/>
    </row>
    <row r="139">
      <c r="A139" s="12" t="s">
        <v>161</v>
      </c>
      <c r="B139" s="12" t="s">
        <v>34</v>
      </c>
      <c r="C139" s="271" t="str">
        <f>'4thMAY'!E139</f>
        <v/>
      </c>
      <c r="D139" s="191"/>
      <c r="E139" s="247"/>
      <c r="F139" s="235" t="s">
        <v>35</v>
      </c>
      <c r="G139" s="285">
        <v>1.0</v>
      </c>
      <c r="H139" s="272">
        <f>'4thMAY'!J139</f>
        <v>0.395</v>
      </c>
      <c r="I139" s="281">
        <v>1.0</v>
      </c>
      <c r="J139" s="282">
        <v>1.0</v>
      </c>
      <c r="K139" s="283">
        <v>1.0</v>
      </c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0.395</v>
      </c>
      <c r="N139" s="191"/>
      <c r="O139" s="247"/>
    </row>
    <row r="140">
      <c r="A140" s="12" t="s">
        <v>162</v>
      </c>
      <c r="B140" s="12" t="s">
        <v>34</v>
      </c>
      <c r="C140" s="271" t="str">
        <f>'4thMAY'!E140</f>
        <v/>
      </c>
      <c r="D140" s="191"/>
      <c r="E140" s="247"/>
      <c r="F140" s="235" t="s">
        <v>35</v>
      </c>
      <c r="G140" s="235"/>
      <c r="H140" s="272" t="str">
        <f>'4thMAY'!J140</f>
        <v/>
      </c>
      <c r="I140" s="281">
        <v>1.0</v>
      </c>
      <c r="J140" s="282"/>
      <c r="K140" s="283">
        <v>1.0</v>
      </c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 t="str">
        <f>'4thMAY'!E141</f>
        <v/>
      </c>
      <c r="D141" s="191"/>
      <c r="E141" s="247"/>
      <c r="F141" s="235" t="s">
        <v>35</v>
      </c>
      <c r="G141" s="235"/>
      <c r="H141" s="272">
        <f>'4thMAY'!J141</f>
        <v>0.92</v>
      </c>
      <c r="I141" s="281">
        <v>1.0</v>
      </c>
      <c r="J141" s="282">
        <v>0.862</v>
      </c>
      <c r="K141" s="283">
        <v>1.0</v>
      </c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0.058</v>
      </c>
      <c r="N141" s="191"/>
      <c r="O141" s="247"/>
    </row>
    <row r="142">
      <c r="A142" s="12" t="s">
        <v>164</v>
      </c>
      <c r="B142" s="12" t="s">
        <v>155</v>
      </c>
      <c r="C142" s="271" t="str">
        <f>'4thMAY'!E142</f>
        <v/>
      </c>
      <c r="D142" s="191"/>
      <c r="E142" s="247"/>
      <c r="F142" s="235" t="s">
        <v>35</v>
      </c>
      <c r="G142" s="235"/>
      <c r="H142" s="272">
        <v>0.455</v>
      </c>
      <c r="I142" s="281">
        <v>1.0</v>
      </c>
      <c r="J142" s="282">
        <v>0.455</v>
      </c>
      <c r="K142" s="283">
        <v>1.0</v>
      </c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</v>
      </c>
      <c r="N142" s="191"/>
      <c r="O142" s="247"/>
    </row>
    <row r="143">
      <c r="A143" s="12" t="s">
        <v>165</v>
      </c>
      <c r="B143" s="12" t="s">
        <v>155</v>
      </c>
      <c r="C143" s="271" t="str">
        <f>'4thMAY'!E143</f>
        <v/>
      </c>
      <c r="D143" s="191"/>
      <c r="E143" s="247"/>
      <c r="F143" s="235" t="s">
        <v>35</v>
      </c>
      <c r="G143" s="235"/>
      <c r="H143" s="272" t="str">
        <f>'4thMAY'!J143</f>
        <v/>
      </c>
      <c r="I143" s="281">
        <v>1.0</v>
      </c>
      <c r="J143" s="284"/>
      <c r="K143" s="283">
        <v>1.0</v>
      </c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'4thMAY'!E144</f>
        <v/>
      </c>
      <c r="D144" s="191"/>
      <c r="E144" s="247"/>
      <c r="F144" s="235" t="s">
        <v>35</v>
      </c>
      <c r="G144" s="235"/>
      <c r="H144" s="272">
        <f>'4thMAY'!J144</f>
        <v>1</v>
      </c>
      <c r="I144" s="281">
        <v>1.0</v>
      </c>
      <c r="J144" s="284"/>
      <c r="K144" s="283">
        <v>1.0</v>
      </c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0.8</v>
      </c>
      <c r="N144" s="191"/>
      <c r="O144" s="247"/>
    </row>
    <row r="145">
      <c r="A145" s="12" t="s">
        <v>167</v>
      </c>
      <c r="B145" s="12" t="s">
        <v>106</v>
      </c>
      <c r="C145" s="271" t="str">
        <f>'4thMAY'!E145</f>
        <v/>
      </c>
      <c r="D145" s="227">
        <v>1.0</v>
      </c>
      <c r="E145" s="280">
        <v>1.0</v>
      </c>
      <c r="F145" s="235" t="s">
        <v>35</v>
      </c>
      <c r="G145" s="235"/>
      <c r="H145" s="272" t="str">
        <f>'4thMAY'!J145</f>
        <v/>
      </c>
      <c r="I145" s="281">
        <v>1.0</v>
      </c>
      <c r="J145" s="282"/>
      <c r="K145" s="283">
        <v>1.0</v>
      </c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</v>
      </c>
      <c r="N145" s="191"/>
      <c r="O145" s="247"/>
    </row>
    <row r="146">
      <c r="A146" s="12" t="s">
        <v>168</v>
      </c>
      <c r="B146" s="12" t="s">
        <v>17</v>
      </c>
      <c r="C146" s="271" t="str">
        <f>'4thMAY'!E146</f>
        <v/>
      </c>
      <c r="D146" s="227"/>
      <c r="E146" s="247"/>
      <c r="F146" s="235" t="s">
        <v>35</v>
      </c>
      <c r="G146" s="235"/>
      <c r="H146" s="272">
        <v>0.475</v>
      </c>
      <c r="I146" s="281">
        <v>1.0</v>
      </c>
      <c r="J146" s="282">
        <v>0.475</v>
      </c>
      <c r="K146" s="283">
        <v>1.0</v>
      </c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</v>
      </c>
      <c r="N146" s="191"/>
      <c r="O146" s="247"/>
    </row>
    <row r="147">
      <c r="A147" s="12" t="s">
        <v>169</v>
      </c>
      <c r="B147" s="12" t="s">
        <v>106</v>
      </c>
      <c r="C147" s="271" t="str">
        <f>'4thMAY'!E147</f>
        <v/>
      </c>
      <c r="D147" s="191"/>
      <c r="E147" s="247"/>
      <c r="F147" s="235" t="s">
        <v>35</v>
      </c>
      <c r="G147" s="235"/>
      <c r="H147" s="272" t="str">
        <f>'4thMAY'!J147</f>
        <v/>
      </c>
      <c r="I147" s="281">
        <v>1.0</v>
      </c>
      <c r="J147" s="284"/>
      <c r="K147" s="283">
        <v>1.0</v>
      </c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'4thMAY'!E148</f>
        <v/>
      </c>
      <c r="D148" s="191"/>
      <c r="E148" s="247"/>
      <c r="F148" s="235" t="s">
        <v>35</v>
      </c>
      <c r="G148" s="235"/>
      <c r="H148" s="272" t="str">
        <f>'4thMAY'!J148</f>
        <v/>
      </c>
      <c r="I148" s="281">
        <v>1.0</v>
      </c>
      <c r="J148" s="284"/>
      <c r="K148" s="283">
        <v>1.0</v>
      </c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>
        <f>'4thMAY'!E149</f>
        <v>1</v>
      </c>
      <c r="D149" s="191"/>
      <c r="E149" s="280">
        <v>1.0</v>
      </c>
      <c r="F149" s="235" t="s">
        <v>14</v>
      </c>
      <c r="G149" s="235"/>
      <c r="H149" s="272">
        <f>'4thMAY'!J149</f>
        <v>0.027</v>
      </c>
      <c r="I149" s="281">
        <v>1.0</v>
      </c>
      <c r="J149" s="282">
        <v>0.009</v>
      </c>
      <c r="K149" s="283">
        <v>1.0</v>
      </c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0.018</v>
      </c>
      <c r="N149" s="191"/>
      <c r="O149" s="247"/>
    </row>
    <row r="150">
      <c r="A150" s="11" t="s">
        <v>173</v>
      </c>
      <c r="B150" s="11" t="s">
        <v>106</v>
      </c>
      <c r="C150" s="271" t="str">
        <f>'4thMAY'!E150</f>
        <v/>
      </c>
      <c r="D150" s="287"/>
      <c r="E150" s="288"/>
      <c r="F150" s="235" t="s">
        <v>14</v>
      </c>
      <c r="G150" s="289"/>
      <c r="H150" s="272" t="str">
        <f>'4thMAY'!J150</f>
        <v/>
      </c>
      <c r="I150" s="281">
        <v>1.0</v>
      </c>
      <c r="J150" s="291"/>
      <c r="K150" s="283">
        <v>1.0</v>
      </c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</v>
      </c>
      <c r="N150" s="216"/>
      <c r="O150" s="292"/>
    </row>
    <row r="151">
      <c r="A151" s="22" t="s">
        <v>174</v>
      </c>
      <c r="B151" s="23" t="s">
        <v>106</v>
      </c>
      <c r="C151" s="271" t="str">
        <f>'4thMAY'!E151</f>
        <v/>
      </c>
      <c r="D151" s="216"/>
      <c r="E151" s="288"/>
      <c r="F151" s="235" t="s">
        <v>14</v>
      </c>
      <c r="G151" s="289"/>
      <c r="H151" s="272">
        <f>'4thMAY'!J151</f>
        <v>0.39</v>
      </c>
      <c r="I151" s="281">
        <v>1.0</v>
      </c>
      <c r="J151" s="301">
        <v>0.39</v>
      </c>
      <c r="K151" s="283">
        <v>1.0</v>
      </c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</v>
      </c>
      <c r="N151" s="216"/>
      <c r="O151" s="292"/>
    </row>
    <row r="152">
      <c r="A152" s="10" t="s">
        <v>175</v>
      </c>
      <c r="B152" s="11"/>
      <c r="C152" s="271" t="str">
        <f>'4thMAY'!E152</f>
        <v/>
      </c>
      <c r="D152" s="191"/>
      <c r="E152" s="247"/>
      <c r="F152" s="235"/>
      <c r="G152" s="235"/>
      <c r="H152" s="272" t="str">
        <f>'4thMAY'!J152</f>
        <v/>
      </c>
      <c r="I152" s="281">
        <v>1.0</v>
      </c>
      <c r="J152" s="284"/>
      <c r="K152" s="283">
        <v>1.0</v>
      </c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'4thMAY'!E153</f>
        <v/>
      </c>
      <c r="D153" s="227">
        <v>4.0</v>
      </c>
      <c r="E153" s="247"/>
      <c r="F153" s="235" t="s">
        <v>25</v>
      </c>
      <c r="G153" s="235"/>
      <c r="H153" s="272" t="str">
        <f>'4thMAY'!J153</f>
        <v/>
      </c>
      <c r="I153" s="281">
        <v>1.0</v>
      </c>
      <c r="J153" s="284"/>
      <c r="K153" s="283">
        <v>1.0</v>
      </c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4</v>
      </c>
      <c r="N153" s="191"/>
      <c r="O153" s="247"/>
    </row>
    <row r="154">
      <c r="A154" s="12" t="s">
        <v>178</v>
      </c>
      <c r="B154" s="12" t="s">
        <v>35</v>
      </c>
      <c r="C154" s="271">
        <f>'4thMAY'!E154</f>
        <v>4</v>
      </c>
      <c r="D154" s="227">
        <v>8.0</v>
      </c>
      <c r="E154" s="280">
        <v>8.0</v>
      </c>
      <c r="F154" s="235" t="s">
        <v>35</v>
      </c>
      <c r="G154" s="235"/>
      <c r="H154" s="272" t="str">
        <f>'4thMAY'!J154</f>
        <v/>
      </c>
      <c r="I154" s="281">
        <v>1.0</v>
      </c>
      <c r="J154" s="284"/>
      <c r="K154" s="283">
        <v>1.0</v>
      </c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2</v>
      </c>
      <c r="N154" s="191"/>
      <c r="O154" s="247"/>
    </row>
    <row r="155">
      <c r="A155" s="12" t="s">
        <v>180</v>
      </c>
      <c r="B155" s="12" t="s">
        <v>35</v>
      </c>
      <c r="C155" s="271" t="str">
        <f>'4thMAY'!E155</f>
        <v/>
      </c>
      <c r="D155" s="191"/>
      <c r="E155" s="247"/>
      <c r="F155" s="235" t="s">
        <v>35</v>
      </c>
      <c r="G155" s="235"/>
      <c r="H155" s="272">
        <f>'4thMAY'!J155</f>
        <v>0.341</v>
      </c>
      <c r="I155" s="281">
        <v>1.0</v>
      </c>
      <c r="J155" s="282">
        <v>0.198</v>
      </c>
      <c r="K155" s="283">
        <v>1.0</v>
      </c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0.143</v>
      </c>
      <c r="N155" s="191"/>
      <c r="O155" s="247"/>
    </row>
    <row r="156">
      <c r="A156" s="12" t="s">
        <v>181</v>
      </c>
      <c r="B156" s="12" t="s">
        <v>35</v>
      </c>
      <c r="C156" s="271" t="str">
        <f>'4thMAY'!E156</f>
        <v/>
      </c>
      <c r="D156" s="191"/>
      <c r="E156" s="280"/>
      <c r="F156" s="235" t="s">
        <v>35</v>
      </c>
      <c r="G156" s="235"/>
      <c r="H156" s="272">
        <f>'4thMAY'!J156</f>
        <v>0.807</v>
      </c>
      <c r="I156" s="281">
        <v>1.0</v>
      </c>
      <c r="J156" s="282"/>
      <c r="K156" s="283">
        <v>1.0</v>
      </c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0.795</v>
      </c>
      <c r="N156" s="191"/>
      <c r="O156" s="247"/>
    </row>
    <row r="157">
      <c r="A157" s="12" t="s">
        <v>182</v>
      </c>
      <c r="B157" s="12" t="s">
        <v>35</v>
      </c>
      <c r="C157" s="271" t="str">
        <f>'4thMAY'!E157</f>
        <v/>
      </c>
      <c r="D157" s="191"/>
      <c r="E157" s="247"/>
      <c r="F157" s="235" t="s">
        <v>35</v>
      </c>
      <c r="G157" s="285"/>
      <c r="H157" s="272" t="str">
        <f>'4thMAY'!J157</f>
        <v/>
      </c>
      <c r="I157" s="281">
        <v>1.0</v>
      </c>
      <c r="J157" s="282"/>
      <c r="K157" s="283">
        <v>1.0</v>
      </c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71" t="str">
        <f>'4thMAY'!E158</f>
        <v/>
      </c>
      <c r="D158" s="191"/>
      <c r="E158" s="247"/>
      <c r="F158" s="235" t="s">
        <v>14</v>
      </c>
      <c r="G158" s="235"/>
      <c r="H158" s="272" t="str">
        <f>'4thMAY'!J158</f>
        <v/>
      </c>
      <c r="I158" s="281">
        <v>1.0</v>
      </c>
      <c r="J158" s="284"/>
      <c r="K158" s="283">
        <v>1.0</v>
      </c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'4thMAY'!E159</f>
        <v/>
      </c>
      <c r="D159" s="191"/>
      <c r="E159" s="247"/>
      <c r="F159" s="235"/>
      <c r="G159" s="235"/>
      <c r="H159" s="272" t="str">
        <f>'4thMAY'!J159</f>
        <v/>
      </c>
      <c r="I159" s="281">
        <v>1.0</v>
      </c>
      <c r="J159" s="284"/>
      <c r="K159" s="283">
        <v>1.0</v>
      </c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'4thMAY'!E160</f>
        <v/>
      </c>
      <c r="D160" s="227">
        <v>2.0</v>
      </c>
      <c r="E160" s="247"/>
      <c r="F160" s="235" t="s">
        <v>17</v>
      </c>
      <c r="G160" s="235"/>
      <c r="H160" s="272">
        <f>'4thMAY'!J160</f>
        <v>1</v>
      </c>
      <c r="I160" s="281">
        <v>1.0</v>
      </c>
      <c r="J160" s="284"/>
      <c r="K160" s="283">
        <v>1.0</v>
      </c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3</v>
      </c>
      <c r="N160" s="191"/>
      <c r="O160" s="247"/>
    </row>
    <row r="161">
      <c r="A161" s="12" t="s">
        <v>187</v>
      </c>
      <c r="B161" s="12" t="s">
        <v>17</v>
      </c>
      <c r="C161" s="271" t="str">
        <f>'4thMAY'!E161</f>
        <v/>
      </c>
      <c r="D161" s="227">
        <v>4.0</v>
      </c>
      <c r="E161" s="247"/>
      <c r="F161" s="235" t="s">
        <v>17</v>
      </c>
      <c r="G161" s="235"/>
      <c r="H161" s="272" t="str">
        <f>'4thMAY'!J161</f>
        <v/>
      </c>
      <c r="I161" s="281">
        <v>1.0</v>
      </c>
      <c r="J161" s="282"/>
      <c r="K161" s="283">
        <v>1.0</v>
      </c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4</v>
      </c>
      <c r="N161" s="191"/>
      <c r="O161" s="247"/>
    </row>
    <row r="162">
      <c r="A162" s="12" t="s">
        <v>188</v>
      </c>
      <c r="B162" s="12" t="s">
        <v>35</v>
      </c>
      <c r="C162" s="271" t="str">
        <f>'4thMAY'!E162</f>
        <v/>
      </c>
      <c r="D162" s="227">
        <v>4.0</v>
      </c>
      <c r="E162" s="247"/>
      <c r="F162" s="235" t="s">
        <v>35</v>
      </c>
      <c r="G162" s="235"/>
      <c r="H162" s="272" t="str">
        <f>'4thMAY'!J162</f>
        <v/>
      </c>
      <c r="I162" s="281">
        <v>1.0</v>
      </c>
      <c r="J162" s="284"/>
      <c r="K162" s="283">
        <v>1.0</v>
      </c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4</v>
      </c>
      <c r="N162" s="191"/>
      <c r="O162" s="247"/>
    </row>
    <row r="163">
      <c r="A163" s="12" t="s">
        <v>189</v>
      </c>
      <c r="B163" s="12" t="s">
        <v>17</v>
      </c>
      <c r="C163" s="271" t="str">
        <f>'4thMAY'!E163</f>
        <v/>
      </c>
      <c r="D163" s="227">
        <v>1.0</v>
      </c>
      <c r="E163" s="280"/>
      <c r="F163" s="235" t="s">
        <v>17</v>
      </c>
      <c r="G163" s="235"/>
      <c r="H163" s="272">
        <f>'4thMAY'!J163</f>
        <v>0.5</v>
      </c>
      <c r="I163" s="281">
        <v>1.0</v>
      </c>
      <c r="J163" s="282">
        <v>0.5</v>
      </c>
      <c r="K163" s="283">
        <v>1.0</v>
      </c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1</v>
      </c>
      <c r="N163" s="191"/>
      <c r="O163" s="247"/>
    </row>
    <row r="164">
      <c r="A164" s="12" t="s">
        <v>190</v>
      </c>
      <c r="B164" s="12" t="s">
        <v>17</v>
      </c>
      <c r="C164" s="271" t="str">
        <f>'4thMAY'!E164</f>
        <v/>
      </c>
      <c r="D164" s="191"/>
      <c r="E164" s="247"/>
      <c r="F164" s="235" t="s">
        <v>17</v>
      </c>
      <c r="G164" s="235"/>
      <c r="H164" s="272" t="str">
        <f>'4thMAY'!J164</f>
        <v/>
      </c>
      <c r="I164" s="281">
        <v>1.0</v>
      </c>
      <c r="J164" s="284"/>
      <c r="K164" s="283">
        <v>1.0</v>
      </c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'4thMAY'!E165</f>
        <v/>
      </c>
      <c r="D165" s="227">
        <v>1.5</v>
      </c>
      <c r="E165" s="247"/>
      <c r="F165" s="235" t="s">
        <v>35</v>
      </c>
      <c r="G165" s="235"/>
      <c r="H165" s="272">
        <f>'4thMAY'!J165</f>
        <v>0.149</v>
      </c>
      <c r="I165" s="281">
        <v>1.0</v>
      </c>
      <c r="J165" s="282">
        <v>0.593</v>
      </c>
      <c r="K165" s="283">
        <v>1.0</v>
      </c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1.056</v>
      </c>
      <c r="N165" s="191"/>
      <c r="O165" s="247"/>
    </row>
    <row r="166">
      <c r="A166" s="12" t="s">
        <v>192</v>
      </c>
      <c r="B166" s="12" t="s">
        <v>35</v>
      </c>
      <c r="C166" s="271" t="str">
        <f>'4thMAY'!E166</f>
        <v/>
      </c>
      <c r="D166" s="227">
        <v>1.0</v>
      </c>
      <c r="E166" s="247"/>
      <c r="F166" s="235" t="s">
        <v>35</v>
      </c>
      <c r="G166" s="285"/>
      <c r="H166" s="272" t="str">
        <f>'4thMAY'!J166</f>
        <v/>
      </c>
      <c r="I166" s="281">
        <v>1.0</v>
      </c>
      <c r="J166" s="282"/>
      <c r="K166" s="283">
        <v>1.0</v>
      </c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1</v>
      </c>
      <c r="N166" s="191"/>
      <c r="O166" s="247"/>
    </row>
    <row r="167">
      <c r="A167" s="12" t="s">
        <v>193</v>
      </c>
      <c r="B167" s="12" t="s">
        <v>35</v>
      </c>
      <c r="C167" s="271" t="str">
        <f>'4thMAY'!E167</f>
        <v/>
      </c>
      <c r="D167" s="227">
        <v>8.0</v>
      </c>
      <c r="E167" s="247"/>
      <c r="F167" s="235" t="s">
        <v>35</v>
      </c>
      <c r="G167" s="235"/>
      <c r="H167" s="272">
        <f>'4thMAY'!J167</f>
        <v>0.1</v>
      </c>
      <c r="I167" s="281">
        <v>1.0</v>
      </c>
      <c r="J167" s="282"/>
      <c r="K167" s="283">
        <v>1.0</v>
      </c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8.1</v>
      </c>
      <c r="N167" s="191"/>
      <c r="O167" s="247"/>
    </row>
    <row r="168">
      <c r="A168" s="12" t="s">
        <v>194</v>
      </c>
      <c r="B168" s="12" t="s">
        <v>17</v>
      </c>
      <c r="C168" s="271" t="str">
        <f>'4thMAY'!E168</f>
        <v/>
      </c>
      <c r="D168" s="227">
        <v>1.0</v>
      </c>
      <c r="E168" s="247"/>
      <c r="F168" s="235" t="s">
        <v>17</v>
      </c>
      <c r="G168" s="235"/>
      <c r="H168" s="272">
        <f>'4thMAY'!J168</f>
        <v>1</v>
      </c>
      <c r="I168" s="281">
        <v>1.0</v>
      </c>
      <c r="J168" s="284"/>
      <c r="K168" s="283">
        <v>1.0</v>
      </c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2</v>
      </c>
      <c r="N168" s="191"/>
      <c r="O168" s="247"/>
    </row>
    <row r="169">
      <c r="A169" s="12" t="s">
        <v>195</v>
      </c>
      <c r="B169" s="12" t="s">
        <v>35</v>
      </c>
      <c r="C169" s="271" t="str">
        <f>'4thMAY'!E169</f>
        <v/>
      </c>
      <c r="D169" s="227">
        <v>0.5</v>
      </c>
      <c r="E169" s="247"/>
      <c r="F169" s="235" t="s">
        <v>35</v>
      </c>
      <c r="G169" s="285">
        <v>0.554</v>
      </c>
      <c r="H169" s="272">
        <f>'4thMAY'!J169</f>
        <v>0.678</v>
      </c>
      <c r="I169" s="281">
        <v>1.0</v>
      </c>
      <c r="J169" s="282">
        <v>1.732</v>
      </c>
      <c r="K169" s="283">
        <v>1.0</v>
      </c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</v>
      </c>
      <c r="N169" s="191"/>
      <c r="O169" s="247"/>
    </row>
    <row r="170">
      <c r="A170" s="12" t="s">
        <v>196</v>
      </c>
      <c r="B170" s="12" t="s">
        <v>35</v>
      </c>
      <c r="C170" s="271" t="str">
        <f>'4thMAY'!E170</f>
        <v/>
      </c>
      <c r="D170" s="227">
        <v>1.0</v>
      </c>
      <c r="E170" s="247"/>
      <c r="F170" s="235" t="s">
        <v>35</v>
      </c>
      <c r="G170" s="235"/>
      <c r="H170" s="272" t="str">
        <f>'4thMAY'!J170</f>
        <v/>
      </c>
      <c r="I170" s="281">
        <v>1.0</v>
      </c>
      <c r="J170" s="282">
        <v>0.191</v>
      </c>
      <c r="K170" s="283">
        <v>1.0</v>
      </c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0.809</v>
      </c>
      <c r="N170" s="191"/>
      <c r="O170" s="247"/>
    </row>
    <row r="171">
      <c r="A171" s="12" t="s">
        <v>197</v>
      </c>
      <c r="B171" s="12" t="s">
        <v>35</v>
      </c>
      <c r="C171" s="271" t="str">
        <f>'4thMAY'!E171</f>
        <v/>
      </c>
      <c r="D171" s="227">
        <v>1.0</v>
      </c>
      <c r="E171" s="247"/>
      <c r="F171" s="235" t="s">
        <v>35</v>
      </c>
      <c r="G171" s="285"/>
      <c r="H171" s="272" t="str">
        <f>'4thMAY'!J171</f>
        <v/>
      </c>
      <c r="I171" s="281">
        <v>1.0</v>
      </c>
      <c r="J171" s="282">
        <v>0.132</v>
      </c>
      <c r="K171" s="283">
        <v>1.0</v>
      </c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0.868</v>
      </c>
      <c r="N171" s="191"/>
      <c r="O171" s="247"/>
    </row>
    <row r="172">
      <c r="A172" s="12" t="s">
        <v>198</v>
      </c>
      <c r="B172" s="12" t="s">
        <v>35</v>
      </c>
      <c r="C172" s="271" t="str">
        <f>'4thMAY'!E172</f>
        <v/>
      </c>
      <c r="D172" s="227">
        <v>1.5</v>
      </c>
      <c r="E172" s="247"/>
      <c r="F172" s="235" t="s">
        <v>35</v>
      </c>
      <c r="G172" s="235"/>
      <c r="H172" s="272">
        <f>'4thMAY'!J172</f>
        <v>0.502</v>
      </c>
      <c r="I172" s="281">
        <v>1.0</v>
      </c>
      <c r="J172" s="282">
        <v>1.0</v>
      </c>
      <c r="K172" s="283">
        <v>1.0</v>
      </c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1.002</v>
      </c>
      <c r="N172" s="191"/>
      <c r="O172" s="247"/>
    </row>
    <row r="173">
      <c r="A173" s="12" t="s">
        <v>199</v>
      </c>
      <c r="B173" s="12" t="s">
        <v>35</v>
      </c>
      <c r="C173" s="271" t="str">
        <f>'4thMAY'!E173</f>
        <v/>
      </c>
      <c r="D173" s="227">
        <v>1.5</v>
      </c>
      <c r="E173" s="247"/>
      <c r="F173" s="235" t="s">
        <v>35</v>
      </c>
      <c r="G173" s="235"/>
      <c r="H173" s="272" t="str">
        <f>'4thMAY'!J173</f>
        <v/>
      </c>
      <c r="I173" s="281">
        <v>1.0</v>
      </c>
      <c r="J173" s="282">
        <v>1.0</v>
      </c>
      <c r="K173" s="283">
        <v>1.0</v>
      </c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0.5</v>
      </c>
      <c r="N173" s="191"/>
      <c r="O173" s="247"/>
    </row>
    <row r="174">
      <c r="A174" s="12" t="s">
        <v>200</v>
      </c>
      <c r="B174" s="12" t="s">
        <v>35</v>
      </c>
      <c r="C174" s="271" t="str">
        <f>'4thMAY'!E174</f>
        <v/>
      </c>
      <c r="D174" s="227">
        <v>1.0</v>
      </c>
      <c r="E174" s="247"/>
      <c r="F174" s="235" t="s">
        <v>35</v>
      </c>
      <c r="G174" s="235"/>
      <c r="H174" s="272" t="str">
        <f>'4thMAY'!J174</f>
        <v/>
      </c>
      <c r="I174" s="281">
        <v>1.0</v>
      </c>
      <c r="J174" s="284"/>
      <c r="K174" s="283">
        <v>1.0</v>
      </c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1</v>
      </c>
      <c r="N174" s="191"/>
      <c r="O174" s="247"/>
    </row>
    <row r="175">
      <c r="A175" s="12" t="s">
        <v>201</v>
      </c>
      <c r="B175" s="12" t="s">
        <v>202</v>
      </c>
      <c r="C175" s="271" t="str">
        <f>'4thMAY'!E175</f>
        <v/>
      </c>
      <c r="D175" s="191"/>
      <c r="E175" s="247"/>
      <c r="F175" s="235" t="s">
        <v>202</v>
      </c>
      <c r="G175" s="235"/>
      <c r="H175" s="272" t="str">
        <f>'4thMAY'!J175</f>
        <v/>
      </c>
      <c r="I175" s="281">
        <v>1.0</v>
      </c>
      <c r="J175" s="284"/>
      <c r="K175" s="283">
        <v>1.0</v>
      </c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'4thMAY'!E176</f>
        <v/>
      </c>
      <c r="D176" s="191"/>
      <c r="E176" s="247"/>
      <c r="F176" s="235" t="s">
        <v>202</v>
      </c>
      <c r="G176" s="235"/>
      <c r="H176" s="272">
        <f>'4thMAY'!J176</f>
        <v>1</v>
      </c>
      <c r="I176" s="281">
        <v>1.0</v>
      </c>
      <c r="J176" s="282"/>
      <c r="K176" s="283">
        <v>1.0</v>
      </c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1</v>
      </c>
      <c r="N176" s="191"/>
      <c r="O176" s="247"/>
    </row>
    <row r="177">
      <c r="A177" s="12" t="s">
        <v>205</v>
      </c>
      <c r="B177" s="12" t="s">
        <v>202</v>
      </c>
      <c r="C177" s="271" t="str">
        <f>'4thMAY'!E177</f>
        <v/>
      </c>
      <c r="D177" s="227">
        <v>4.0</v>
      </c>
      <c r="E177" s="247"/>
      <c r="F177" s="235" t="s">
        <v>202</v>
      </c>
      <c r="G177" s="235"/>
      <c r="H177" s="272">
        <f>'4thMAY'!J177</f>
        <v>1</v>
      </c>
      <c r="I177" s="281">
        <v>1.0</v>
      </c>
      <c r="J177" s="282">
        <v>2.0</v>
      </c>
      <c r="K177" s="283">
        <v>1.0</v>
      </c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3</v>
      </c>
      <c r="N177" s="191"/>
      <c r="O177" s="247"/>
    </row>
    <row r="178">
      <c r="A178" s="12" t="s">
        <v>206</v>
      </c>
      <c r="B178" s="12" t="s">
        <v>207</v>
      </c>
      <c r="C178" s="271" t="str">
        <f>'4thMAY'!E178</f>
        <v/>
      </c>
      <c r="D178" s="227">
        <v>1.0</v>
      </c>
      <c r="E178" s="247"/>
      <c r="F178" s="235" t="s">
        <v>17</v>
      </c>
      <c r="G178" s="235"/>
      <c r="H178" s="272">
        <f>'4thMAY'!J178</f>
        <v>12</v>
      </c>
      <c r="I178" s="281">
        <v>1.0</v>
      </c>
      <c r="J178" s="282"/>
      <c r="K178" s="283">
        <v>1.0</v>
      </c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42</v>
      </c>
      <c r="N178" s="191"/>
      <c r="O178" s="247"/>
    </row>
    <row r="179">
      <c r="A179" s="12" t="s">
        <v>209</v>
      </c>
      <c r="B179" s="12" t="s">
        <v>17</v>
      </c>
      <c r="C179" s="271" t="str">
        <f>'4thMAY'!E179</f>
        <v/>
      </c>
      <c r="D179" s="191"/>
      <c r="E179" s="247"/>
      <c r="F179" s="235" t="s">
        <v>17</v>
      </c>
      <c r="G179" s="235"/>
      <c r="H179" s="272" t="str">
        <f>'4thMAY'!J179</f>
        <v/>
      </c>
      <c r="I179" s="281">
        <v>1.0</v>
      </c>
      <c r="J179" s="284"/>
      <c r="K179" s="283">
        <v>1.0</v>
      </c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'4thMAY'!E180</f>
        <v/>
      </c>
      <c r="D180" s="227">
        <v>1.0</v>
      </c>
      <c r="E180" s="247"/>
      <c r="F180" s="235" t="s">
        <v>202</v>
      </c>
      <c r="G180" s="285"/>
      <c r="H180" s="272" t="str">
        <f>'4thMAY'!J180</f>
        <v/>
      </c>
      <c r="I180" s="281">
        <v>1.0</v>
      </c>
      <c r="J180" s="282"/>
      <c r="K180" s="283">
        <v>1.0</v>
      </c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1</v>
      </c>
      <c r="N180" s="191"/>
      <c r="O180" s="247"/>
    </row>
    <row r="181">
      <c r="A181" s="12" t="s">
        <v>211</v>
      </c>
      <c r="B181" s="12" t="s">
        <v>202</v>
      </c>
      <c r="C181" s="271" t="str">
        <f>'4thMAY'!E181</f>
        <v/>
      </c>
      <c r="D181" s="227"/>
      <c r="E181" s="247"/>
      <c r="F181" s="235" t="s">
        <v>202</v>
      </c>
      <c r="G181" s="235"/>
      <c r="H181" s="272" t="str">
        <f>'4thMAY'!J181</f>
        <v/>
      </c>
      <c r="I181" s="281">
        <v>1.0</v>
      </c>
      <c r="J181" s="282"/>
      <c r="K181" s="283">
        <v>1.0</v>
      </c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71" t="str">
        <f>'4thMAY'!E182</f>
        <v/>
      </c>
      <c r="D182" s="191"/>
      <c r="E182" s="247"/>
      <c r="F182" s="235" t="s">
        <v>202</v>
      </c>
      <c r="G182" s="235"/>
      <c r="H182" s="272">
        <f>'4thMAY'!J182</f>
        <v>0.5</v>
      </c>
      <c r="I182" s="281">
        <v>1.0</v>
      </c>
      <c r="J182" s="282">
        <v>0.035</v>
      </c>
      <c r="K182" s="283">
        <v>1.0</v>
      </c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0.465</v>
      </c>
      <c r="N182" s="191"/>
      <c r="O182" s="247"/>
    </row>
    <row r="183">
      <c r="A183" s="12" t="s">
        <v>213</v>
      </c>
      <c r="B183" s="12" t="s">
        <v>35</v>
      </c>
      <c r="C183" s="271" t="str">
        <f>'4thMAY'!E183</f>
        <v/>
      </c>
      <c r="D183" s="191"/>
      <c r="E183" s="247"/>
      <c r="F183" s="235" t="s">
        <v>35</v>
      </c>
      <c r="G183" s="235"/>
      <c r="H183" s="272" t="str">
        <f>'4thMAY'!J183</f>
        <v/>
      </c>
      <c r="I183" s="281">
        <v>1.0</v>
      </c>
      <c r="J183" s="284"/>
      <c r="K183" s="283">
        <v>1.0</v>
      </c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'4thMAY'!E184</f>
        <v/>
      </c>
      <c r="D184" s="191"/>
      <c r="E184" s="247"/>
      <c r="F184" s="235" t="s">
        <v>35</v>
      </c>
      <c r="G184" s="235"/>
      <c r="H184" s="272">
        <f>'4thMAY'!J184</f>
        <v>0.307</v>
      </c>
      <c r="I184" s="281">
        <v>1.0</v>
      </c>
      <c r="J184" s="282">
        <v>0.132</v>
      </c>
      <c r="K184" s="283">
        <v>1.0</v>
      </c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0.175</v>
      </c>
      <c r="N184" s="191"/>
      <c r="O184" s="247"/>
    </row>
    <row r="185">
      <c r="A185" s="12" t="s">
        <v>215</v>
      </c>
      <c r="B185" s="12" t="s">
        <v>35</v>
      </c>
      <c r="C185" s="271" t="str">
        <f>'4thMAY'!E185</f>
        <v/>
      </c>
      <c r="D185" s="227">
        <v>1.0</v>
      </c>
      <c r="E185" s="247"/>
      <c r="F185" s="235" t="s">
        <v>35</v>
      </c>
      <c r="G185" s="235"/>
      <c r="H185" s="272" t="str">
        <f>'4thMAY'!J185</f>
        <v/>
      </c>
      <c r="I185" s="281">
        <v>1.0</v>
      </c>
      <c r="J185" s="284"/>
      <c r="K185" s="283">
        <v>1.0</v>
      </c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1</v>
      </c>
      <c r="N185" s="191"/>
      <c r="O185" s="247"/>
    </row>
    <row r="186">
      <c r="A186" s="12" t="s">
        <v>216</v>
      </c>
      <c r="B186" s="12" t="s">
        <v>17</v>
      </c>
      <c r="C186" s="271" t="str">
        <f>'4thMAY'!E186</f>
        <v/>
      </c>
      <c r="D186" s="191"/>
      <c r="E186" s="247"/>
      <c r="F186" s="235" t="s">
        <v>17</v>
      </c>
      <c r="G186" s="235"/>
      <c r="H186" s="272">
        <f>'4thMAY'!J186</f>
        <v>1.5</v>
      </c>
      <c r="I186" s="281">
        <v>1.0</v>
      </c>
      <c r="J186" s="282">
        <v>1.5</v>
      </c>
      <c r="K186" s="283">
        <v>1.0</v>
      </c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</v>
      </c>
      <c r="N186" s="191"/>
      <c r="O186" s="247"/>
    </row>
    <row r="187">
      <c r="A187" s="12" t="s">
        <v>217</v>
      </c>
      <c r="B187" s="12" t="s">
        <v>35</v>
      </c>
      <c r="C187" s="271" t="str">
        <f>'4thMAY'!E187</f>
        <v/>
      </c>
      <c r="D187" s="191"/>
      <c r="E187" s="247"/>
      <c r="F187" s="235" t="s">
        <v>35</v>
      </c>
      <c r="G187" s="235"/>
      <c r="H187" s="272">
        <f>'4thMAY'!J187</f>
        <v>0.966</v>
      </c>
      <c r="I187" s="281">
        <v>1.0</v>
      </c>
      <c r="J187" s="282">
        <v>0.771</v>
      </c>
      <c r="K187" s="283">
        <v>1.0</v>
      </c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0.195</v>
      </c>
      <c r="N187" s="191"/>
      <c r="O187" s="247"/>
    </row>
    <row r="188">
      <c r="A188" s="12" t="s">
        <v>218</v>
      </c>
      <c r="B188" s="12" t="s">
        <v>17</v>
      </c>
      <c r="C188" s="271" t="str">
        <f>'4thMAY'!E188</f>
        <v/>
      </c>
      <c r="D188" s="227">
        <v>3.0</v>
      </c>
      <c r="E188" s="247"/>
      <c r="F188" s="235" t="s">
        <v>17</v>
      </c>
      <c r="G188" s="235"/>
      <c r="H188" s="272">
        <f>'4thMAY'!J188</f>
        <v>1</v>
      </c>
      <c r="I188" s="281">
        <v>1.0</v>
      </c>
      <c r="J188" s="282">
        <v>3.0</v>
      </c>
      <c r="K188" s="283">
        <v>1.0</v>
      </c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1</v>
      </c>
      <c r="N188" s="191"/>
      <c r="O188" s="247"/>
    </row>
    <row r="189">
      <c r="A189" s="12" t="s">
        <v>220</v>
      </c>
      <c r="B189" s="12" t="s">
        <v>35</v>
      </c>
      <c r="C189" s="271" t="str">
        <f>'4thMAY'!E189</f>
        <v/>
      </c>
      <c r="D189" s="191"/>
      <c r="E189" s="247"/>
      <c r="F189" s="235" t="s">
        <v>35</v>
      </c>
      <c r="G189" s="235"/>
      <c r="H189" s="272" t="str">
        <f>'4thMAY'!J189</f>
        <v/>
      </c>
      <c r="I189" s="281">
        <v>1.0</v>
      </c>
      <c r="J189" s="284"/>
      <c r="K189" s="283">
        <v>1.0</v>
      </c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'4thMAY'!E190</f>
        <v/>
      </c>
      <c r="D190" s="227">
        <v>7.0</v>
      </c>
      <c r="E190" s="247"/>
      <c r="F190" s="235" t="s">
        <v>17</v>
      </c>
      <c r="G190" s="235"/>
      <c r="H190" s="272">
        <f>'4thMAY'!J190</f>
        <v>2</v>
      </c>
      <c r="I190" s="281">
        <v>1.0</v>
      </c>
      <c r="J190" s="282">
        <v>1.5</v>
      </c>
      <c r="K190" s="283">
        <v>1.0</v>
      </c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7.5</v>
      </c>
      <c r="N190" s="191"/>
      <c r="O190" s="247"/>
    </row>
    <row r="191">
      <c r="A191" s="12" t="s">
        <v>222</v>
      </c>
      <c r="B191" s="12" t="s">
        <v>17</v>
      </c>
      <c r="C191" s="271" t="str">
        <f>'4thMAY'!E191</f>
        <v/>
      </c>
      <c r="D191" s="191"/>
      <c r="E191" s="247"/>
      <c r="F191" s="235" t="s">
        <v>17</v>
      </c>
      <c r="G191" s="235"/>
      <c r="H191" s="272" t="str">
        <f>'4thMAY'!J191</f>
        <v/>
      </c>
      <c r="I191" s="281">
        <v>1.0</v>
      </c>
      <c r="J191" s="284"/>
      <c r="K191" s="283">
        <v>1.0</v>
      </c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'4thMAY'!E192</f>
        <v/>
      </c>
      <c r="D192" s="227">
        <v>2.0</v>
      </c>
      <c r="E192" s="247"/>
      <c r="F192" s="235" t="s">
        <v>17</v>
      </c>
      <c r="G192" s="235"/>
      <c r="H192" s="272">
        <f>'4thMAY'!J192</f>
        <v>1</v>
      </c>
      <c r="I192" s="281">
        <v>1.0</v>
      </c>
      <c r="J192" s="282">
        <v>2.0</v>
      </c>
      <c r="K192" s="283">
        <v>1.0</v>
      </c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1</v>
      </c>
      <c r="N192" s="191"/>
      <c r="O192" s="247"/>
    </row>
    <row r="193">
      <c r="A193" s="12" t="s">
        <v>224</v>
      </c>
      <c r="B193" s="12" t="s">
        <v>202</v>
      </c>
      <c r="C193" s="271" t="str">
        <f>'4thMAY'!E193</f>
        <v/>
      </c>
      <c r="D193" s="227"/>
      <c r="E193" s="247"/>
      <c r="F193" s="235" t="s">
        <v>202</v>
      </c>
      <c r="G193" s="235"/>
      <c r="H193" s="272">
        <f>'4thMAY'!J193</f>
        <v>1</v>
      </c>
      <c r="I193" s="281">
        <v>1.0</v>
      </c>
      <c r="J193" s="282"/>
      <c r="K193" s="283">
        <v>1.0</v>
      </c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1</v>
      </c>
      <c r="N193" s="191"/>
      <c r="O193" s="247"/>
    </row>
    <row r="194">
      <c r="A194" s="12" t="s">
        <v>225</v>
      </c>
      <c r="B194" s="12" t="s">
        <v>35</v>
      </c>
      <c r="C194" s="271" t="str">
        <f>'4thMAY'!E194</f>
        <v/>
      </c>
      <c r="D194" s="191"/>
      <c r="E194" s="247"/>
      <c r="F194" s="235" t="s">
        <v>35</v>
      </c>
      <c r="G194" s="235"/>
      <c r="H194" s="272">
        <v>1.0</v>
      </c>
      <c r="I194" s="281">
        <v>1.0</v>
      </c>
      <c r="J194" s="282">
        <v>1.0</v>
      </c>
      <c r="K194" s="283">
        <v>1.0</v>
      </c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</v>
      </c>
      <c r="N194" s="191"/>
      <c r="O194" s="247"/>
    </row>
    <row r="195">
      <c r="A195" s="12" t="s">
        <v>227</v>
      </c>
      <c r="B195" s="12" t="s">
        <v>35</v>
      </c>
      <c r="C195" s="271" t="str">
        <f>'4thMAY'!E195</f>
        <v/>
      </c>
      <c r="D195" s="191"/>
      <c r="E195" s="247"/>
      <c r="F195" s="235" t="s">
        <v>35</v>
      </c>
      <c r="G195" s="285"/>
      <c r="H195" s="272" t="str">
        <f>'4thMAY'!J195</f>
        <v/>
      </c>
      <c r="I195" s="281">
        <v>1.0</v>
      </c>
      <c r="J195" s="282"/>
      <c r="K195" s="283">
        <v>1.0</v>
      </c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</v>
      </c>
      <c r="N195" s="191"/>
      <c r="O195" s="247"/>
    </row>
    <row r="196">
      <c r="A196" s="12" t="s">
        <v>228</v>
      </c>
      <c r="B196" s="12" t="s">
        <v>155</v>
      </c>
      <c r="C196" s="271" t="str">
        <f>'4thMAY'!E196</f>
        <v/>
      </c>
      <c r="D196" s="227">
        <v>1.0</v>
      </c>
      <c r="E196" s="280">
        <v>1.0</v>
      </c>
      <c r="F196" s="235" t="s">
        <v>35</v>
      </c>
      <c r="G196" s="235"/>
      <c r="H196" s="272">
        <f>'4thMAY'!J196</f>
        <v>0.14</v>
      </c>
      <c r="I196" s="281">
        <v>1.0</v>
      </c>
      <c r="J196" s="282">
        <v>0.09</v>
      </c>
      <c r="K196" s="283">
        <v>1.0</v>
      </c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0.05</v>
      </c>
      <c r="N196" s="191"/>
      <c r="O196" s="247"/>
    </row>
    <row r="197">
      <c r="A197" s="12" t="s">
        <v>229</v>
      </c>
      <c r="B197" s="12" t="s">
        <v>17</v>
      </c>
      <c r="C197" s="271" t="str">
        <f>'4thMAY'!E197</f>
        <v/>
      </c>
      <c r="D197" s="227">
        <v>4.0</v>
      </c>
      <c r="E197" s="247"/>
      <c r="F197" s="235" t="s">
        <v>17</v>
      </c>
      <c r="G197" s="235"/>
      <c r="H197" s="272" t="str">
        <f>'4thMAY'!J197</f>
        <v/>
      </c>
      <c r="I197" s="281">
        <v>1.0</v>
      </c>
      <c r="J197" s="282">
        <v>1.0</v>
      </c>
      <c r="K197" s="283">
        <v>1.0</v>
      </c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3</v>
      </c>
      <c r="N197" s="191"/>
      <c r="O197" s="247"/>
    </row>
    <row r="198">
      <c r="A198" s="12" t="s">
        <v>231</v>
      </c>
      <c r="B198" s="12" t="s">
        <v>35</v>
      </c>
      <c r="C198" s="271" t="str">
        <f>'4thMAY'!E198</f>
        <v/>
      </c>
      <c r="D198" s="191"/>
      <c r="E198" s="247"/>
      <c r="F198" s="235" t="s">
        <v>35</v>
      </c>
      <c r="G198" s="285">
        <v>1.0</v>
      </c>
      <c r="H198" s="272" t="str">
        <f>'4thMAY'!J198</f>
        <v/>
      </c>
      <c r="I198" s="281">
        <v>1.0</v>
      </c>
      <c r="J198" s="282">
        <v>1.0</v>
      </c>
      <c r="K198" s="283">
        <v>1.0</v>
      </c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</v>
      </c>
      <c r="N198" s="191"/>
      <c r="O198" s="247"/>
    </row>
    <row r="199">
      <c r="A199" s="12" t="s">
        <v>232</v>
      </c>
      <c r="B199" s="12" t="s">
        <v>202</v>
      </c>
      <c r="C199" s="271" t="str">
        <f>'4thMAY'!E199</f>
        <v/>
      </c>
      <c r="D199" s="191"/>
      <c r="E199" s="247"/>
      <c r="F199" s="235" t="s">
        <v>202</v>
      </c>
      <c r="G199" s="285"/>
      <c r="H199" s="272">
        <f>'4thMAY'!J199</f>
        <v>0.5</v>
      </c>
      <c r="I199" s="281">
        <v>1.0</v>
      </c>
      <c r="J199" s="282"/>
      <c r="K199" s="283">
        <v>1.0</v>
      </c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0.5</v>
      </c>
      <c r="N199" s="191"/>
      <c r="O199" s="247"/>
    </row>
    <row r="200">
      <c r="A200" s="12" t="s">
        <v>233</v>
      </c>
      <c r="B200" s="12" t="s">
        <v>17</v>
      </c>
      <c r="C200" s="271" t="str">
        <f>'4thMAY'!E200</f>
        <v/>
      </c>
      <c r="D200" s="227"/>
      <c r="E200" s="280"/>
      <c r="F200" s="235" t="s">
        <v>234</v>
      </c>
      <c r="G200" s="285"/>
      <c r="H200" s="272">
        <f>'4thMAY'!J200</f>
        <v>2</v>
      </c>
      <c r="I200" s="281">
        <v>1.0</v>
      </c>
      <c r="J200" s="282">
        <v>0.5</v>
      </c>
      <c r="K200" s="283">
        <v>1.0</v>
      </c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1.5</v>
      </c>
      <c r="N200" s="191"/>
      <c r="O200" s="247"/>
    </row>
    <row r="201">
      <c r="A201" s="25" t="s">
        <v>235</v>
      </c>
      <c r="B201" s="26" t="s">
        <v>202</v>
      </c>
      <c r="C201" s="271" t="str">
        <f>'4thMAY'!E201</f>
        <v/>
      </c>
      <c r="D201" s="227">
        <v>1.0</v>
      </c>
      <c r="E201" s="247"/>
      <c r="F201" s="235" t="s">
        <v>202</v>
      </c>
      <c r="G201" s="235"/>
      <c r="H201" s="272" t="str">
        <f>'4thMAY'!J201</f>
        <v/>
      </c>
      <c r="I201" s="281">
        <v>1.0</v>
      </c>
      <c r="J201" s="282">
        <v>0.5</v>
      </c>
      <c r="K201" s="283">
        <v>1.0</v>
      </c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0.5</v>
      </c>
      <c r="N201" s="191"/>
      <c r="O201" s="247"/>
    </row>
    <row r="202">
      <c r="A202" s="25" t="s">
        <v>236</v>
      </c>
      <c r="B202" s="26" t="s">
        <v>237</v>
      </c>
      <c r="C202" s="271" t="str">
        <f>'4thMAY'!E202</f>
        <v/>
      </c>
      <c r="D202" s="191"/>
      <c r="E202" s="247"/>
      <c r="F202" s="235" t="s">
        <v>35</v>
      </c>
      <c r="G202" s="235"/>
      <c r="H202" s="272">
        <f>'4thMAY'!J202</f>
        <v>1</v>
      </c>
      <c r="I202" s="281">
        <v>1.0</v>
      </c>
      <c r="J202" s="282">
        <v>1.0</v>
      </c>
      <c r="K202" s="283">
        <v>1.0</v>
      </c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</v>
      </c>
      <c r="N202" s="191"/>
      <c r="O202" s="247"/>
    </row>
    <row r="203">
      <c r="A203" s="25" t="s">
        <v>238</v>
      </c>
      <c r="B203" s="26" t="s">
        <v>202</v>
      </c>
      <c r="C203" s="271" t="str">
        <f>'4thMAY'!E203</f>
        <v/>
      </c>
      <c r="D203" s="227"/>
      <c r="E203" s="247"/>
      <c r="F203" s="235" t="s">
        <v>202</v>
      </c>
      <c r="G203" s="235"/>
      <c r="H203" s="272">
        <f>'4thMAY'!J203</f>
        <v>1</v>
      </c>
      <c r="I203" s="281">
        <v>1.0</v>
      </c>
      <c r="J203" s="282">
        <v>1.0</v>
      </c>
      <c r="K203" s="283">
        <v>1.0</v>
      </c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71" t="str">
        <f>'4thMAY'!E204</f>
        <v/>
      </c>
      <c r="D204" s="191"/>
      <c r="E204" s="247"/>
      <c r="F204" s="235" t="s">
        <v>35</v>
      </c>
      <c r="G204" s="235"/>
      <c r="H204" s="272" t="str">
        <f>'4thMAY'!J204</f>
        <v/>
      </c>
      <c r="I204" s="281">
        <v>1.0</v>
      </c>
      <c r="J204" s="284"/>
      <c r="K204" s="283">
        <v>1.0</v>
      </c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'4thMAY'!E205</f>
        <v/>
      </c>
      <c r="D205" s="227"/>
      <c r="E205" s="247"/>
      <c r="F205" s="235" t="s">
        <v>17</v>
      </c>
      <c r="G205" s="285">
        <v>3.0</v>
      </c>
      <c r="H205" s="272" t="str">
        <f>'4thMAY'!J205</f>
        <v/>
      </c>
      <c r="I205" s="281">
        <v>1.0</v>
      </c>
      <c r="J205" s="282">
        <v>3.0</v>
      </c>
      <c r="K205" s="283">
        <v>1.0</v>
      </c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0</v>
      </c>
      <c r="N205" s="191"/>
      <c r="O205" s="247"/>
    </row>
    <row r="206">
      <c r="A206" s="12" t="s">
        <v>242</v>
      </c>
      <c r="B206" s="12" t="s">
        <v>35</v>
      </c>
      <c r="C206" s="271" t="str">
        <f>'4thMAY'!E206</f>
        <v/>
      </c>
      <c r="D206" s="227"/>
      <c r="E206" s="247"/>
      <c r="F206" s="235" t="s">
        <v>35</v>
      </c>
      <c r="G206" s="235"/>
      <c r="H206" s="272">
        <f>'4thMAY'!J206</f>
        <v>300</v>
      </c>
      <c r="I206" s="281">
        <v>1.0</v>
      </c>
      <c r="J206" s="282">
        <v>230.0</v>
      </c>
      <c r="K206" s="283">
        <v>1.0</v>
      </c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70</v>
      </c>
      <c r="N206" s="191"/>
      <c r="O206" s="247"/>
    </row>
    <row r="207">
      <c r="A207" s="12" t="s">
        <v>243</v>
      </c>
      <c r="B207" s="12" t="s">
        <v>241</v>
      </c>
      <c r="C207" s="271" t="str">
        <f>'4thMAY'!E207</f>
        <v/>
      </c>
      <c r="D207" s="227">
        <v>13.0</v>
      </c>
      <c r="E207" s="280">
        <v>4.0</v>
      </c>
      <c r="F207" s="235" t="s">
        <v>17</v>
      </c>
      <c r="G207" s="285"/>
      <c r="H207" s="272" t="str">
        <f>'4thMAY'!J207</f>
        <v/>
      </c>
      <c r="I207" s="281">
        <v>1.0</v>
      </c>
      <c r="J207" s="282"/>
      <c r="K207" s="283">
        <v>1.0</v>
      </c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9</v>
      </c>
      <c r="N207" s="191"/>
      <c r="O207" s="247"/>
    </row>
    <row r="208">
      <c r="A208" s="10" t="s">
        <v>245</v>
      </c>
      <c r="B208" s="11"/>
      <c r="C208" s="271" t="str">
        <f>'4thMAY'!E208</f>
        <v/>
      </c>
      <c r="D208" s="191"/>
      <c r="E208" s="247"/>
      <c r="F208" s="235"/>
      <c r="G208" s="235"/>
      <c r="H208" s="272" t="str">
        <f>'4thMAY'!J208</f>
        <v/>
      </c>
      <c r="I208" s="281">
        <v>1.0</v>
      </c>
      <c r="J208" s="284"/>
      <c r="K208" s="283">
        <v>1.0</v>
      </c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'4thMAY'!E209</f>
        <v/>
      </c>
      <c r="D209" s="227"/>
      <c r="E209" s="247"/>
      <c r="F209" s="235" t="s">
        <v>155</v>
      </c>
      <c r="G209" s="285">
        <v>3.0</v>
      </c>
      <c r="H209" s="272">
        <f>'4thMAY'!J209</f>
        <v>1</v>
      </c>
      <c r="I209" s="281">
        <v>1.0</v>
      </c>
      <c r="J209" s="282">
        <v>4.0</v>
      </c>
      <c r="K209" s="283">
        <v>1.0</v>
      </c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</v>
      </c>
      <c r="N209" s="191"/>
      <c r="O209" s="247"/>
    </row>
    <row r="210">
      <c r="A210" s="12" t="s">
        <v>247</v>
      </c>
      <c r="B210" s="13" t="s">
        <v>59</v>
      </c>
      <c r="C210" s="271">
        <f>'4thMAY'!E210</f>
        <v>1</v>
      </c>
      <c r="D210" s="227">
        <v>1.0</v>
      </c>
      <c r="E210" s="280">
        <v>2.0</v>
      </c>
      <c r="F210" s="235" t="s">
        <v>35</v>
      </c>
      <c r="G210" s="235"/>
      <c r="H210" s="272" t="str">
        <f>'4thMAY'!J210</f>
        <v/>
      </c>
      <c r="I210" s="281">
        <v>1.0</v>
      </c>
      <c r="J210" s="282"/>
      <c r="K210" s="283">
        <v>1.0</v>
      </c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</v>
      </c>
      <c r="N210" s="191"/>
      <c r="O210" s="247"/>
    </row>
    <row r="211">
      <c r="A211" s="12" t="s">
        <v>248</v>
      </c>
      <c r="B211" s="13" t="s">
        <v>59</v>
      </c>
      <c r="C211" s="271">
        <f>'4thMAY'!E211</f>
        <v>1</v>
      </c>
      <c r="D211" s="227">
        <v>1.0</v>
      </c>
      <c r="E211" s="280">
        <v>2.0</v>
      </c>
      <c r="F211" s="235" t="s">
        <v>35</v>
      </c>
      <c r="G211" s="235"/>
      <c r="H211" s="272" t="str">
        <f>'4thMAY'!J211</f>
        <v/>
      </c>
      <c r="I211" s="281">
        <v>1.0</v>
      </c>
      <c r="J211" s="284"/>
      <c r="K211" s="283">
        <v>1.0</v>
      </c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247"/>
    </row>
    <row r="212">
      <c r="A212" s="12" t="s">
        <v>250</v>
      </c>
      <c r="B212" s="13" t="s">
        <v>59</v>
      </c>
      <c r="C212" s="271" t="str">
        <f>'4thMAY'!E212</f>
        <v/>
      </c>
      <c r="D212" s="191"/>
      <c r="E212" s="280"/>
      <c r="F212" s="235" t="s">
        <v>35</v>
      </c>
      <c r="G212" s="235"/>
      <c r="H212" s="272">
        <f>'4thMAY'!J212</f>
        <v>0.098</v>
      </c>
      <c r="I212" s="281">
        <v>1.0</v>
      </c>
      <c r="J212" s="282">
        <v>0.098</v>
      </c>
      <c r="K212" s="283">
        <v>1.0</v>
      </c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</v>
      </c>
      <c r="N212" s="191"/>
      <c r="O212" s="247"/>
    </row>
    <row r="213">
      <c r="A213" s="12" t="s">
        <v>251</v>
      </c>
      <c r="B213" s="13" t="s">
        <v>34</v>
      </c>
      <c r="C213" s="271" t="str">
        <f>'4thMAY'!E213</f>
        <v/>
      </c>
      <c r="D213" s="191"/>
      <c r="E213" s="247"/>
      <c r="F213" s="235" t="s">
        <v>35</v>
      </c>
      <c r="G213" s="235"/>
      <c r="H213" s="272" t="str">
        <f>'4thMAY'!J213</f>
        <v/>
      </c>
      <c r="I213" s="281">
        <v>1.0</v>
      </c>
      <c r="J213" s="284"/>
      <c r="K213" s="283">
        <v>1.0</v>
      </c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'4thMAY'!E214</f>
        <v/>
      </c>
      <c r="D214" s="191"/>
      <c r="E214" s="247"/>
      <c r="F214" s="235"/>
      <c r="G214" s="235"/>
      <c r="H214" s="272" t="str">
        <f>'4thMAY'!J214</f>
        <v/>
      </c>
      <c r="I214" s="281">
        <v>1.0</v>
      </c>
      <c r="J214" s="284"/>
      <c r="K214" s="283">
        <v>1.0</v>
      </c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'4thMAY'!E215</f>
        <v/>
      </c>
      <c r="D215" s="191"/>
      <c r="E215" s="247"/>
      <c r="F215" s="235" t="s">
        <v>254</v>
      </c>
      <c r="G215" s="235"/>
      <c r="H215" s="272" t="str">
        <f>'4thMAY'!J215</f>
        <v/>
      </c>
      <c r="I215" s="281">
        <v>1.0</v>
      </c>
      <c r="J215" s="284"/>
      <c r="K215" s="283">
        <v>1.0</v>
      </c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'4thMAY'!E216</f>
        <v/>
      </c>
      <c r="D216" s="191"/>
      <c r="E216" s="247"/>
      <c r="F216" s="235" t="s">
        <v>234</v>
      </c>
      <c r="G216" s="235"/>
      <c r="H216" s="272" t="str">
        <f>'4thMAY'!J216</f>
        <v/>
      </c>
      <c r="I216" s="281">
        <v>1.0</v>
      </c>
      <c r="J216" s="284"/>
      <c r="K216" s="283">
        <v>1.0</v>
      </c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'4thMAY'!E217</f>
        <v/>
      </c>
      <c r="D217" s="227"/>
      <c r="E217" s="247"/>
      <c r="F217" s="235" t="s">
        <v>17</v>
      </c>
      <c r="G217" s="235"/>
      <c r="H217" s="272">
        <f>'4thMAY'!J217</f>
        <v>11</v>
      </c>
      <c r="I217" s="281">
        <v>1.0</v>
      </c>
      <c r="J217" s="282">
        <v>9.0</v>
      </c>
      <c r="K217" s="283">
        <v>1.0</v>
      </c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2</v>
      </c>
      <c r="N217" s="191"/>
      <c r="O217" s="247"/>
    </row>
    <row r="218">
      <c r="A218" s="12" t="s">
        <v>260</v>
      </c>
      <c r="B218" s="12" t="s">
        <v>261</v>
      </c>
      <c r="C218" s="271">
        <f>'4thMAY'!E218</f>
        <v>1</v>
      </c>
      <c r="D218" s="191"/>
      <c r="E218" s="280">
        <v>1.0</v>
      </c>
      <c r="F218" s="235" t="s">
        <v>35</v>
      </c>
      <c r="G218" s="235"/>
      <c r="H218" s="272" t="str">
        <f>'4thMAY'!J218</f>
        <v/>
      </c>
      <c r="I218" s="281">
        <v>1.0</v>
      </c>
      <c r="J218" s="282"/>
      <c r="K218" s="283">
        <v>1.0</v>
      </c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</v>
      </c>
      <c r="N218" s="191"/>
      <c r="O218" s="247"/>
    </row>
    <row r="219">
      <c r="A219" s="12" t="s">
        <v>263</v>
      </c>
      <c r="B219" s="12" t="s">
        <v>17</v>
      </c>
      <c r="C219" s="271" t="str">
        <f>'4thMAY'!E219</f>
        <v/>
      </c>
      <c r="D219" s="227">
        <v>50.0</v>
      </c>
      <c r="E219" s="247"/>
      <c r="F219" s="235" t="s">
        <v>17</v>
      </c>
      <c r="G219" s="235"/>
      <c r="H219" s="272">
        <f>'4thMAY'!J219</f>
        <v>29</v>
      </c>
      <c r="I219" s="281">
        <v>1.0</v>
      </c>
      <c r="J219" s="282">
        <v>53.0</v>
      </c>
      <c r="K219" s="283">
        <v>1.0</v>
      </c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26</v>
      </c>
      <c r="N219" s="191"/>
      <c r="O219" s="247"/>
    </row>
    <row r="220">
      <c r="A220" s="12" t="s">
        <v>264</v>
      </c>
      <c r="B220" s="12" t="s">
        <v>261</v>
      </c>
      <c r="C220" s="271" t="str">
        <f>'4thMAY'!E220</f>
        <v/>
      </c>
      <c r="D220" s="227">
        <v>1.0</v>
      </c>
      <c r="E220" s="280">
        <v>1.0</v>
      </c>
      <c r="F220" s="235" t="s">
        <v>35</v>
      </c>
      <c r="G220" s="235"/>
      <c r="H220" s="272"/>
      <c r="I220" s="281">
        <v>1.0</v>
      </c>
      <c r="J220" s="282"/>
      <c r="K220" s="283">
        <v>1.0</v>
      </c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</v>
      </c>
      <c r="N220" s="191"/>
      <c r="O220" s="247"/>
    </row>
    <row r="221">
      <c r="A221" s="12" t="s">
        <v>265</v>
      </c>
      <c r="B221" s="12" t="s">
        <v>40</v>
      </c>
      <c r="C221" s="271" t="str">
        <f>'4thMAY'!E221</f>
        <v/>
      </c>
      <c r="D221" s="227">
        <v>1.0</v>
      </c>
      <c r="E221" s="247"/>
      <c r="F221" s="235" t="s">
        <v>17</v>
      </c>
      <c r="G221" s="235"/>
      <c r="H221" s="272">
        <f>'4thMAY'!J221</f>
        <v>36</v>
      </c>
      <c r="I221" s="281">
        <v>1.0</v>
      </c>
      <c r="J221" s="282">
        <v>52.0</v>
      </c>
      <c r="K221" s="283">
        <v>1.0</v>
      </c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9</v>
      </c>
      <c r="N221" s="191"/>
      <c r="O221" s="247"/>
    </row>
    <row r="222">
      <c r="A222" s="12" t="s">
        <v>266</v>
      </c>
      <c r="B222" s="12" t="s">
        <v>267</v>
      </c>
      <c r="C222" s="271" t="str">
        <f>'4thMAY'!E222</f>
        <v/>
      </c>
      <c r="D222" s="191"/>
      <c r="E222" s="247"/>
      <c r="F222" s="235" t="s">
        <v>17</v>
      </c>
      <c r="G222" s="285">
        <v>3.0</v>
      </c>
      <c r="H222" s="272">
        <f>'4thMAY'!J222</f>
        <v>29</v>
      </c>
      <c r="I222" s="281">
        <v>1.0</v>
      </c>
      <c r="J222" s="282">
        <v>32.0</v>
      </c>
      <c r="K222" s="283">
        <v>1.0</v>
      </c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0</v>
      </c>
      <c r="N222" s="191"/>
      <c r="O222" s="247"/>
    </row>
    <row r="223">
      <c r="A223" s="12" t="s">
        <v>268</v>
      </c>
      <c r="B223" s="12" t="s">
        <v>40</v>
      </c>
      <c r="C223" s="271" t="str">
        <f>'4thMAY'!E223</f>
        <v/>
      </c>
      <c r="D223" s="227">
        <v>1.0</v>
      </c>
      <c r="E223" s="247"/>
      <c r="F223" s="235" t="s">
        <v>17</v>
      </c>
      <c r="G223" s="235"/>
      <c r="H223" s="272">
        <f>'4thMAY'!J223</f>
        <v>15</v>
      </c>
      <c r="I223" s="281">
        <v>1.0</v>
      </c>
      <c r="J223" s="282">
        <v>25.0</v>
      </c>
      <c r="K223" s="283">
        <v>1.0</v>
      </c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15</v>
      </c>
      <c r="N223" s="191"/>
      <c r="O223" s="247"/>
    </row>
    <row r="224">
      <c r="A224" s="12" t="s">
        <v>269</v>
      </c>
      <c r="B224" s="294" t="s">
        <v>40</v>
      </c>
      <c r="C224" s="271">
        <f>'4thMAY'!E224</f>
        <v>1</v>
      </c>
      <c r="D224" s="191"/>
      <c r="E224" s="191"/>
      <c r="F224" s="191" t="s">
        <v>17</v>
      </c>
      <c r="G224" s="191"/>
      <c r="H224" s="272">
        <f>'4thMAY'!J224</f>
        <v>5</v>
      </c>
      <c r="I224" s="281">
        <v>1.0</v>
      </c>
      <c r="J224" s="227">
        <v>32.0</v>
      </c>
      <c r="K224" s="283">
        <v>1.0</v>
      </c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23</v>
      </c>
      <c r="N224" s="191"/>
      <c r="O224" s="247"/>
    </row>
    <row r="225">
      <c r="A225" s="12" t="s">
        <v>270</v>
      </c>
      <c r="B225" s="294" t="s">
        <v>40</v>
      </c>
      <c r="C225" s="271" t="str">
        <f>'4thMAY'!E225</f>
        <v/>
      </c>
      <c r="D225" s="191"/>
      <c r="E225" s="191"/>
      <c r="F225" s="191" t="s">
        <v>17</v>
      </c>
      <c r="G225" s="191"/>
      <c r="H225" s="272">
        <f>'4thMAY'!J225</f>
        <v>19</v>
      </c>
      <c r="I225" s="281">
        <v>1.0</v>
      </c>
      <c r="J225" s="227">
        <v>15.0</v>
      </c>
      <c r="K225" s="283">
        <v>1.0</v>
      </c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4</v>
      </c>
      <c r="N225" s="191"/>
      <c r="O225" s="247"/>
    </row>
    <row r="226">
      <c r="A226" s="12" t="s">
        <v>271</v>
      </c>
      <c r="B226" s="294" t="s">
        <v>40</v>
      </c>
      <c r="C226" s="271" t="str">
        <f>'4thMAY'!E226</f>
        <v/>
      </c>
      <c r="D226" s="227">
        <v>1.0</v>
      </c>
      <c r="E226" s="191"/>
      <c r="F226" s="191" t="s">
        <v>17</v>
      </c>
      <c r="G226" s="191"/>
      <c r="H226" s="272">
        <f>'4thMAY'!J226</f>
        <v>23</v>
      </c>
      <c r="I226" s="281">
        <v>1.0</v>
      </c>
      <c r="J226" s="227">
        <v>70.0</v>
      </c>
      <c r="K226" s="283">
        <v>1.0</v>
      </c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3</v>
      </c>
      <c r="N226" s="191"/>
      <c r="O226" s="247"/>
    </row>
    <row r="227">
      <c r="A227" s="12" t="s">
        <v>272</v>
      </c>
      <c r="B227" s="294" t="s">
        <v>40</v>
      </c>
      <c r="C227" s="271" t="str">
        <f>'4thMAY'!E227</f>
        <v/>
      </c>
      <c r="D227" s="297">
        <v>9.0</v>
      </c>
      <c r="E227" s="296"/>
      <c r="F227" s="296" t="s">
        <v>17</v>
      </c>
      <c r="G227" s="296"/>
      <c r="H227" s="272">
        <f>'4thMAY'!J227</f>
        <v>7</v>
      </c>
      <c r="I227" s="281">
        <v>1.0</v>
      </c>
      <c r="J227" s="297">
        <v>9.0</v>
      </c>
      <c r="K227" s="283">
        <v>1.0</v>
      </c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7</v>
      </c>
      <c r="N227" s="296"/>
      <c r="O227" s="299"/>
    </row>
    <row r="228">
      <c r="A228" s="23"/>
      <c r="B228" s="11"/>
      <c r="C228" s="271" t="str">
        <f>'4thMAY'!E228</f>
        <v/>
      </c>
      <c r="D228" s="11"/>
      <c r="E228" s="11"/>
      <c r="F228" s="11"/>
      <c r="G228" s="11"/>
      <c r="H228" s="272" t="str">
        <f>'4thMAY'!J228</f>
        <v/>
      </c>
      <c r="I228" s="28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'4thMAY'!E229</f>
        <v/>
      </c>
      <c r="D229" s="11"/>
      <c r="E229" s="11"/>
      <c r="F229" s="11"/>
      <c r="G229" s="11"/>
      <c r="H229" s="272" t="str">
        <f>'4thMAY'!J229</f>
        <v/>
      </c>
      <c r="I229" s="281"/>
      <c r="J229" s="11"/>
      <c r="K229" s="283"/>
      <c r="L229" s="11"/>
      <c r="M229" s="11"/>
      <c r="N229" s="11"/>
      <c r="O229" s="11"/>
    </row>
    <row r="230">
      <c r="A230" s="11"/>
      <c r="B230" s="11"/>
      <c r="C230" s="271" t="str">
        <f>'4thMAY'!E230</f>
        <v/>
      </c>
      <c r="D230" s="11"/>
      <c r="E230" s="11"/>
      <c r="F230" s="11"/>
      <c r="G230" s="11"/>
      <c r="H230" s="272" t="str">
        <f>'4thMAY'!J230</f>
        <v/>
      </c>
      <c r="I230" s="281"/>
      <c r="J230" s="11"/>
      <c r="K230" s="283"/>
      <c r="L230" s="11"/>
      <c r="M230" s="11"/>
      <c r="N230" s="11"/>
      <c r="O230" s="11"/>
    </row>
    <row r="231">
      <c r="A231" s="11"/>
      <c r="B231" s="11"/>
      <c r="C231" s="271" t="str">
        <f>'4thMAY'!E231</f>
        <v/>
      </c>
      <c r="D231" s="11"/>
      <c r="E231" s="11"/>
      <c r="F231" s="11"/>
      <c r="G231" s="11"/>
      <c r="H231" s="272" t="str">
        <f>'4thMAY'!J231</f>
        <v/>
      </c>
      <c r="I231" s="281"/>
      <c r="J231" s="11"/>
      <c r="K231" s="283"/>
      <c r="L231" s="11"/>
      <c r="M231" s="11"/>
      <c r="N231" s="11"/>
      <c r="O231" s="11"/>
    </row>
    <row r="232">
      <c r="A232" s="11"/>
      <c r="B232" s="11"/>
      <c r="C232" s="271" t="str">
        <f>'4thMAY'!E232</f>
        <v/>
      </c>
      <c r="D232" s="11"/>
      <c r="E232" s="11"/>
      <c r="F232" s="11"/>
      <c r="G232" s="11"/>
      <c r="H232" s="272" t="str">
        <f>'4thMAY'!J232</f>
        <v/>
      </c>
      <c r="I232" s="281"/>
      <c r="J232" s="11"/>
      <c r="K232" s="283"/>
      <c r="L232" s="11"/>
      <c r="M232" s="11"/>
      <c r="N232" s="11"/>
      <c r="O232" s="11"/>
    </row>
    <row r="233">
      <c r="A233" s="11"/>
      <c r="B233" s="11"/>
      <c r="C233" s="271" t="str">
        <f>'4thMAY'!E233</f>
        <v/>
      </c>
      <c r="D233" s="11"/>
      <c r="E233" s="11"/>
      <c r="F233" s="11"/>
      <c r="G233" s="11"/>
      <c r="H233" s="272" t="str">
        <f>'4thMAY'!J233</f>
        <v/>
      </c>
      <c r="I233" s="281"/>
      <c r="J233" s="11"/>
      <c r="K233" s="283"/>
      <c r="L233" s="11"/>
      <c r="M233" s="11"/>
      <c r="N233" s="11"/>
      <c r="O233" s="11"/>
    </row>
    <row r="234">
      <c r="A234" s="11"/>
      <c r="B234" s="11"/>
      <c r="C234" s="271" t="str">
        <f>'4thMAY'!E234</f>
        <v/>
      </c>
      <c r="D234" s="11"/>
      <c r="E234" s="11"/>
      <c r="F234" s="11"/>
      <c r="G234" s="11"/>
      <c r="H234" s="272" t="str">
        <f>'4thMAY'!J234</f>
        <v/>
      </c>
      <c r="I234" s="281"/>
      <c r="J234" s="11"/>
      <c r="K234" s="283"/>
      <c r="L234" s="11"/>
      <c r="M234" s="11"/>
      <c r="N234" s="11"/>
      <c r="O234" s="11"/>
    </row>
    <row r="235">
      <c r="A235" s="11"/>
      <c r="B235" s="11"/>
      <c r="C235" s="271" t="str">
        <f>'4thMAY'!E235</f>
        <v/>
      </c>
      <c r="D235" s="11"/>
      <c r="E235" s="11"/>
      <c r="F235" s="11"/>
      <c r="G235" s="11"/>
      <c r="H235" s="272" t="str">
        <f>'4thMAY'!J235</f>
        <v/>
      </c>
      <c r="I235" s="281"/>
      <c r="J235" s="11"/>
      <c r="K235" s="283"/>
      <c r="L235" s="11"/>
      <c r="M235" s="11"/>
      <c r="N235" s="11"/>
      <c r="O235" s="11"/>
    </row>
    <row r="236">
      <c r="A236" s="11"/>
      <c r="B236" s="11"/>
      <c r="C236" s="271" t="str">
        <f>'4thMAY'!E236</f>
        <v/>
      </c>
      <c r="D236" s="11"/>
      <c r="E236" s="11"/>
      <c r="F236" s="11"/>
      <c r="G236" s="11"/>
      <c r="H236" s="272" t="str">
        <f>'4thMAY'!J236</f>
        <v/>
      </c>
      <c r="I236" s="281"/>
      <c r="J236" s="11"/>
      <c r="K236" s="283"/>
      <c r="L236" s="11"/>
      <c r="M236" s="11"/>
      <c r="N236" s="11"/>
      <c r="O236" s="11"/>
    </row>
    <row r="237">
      <c r="A237" s="11"/>
      <c r="B237" s="11"/>
      <c r="C237" s="271" t="str">
        <f>'4thMAY'!E237</f>
        <v/>
      </c>
      <c r="D237" s="11"/>
      <c r="E237" s="11"/>
      <c r="F237" s="11"/>
      <c r="G237" s="11"/>
      <c r="H237" s="272" t="str">
        <f>'4thMAY'!J237</f>
        <v/>
      </c>
      <c r="I237" s="281"/>
      <c r="J237" s="11"/>
      <c r="K237" s="283"/>
      <c r="L237" s="11"/>
      <c r="M237" s="11"/>
      <c r="N237" s="11"/>
      <c r="O237" s="11"/>
    </row>
    <row r="238">
      <c r="A238" s="11"/>
      <c r="B238" s="11"/>
      <c r="C238" s="271" t="str">
        <f>'4thMAY'!E238</f>
        <v/>
      </c>
      <c r="D238" s="11"/>
      <c r="E238" s="11"/>
      <c r="F238" s="11"/>
      <c r="G238" s="11"/>
      <c r="H238" s="272" t="str">
        <f>'4thMAY'!J238</f>
        <v/>
      </c>
      <c r="I238" s="281"/>
      <c r="J238" s="11"/>
      <c r="K238" s="283"/>
      <c r="L238" s="11"/>
      <c r="M238" s="11"/>
      <c r="N238" s="11"/>
      <c r="O238" s="11"/>
    </row>
    <row r="239">
      <c r="A239" s="11"/>
      <c r="B239" s="11"/>
      <c r="C239" s="271" t="str">
        <f>'4thMAY'!E239</f>
        <v/>
      </c>
      <c r="D239" s="11"/>
      <c r="E239" s="11"/>
      <c r="F239" s="11"/>
      <c r="G239" s="11"/>
      <c r="H239" s="272" t="str">
        <f>'4thMAY'!J239</f>
        <v/>
      </c>
      <c r="I239" s="281"/>
      <c r="J239" s="11"/>
      <c r="K239" s="283"/>
      <c r="L239" s="11"/>
      <c r="M239" s="11"/>
      <c r="N239" s="11"/>
      <c r="O239" s="11"/>
    </row>
    <row r="240">
      <c r="A240" s="11"/>
      <c r="B240" s="11"/>
      <c r="C240" s="271" t="str">
        <f>'4thMAY'!E240</f>
        <v/>
      </c>
      <c r="D240" s="11"/>
      <c r="E240" s="11"/>
      <c r="F240" s="11"/>
      <c r="G240" s="11"/>
      <c r="H240" s="272" t="str">
        <f>'4thMAY'!J240</f>
        <v/>
      </c>
      <c r="I240" s="281"/>
      <c r="J240" s="11"/>
      <c r="K240" s="283"/>
      <c r="L240" s="11"/>
      <c r="M240" s="11"/>
      <c r="N240" s="11"/>
      <c r="O240" s="11"/>
    </row>
    <row r="241">
      <c r="A241" s="11"/>
      <c r="B241" s="11"/>
      <c r="C241" s="271" t="str">
        <f>'4thMAY'!E241</f>
        <v/>
      </c>
      <c r="D241" s="11"/>
      <c r="E241" s="11"/>
      <c r="F241" s="11"/>
      <c r="G241" s="11"/>
      <c r="H241" s="272" t="str">
        <f>'4thMAY'!J241</f>
        <v/>
      </c>
      <c r="I241" s="281"/>
      <c r="J241" s="11"/>
      <c r="K241" s="283"/>
      <c r="L241" s="11"/>
      <c r="M241" s="11"/>
      <c r="N241" s="11"/>
      <c r="O241" s="11"/>
    </row>
    <row r="242">
      <c r="A242" s="11"/>
      <c r="B242" s="11"/>
      <c r="C242" s="271" t="str">
        <f>'4thMAY'!E242</f>
        <v/>
      </c>
      <c r="D242" s="11"/>
      <c r="E242" s="11"/>
      <c r="F242" s="11"/>
      <c r="G242" s="11"/>
      <c r="H242" s="272" t="str">
        <f>'4thMAY'!J242</f>
        <v/>
      </c>
      <c r="I242" s="281"/>
      <c r="J242" s="11"/>
      <c r="K242" s="283"/>
      <c r="L242" s="11"/>
      <c r="M242" s="11"/>
      <c r="N242" s="11"/>
      <c r="O242" s="11"/>
    </row>
    <row r="243">
      <c r="A243" s="11"/>
      <c r="B243" s="11"/>
      <c r="C243" s="271" t="str">
        <f>'4thMAY'!E243</f>
        <v/>
      </c>
      <c r="D243" s="11"/>
      <c r="E243" s="11"/>
      <c r="F243" s="11"/>
      <c r="G243" s="11"/>
      <c r="H243" s="272" t="str">
        <f>'4thMAY'!J243</f>
        <v/>
      </c>
      <c r="I243" s="281"/>
      <c r="J243" s="11"/>
      <c r="K243" s="283"/>
      <c r="L243" s="11"/>
      <c r="M243" s="11"/>
      <c r="N243" s="11"/>
      <c r="O243" s="11"/>
    </row>
    <row r="244">
      <c r="A244" s="11"/>
      <c r="B244" s="11"/>
      <c r="C244" s="271" t="str">
        <f>'4thMAY'!E244</f>
        <v/>
      </c>
      <c r="D244" s="11"/>
      <c r="E244" s="11"/>
      <c r="F244" s="11"/>
      <c r="G244" s="11"/>
      <c r="H244" s="272" t="str">
        <f>'4thMAY'!J244</f>
        <v/>
      </c>
      <c r="I244" s="281"/>
      <c r="J244" s="11"/>
      <c r="K244" s="283"/>
      <c r="L244" s="11"/>
      <c r="M244" s="11"/>
      <c r="N244" s="11"/>
      <c r="O244" s="11"/>
    </row>
    <row r="245">
      <c r="A245" s="11"/>
      <c r="B245" s="11"/>
      <c r="C245" s="271" t="str">
        <f>'4thMAY'!E245</f>
        <v/>
      </c>
      <c r="D245" s="11"/>
      <c r="E245" s="11"/>
      <c r="F245" s="11"/>
      <c r="G245" s="11"/>
      <c r="H245" s="272" t="str">
        <f>'4thMAY'!J245</f>
        <v/>
      </c>
      <c r="I245" s="281"/>
      <c r="J245" s="11"/>
      <c r="K245" s="283"/>
      <c r="L245" s="11"/>
      <c r="M245" s="11"/>
      <c r="N245" s="11"/>
      <c r="O245" s="11"/>
    </row>
    <row r="246">
      <c r="A246" s="11"/>
      <c r="B246" s="11"/>
      <c r="C246" s="271" t="str">
        <f>'4thMAY'!E246</f>
        <v/>
      </c>
      <c r="D246" s="11"/>
      <c r="E246" s="11"/>
      <c r="F246" s="11"/>
      <c r="G246" s="11"/>
      <c r="H246" s="272" t="str">
        <f>'4thMAY'!J246</f>
        <v/>
      </c>
      <c r="I246" s="281"/>
      <c r="J246" s="11"/>
      <c r="K246" s="283"/>
      <c r="L246" s="11"/>
      <c r="M246" s="11"/>
      <c r="N246" s="11"/>
      <c r="O246" s="11"/>
    </row>
    <row r="247">
      <c r="A247" s="11"/>
      <c r="B247" s="11"/>
      <c r="C247" s="271" t="str">
        <f>'4thMAY'!E247</f>
        <v/>
      </c>
      <c r="D247" s="11"/>
      <c r="E247" s="11"/>
      <c r="F247" s="11"/>
      <c r="G247" s="11"/>
      <c r="H247" s="272" t="str">
        <f>'4thMAY'!J247</f>
        <v/>
      </c>
      <c r="I247" s="281"/>
      <c r="J247" s="11"/>
      <c r="K247" s="283"/>
      <c r="L247" s="11"/>
      <c r="M247" s="11"/>
      <c r="N247" s="11"/>
      <c r="O247" s="11"/>
    </row>
    <row r="248">
      <c r="A248" s="11"/>
      <c r="B248" s="11"/>
      <c r="C248" s="271" t="str">
        <f>'4thMAY'!E248</f>
        <v/>
      </c>
      <c r="D248" s="11"/>
      <c r="E248" s="11"/>
      <c r="F248" s="11"/>
      <c r="G248" s="11"/>
      <c r="H248" s="272" t="str">
        <f>'4thMAY'!J248</f>
        <v/>
      </c>
      <c r="I248" s="281"/>
      <c r="J248" s="11"/>
      <c r="K248" s="283"/>
      <c r="L248" s="11"/>
      <c r="M248" s="11"/>
      <c r="N248" s="11"/>
      <c r="O248" s="11"/>
    </row>
    <row r="249">
      <c r="A249" s="11"/>
      <c r="B249" s="11"/>
      <c r="C249" s="11"/>
      <c r="D249" s="11"/>
      <c r="E249" s="11"/>
      <c r="F249" s="11"/>
      <c r="G249" s="11"/>
      <c r="H249" s="272" t="str">
        <f>'4thMAY'!J249</f>
        <v/>
      </c>
      <c r="I249" s="281"/>
      <c r="J249" s="11"/>
      <c r="K249" s="283"/>
      <c r="L249" s="11"/>
      <c r="M249" s="11"/>
      <c r="N249" s="11"/>
      <c r="O249" s="11"/>
    </row>
    <row r="250">
      <c r="A250" s="11"/>
      <c r="B250" s="11"/>
      <c r="C250" s="11"/>
      <c r="D250" s="11"/>
      <c r="E250" s="11"/>
      <c r="F250" s="11"/>
      <c r="G250" s="11"/>
      <c r="H250" s="272" t="str">
        <f>'4thMAY'!J250</f>
        <v/>
      </c>
      <c r="I250" s="281"/>
      <c r="J250" s="11"/>
      <c r="K250" s="283"/>
      <c r="L250" s="11"/>
      <c r="M250" s="11"/>
      <c r="N250" s="11"/>
      <c r="O250" s="11"/>
    </row>
    <row r="251">
      <c r="A251" s="11"/>
      <c r="B251" s="11"/>
      <c r="C251" s="11"/>
      <c r="D251" s="11"/>
      <c r="E251" s="11"/>
      <c r="F251" s="11"/>
      <c r="G251" s="11"/>
      <c r="H251" s="272" t="str">
        <f>'4thMAY'!J251</f>
        <v/>
      </c>
      <c r="I251" s="281"/>
      <c r="J251" s="11"/>
      <c r="K251" s="283"/>
      <c r="L251" s="11"/>
      <c r="M251" s="11"/>
      <c r="N251" s="11"/>
      <c r="O251" s="11"/>
    </row>
    <row r="252">
      <c r="A252" s="11"/>
      <c r="B252" s="11"/>
      <c r="C252" s="11"/>
      <c r="D252" s="11"/>
      <c r="E252" s="11"/>
      <c r="F252" s="11"/>
      <c r="G252" s="11"/>
      <c r="H252" s="272" t="str">
        <f>'4thMAY'!J252</f>
        <v/>
      </c>
      <c r="I252" s="28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272" t="str">
        <f>'4thMAY'!J253</f>
        <v/>
      </c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272" t="str">
        <f>'4thMAY'!J254</f>
        <v/>
      </c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272" t="str">
        <f>'4thMAY'!J255</f>
        <v/>
      </c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272" t="str">
        <f>'4thMAY'!J256</f>
        <v/>
      </c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272" t="str">
        <f>'4thMAY'!J257</f>
        <v/>
      </c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272" t="str">
        <f>'4thMAY'!J258</f>
        <v/>
      </c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272" t="str">
        <f>'4thMAY'!J259</f>
        <v/>
      </c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272" t="str">
        <f>'4thMAY'!J260</f>
        <v/>
      </c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272" t="str">
        <f>'4thMAY'!J261</f>
        <v/>
      </c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19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</sheetData>
  <mergeCells count="4">
    <mergeCell ref="A1:O1"/>
    <mergeCell ref="B2:E2"/>
    <mergeCell ref="F2:K2"/>
    <mergeCell ref="L2:O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8" t="s">
        <v>1</v>
      </c>
      <c r="C2" s="2"/>
      <c r="D2" s="2"/>
      <c r="E2" s="3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2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f>'3rdMAY'!E5</f>
        <v>19</v>
      </c>
      <c r="D5" s="272"/>
      <c r="E5" s="273">
        <v>10.0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27</v>
      </c>
      <c r="N5" s="268"/>
      <c r="O5" s="269"/>
    </row>
    <row r="6">
      <c r="A6" s="192" t="s">
        <v>401</v>
      </c>
      <c r="B6" s="191" t="s">
        <v>402</v>
      </c>
      <c r="C6" s="271">
        <f>'3rdMAY'!E6</f>
        <v>7</v>
      </c>
      <c r="D6" s="272"/>
      <c r="E6" s="273">
        <v>5.0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4</v>
      </c>
      <c r="N6" s="268"/>
      <c r="O6" s="269"/>
    </row>
    <row r="7">
      <c r="A7" s="192" t="s">
        <v>404</v>
      </c>
      <c r="B7" s="191" t="s">
        <v>402</v>
      </c>
      <c r="C7" s="271">
        <f>'3rdMAY'!E7</f>
        <v>10</v>
      </c>
      <c r="D7" s="268"/>
      <c r="E7" s="273">
        <v>7.4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13</v>
      </c>
      <c r="N7" s="268"/>
      <c r="O7" s="269"/>
    </row>
    <row r="8">
      <c r="A8" s="192" t="s">
        <v>406</v>
      </c>
      <c r="B8" s="191" t="s">
        <v>402</v>
      </c>
      <c r="C8" s="271">
        <f>'3rdMAY'!E8</f>
        <v>3</v>
      </c>
      <c r="D8" s="272">
        <v>5.0</v>
      </c>
      <c r="E8" s="273">
        <v>5.0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3</v>
      </c>
      <c r="N8" s="268"/>
      <c r="O8" s="269"/>
    </row>
    <row r="9">
      <c r="A9" s="192" t="s">
        <v>409</v>
      </c>
      <c r="B9" s="191" t="s">
        <v>402</v>
      </c>
      <c r="C9" s="271">
        <f>'3rdMAY'!E9</f>
        <v>1</v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1</v>
      </c>
      <c r="N9" s="268"/>
      <c r="O9" s="269"/>
    </row>
    <row r="10">
      <c r="A10" s="192" t="s">
        <v>411</v>
      </c>
      <c r="B10" s="191" t="s">
        <v>402</v>
      </c>
      <c r="C10" s="271">
        <f>'3rdMAY'!E10</f>
        <v>1</v>
      </c>
      <c r="D10" s="272">
        <v>5.0</v>
      </c>
      <c r="E10" s="273">
        <v>4.0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16</v>
      </c>
      <c r="N10" s="268"/>
      <c r="O10" s="269"/>
    </row>
    <row r="11">
      <c r="A11" s="204" t="s">
        <v>413</v>
      </c>
      <c r="B11" s="191" t="s">
        <v>402</v>
      </c>
      <c r="C11" s="271">
        <f>'3rdMAY'!E11</f>
        <v>11</v>
      </c>
      <c r="D11" s="272"/>
      <c r="E11" s="273">
        <v>1.0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10</v>
      </c>
      <c r="N11" s="268"/>
      <c r="O11" s="269"/>
    </row>
    <row r="12">
      <c r="A12" s="192" t="s">
        <v>414</v>
      </c>
      <c r="B12" s="191" t="s">
        <v>402</v>
      </c>
      <c r="C12" s="271" t="str">
        <f>'3rdMAY'!E12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>
        <f>'3rdMAY'!E13</f>
        <v>4</v>
      </c>
      <c r="D13" s="272">
        <v>3.0</v>
      </c>
      <c r="E13" s="273">
        <v>2.0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45</v>
      </c>
      <c r="N13" s="268"/>
      <c r="O13" s="269"/>
    </row>
    <row r="14">
      <c r="A14" s="204" t="s">
        <v>418</v>
      </c>
      <c r="B14" s="191" t="s">
        <v>402</v>
      </c>
      <c r="C14" s="271">
        <f>'3rdMAY'!E14</f>
        <v>7</v>
      </c>
      <c r="D14" s="272"/>
      <c r="E14" s="273">
        <v>1.0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6</v>
      </c>
      <c r="N14" s="268"/>
      <c r="O14" s="269"/>
    </row>
    <row r="15">
      <c r="A15" s="204" t="s">
        <v>420</v>
      </c>
      <c r="B15" s="191" t="s">
        <v>402</v>
      </c>
      <c r="C15" s="271">
        <f>'3rdMAY'!E15</f>
        <v>5</v>
      </c>
      <c r="D15" s="268"/>
      <c r="E15" s="273">
        <v>5.0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0</v>
      </c>
      <c r="N15" s="268"/>
      <c r="O15" s="269"/>
    </row>
    <row r="16">
      <c r="A16" s="192" t="s">
        <v>422</v>
      </c>
      <c r="B16" s="191" t="s">
        <v>402</v>
      </c>
      <c r="C16" s="271">
        <f>'3rdMAY'!E16</f>
        <v>4</v>
      </c>
      <c r="D16" s="272"/>
      <c r="E16" s="273"/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16</v>
      </c>
      <c r="N16" s="268"/>
      <c r="O16" s="269"/>
    </row>
    <row r="17">
      <c r="A17" s="192" t="s">
        <v>423</v>
      </c>
      <c r="B17" s="191" t="s">
        <v>402</v>
      </c>
      <c r="C17" s="271">
        <f>'3rdMAY'!E17</f>
        <v>7</v>
      </c>
      <c r="D17" s="272">
        <v>4.0</v>
      </c>
      <c r="E17" s="273">
        <v>2.0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18</v>
      </c>
      <c r="N17" s="268"/>
      <c r="O17" s="269"/>
    </row>
    <row r="18">
      <c r="A18" s="192" t="s">
        <v>425</v>
      </c>
      <c r="B18" s="191" t="s">
        <v>402</v>
      </c>
      <c r="C18" s="271">
        <f>'3rdMAY'!E18</f>
        <v>5</v>
      </c>
      <c r="D18" s="272">
        <v>2.0</v>
      </c>
      <c r="E18" s="273">
        <v>5.0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4</v>
      </c>
      <c r="N18" s="268"/>
      <c r="O18" s="269"/>
    </row>
    <row r="19">
      <c r="A19" s="192" t="s">
        <v>426</v>
      </c>
      <c r="B19" s="191" t="s">
        <v>402</v>
      </c>
      <c r="C19" s="271">
        <f>'3rdMAY'!E19</f>
        <v>2</v>
      </c>
      <c r="D19" s="268"/>
      <c r="E19" s="273"/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2</v>
      </c>
      <c r="N19" s="268"/>
      <c r="O19" s="269"/>
    </row>
    <row r="20">
      <c r="A20" s="192" t="s">
        <v>428</v>
      </c>
      <c r="B20" s="191" t="s">
        <v>402</v>
      </c>
      <c r="C20" s="271">
        <f>'3rdMAY'!E20</f>
        <v>5</v>
      </c>
      <c r="D20" s="268"/>
      <c r="E20" s="273">
        <v>4.0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1</v>
      </c>
      <c r="N20" s="268"/>
      <c r="O20" s="269"/>
    </row>
    <row r="21">
      <c r="A21" s="204" t="s">
        <v>429</v>
      </c>
      <c r="B21" s="191" t="s">
        <v>402</v>
      </c>
      <c r="C21" s="271">
        <f>'3rdMAY'!E21</f>
        <v>6</v>
      </c>
      <c r="D21" s="272"/>
      <c r="E21" s="273">
        <v>6.0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0</v>
      </c>
      <c r="N21" s="268"/>
      <c r="O21" s="269"/>
    </row>
    <row r="22">
      <c r="A22" s="204" t="s">
        <v>431</v>
      </c>
      <c r="B22" s="191" t="s">
        <v>402</v>
      </c>
      <c r="C22" s="271" t="str">
        <f>'3rdMAY'!E22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 t="str">
        <f>'3rdMAY'!E23</f>
        <v/>
      </c>
      <c r="D23" s="272">
        <v>5.0</v>
      </c>
      <c r="E23" s="273">
        <v>3.1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3.8</v>
      </c>
      <c r="N23" s="268"/>
      <c r="O23" s="269"/>
    </row>
    <row r="24">
      <c r="A24" s="192" t="s">
        <v>433</v>
      </c>
      <c r="B24" s="191" t="s">
        <v>402</v>
      </c>
      <c r="C24" s="271">
        <f>'3rdMAY'!E24</f>
        <v>14</v>
      </c>
      <c r="D24" s="272">
        <v>5.0</v>
      </c>
      <c r="E24" s="273">
        <v>13.0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6</v>
      </c>
      <c r="N24" s="268"/>
      <c r="O24" s="269"/>
    </row>
    <row r="25">
      <c r="A25" s="204" t="s">
        <v>435</v>
      </c>
      <c r="B25" s="191" t="s">
        <v>402</v>
      </c>
      <c r="C25" s="271">
        <f>'3rdMAY'!E25</f>
        <v>3</v>
      </c>
      <c r="D25" s="272"/>
      <c r="E25" s="273"/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3</v>
      </c>
      <c r="N25" s="268"/>
      <c r="O25" s="269"/>
    </row>
    <row r="26">
      <c r="A26" s="192" t="s">
        <v>438</v>
      </c>
      <c r="B26" s="191" t="s">
        <v>402</v>
      </c>
      <c r="C26" s="271">
        <f>'3rdMAY'!E26</f>
        <v>2</v>
      </c>
      <c r="D26" s="268"/>
      <c r="E26" s="273">
        <v>1.0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1</v>
      </c>
      <c r="N26" s="268"/>
      <c r="O26" s="269"/>
    </row>
    <row r="27">
      <c r="A27" s="192" t="s">
        <v>439</v>
      </c>
      <c r="B27" s="191" t="s">
        <v>402</v>
      </c>
      <c r="C27" s="271" t="str">
        <f>'3rdMAY'!E27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f>'3rdMAY'!E28</f>
        <v>3</v>
      </c>
      <c r="D28" s="268"/>
      <c r="E28" s="273">
        <v>1.0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2</v>
      </c>
      <c r="N28" s="268"/>
      <c r="O28" s="269"/>
    </row>
    <row r="29">
      <c r="A29" s="204" t="s">
        <v>441</v>
      </c>
      <c r="B29" s="191" t="s">
        <v>402</v>
      </c>
      <c r="C29" s="271">
        <f>'3rdMAY'!E29</f>
        <v>10</v>
      </c>
      <c r="D29" s="268"/>
      <c r="E29" s="273">
        <v>7.1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5.8</v>
      </c>
      <c r="N29" s="268"/>
      <c r="O29" s="269"/>
    </row>
    <row r="30">
      <c r="A30" s="204" t="s">
        <v>442</v>
      </c>
      <c r="B30" s="191" t="s">
        <v>402</v>
      </c>
      <c r="C30" s="271">
        <f>'3rdMAY'!E30</f>
        <v>8</v>
      </c>
      <c r="D30" s="268"/>
      <c r="E30" s="273">
        <v>8.0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0</v>
      </c>
      <c r="N30" s="268"/>
      <c r="O30" s="269"/>
    </row>
    <row r="31">
      <c r="A31" s="204" t="s">
        <v>444</v>
      </c>
      <c r="B31" s="191" t="s">
        <v>402</v>
      </c>
      <c r="C31" s="271">
        <f>'3rdMAY'!E31</f>
        <v>3</v>
      </c>
      <c r="D31" s="268"/>
      <c r="E31" s="273">
        <v>2.0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1</v>
      </c>
      <c r="N31" s="268"/>
      <c r="O31" s="269"/>
    </row>
    <row r="32">
      <c r="A32" s="204" t="s">
        <v>445</v>
      </c>
      <c r="B32" s="191" t="s">
        <v>402</v>
      </c>
      <c r="C32" s="271">
        <f>'3rdMAY'!E32</f>
        <v>6</v>
      </c>
      <c r="D32" s="268"/>
      <c r="E32" s="273">
        <v>2.0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16</v>
      </c>
      <c r="N32" s="268"/>
      <c r="O32" s="269"/>
    </row>
    <row r="33">
      <c r="A33" s="192" t="s">
        <v>446</v>
      </c>
      <c r="B33" s="191" t="s">
        <v>402</v>
      </c>
      <c r="C33" s="271">
        <f>'3rdMAY'!E33</f>
        <v>1</v>
      </c>
      <c r="D33" s="268"/>
      <c r="E33" s="273">
        <v>1.0</v>
      </c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192" t="s">
        <v>447</v>
      </c>
      <c r="B34" s="191" t="s">
        <v>402</v>
      </c>
      <c r="C34" s="271">
        <f>'3rdMAY'!E34</f>
        <v>4</v>
      </c>
      <c r="D34" s="272"/>
      <c r="E34" s="273">
        <v>1.0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3</v>
      </c>
      <c r="N34" s="268"/>
      <c r="O34" s="269"/>
    </row>
    <row r="35">
      <c r="A35" s="204" t="s">
        <v>449</v>
      </c>
      <c r="B35" s="191" t="s">
        <v>402</v>
      </c>
      <c r="C35" s="271">
        <f>'3rdMAY'!E35</f>
        <v>1</v>
      </c>
      <c r="D35" s="272"/>
      <c r="E35" s="273">
        <v>1.0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268"/>
      <c r="O35" s="269"/>
    </row>
    <row r="36">
      <c r="A36" s="192" t="s">
        <v>451</v>
      </c>
      <c r="B36" s="191" t="s">
        <v>402</v>
      </c>
      <c r="C36" s="271">
        <f>'3rdMAY'!E36</f>
        <v>7</v>
      </c>
      <c r="D36" s="272">
        <v>3.0</v>
      </c>
      <c r="E36" s="273">
        <v>5.0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10</v>
      </c>
      <c r="N36" s="268"/>
      <c r="O36" s="269"/>
    </row>
    <row r="37">
      <c r="A37" s="225" t="s">
        <v>452</v>
      </c>
      <c r="B37" s="191" t="s">
        <v>402</v>
      </c>
      <c r="C37" s="271">
        <f>'3rdMAY'!E37</f>
        <v>5</v>
      </c>
      <c r="D37" s="268"/>
      <c r="E37" s="273">
        <v>4.0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4</v>
      </c>
      <c r="N37" s="268"/>
      <c r="O37" s="269"/>
    </row>
    <row r="38">
      <c r="A38" s="225" t="s">
        <v>454</v>
      </c>
      <c r="B38" s="191" t="s">
        <v>402</v>
      </c>
      <c r="C38" s="271">
        <f>'3rdMAY'!E38</f>
        <v>4</v>
      </c>
      <c r="D38" s="268"/>
      <c r="E38" s="273">
        <v>4.0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23" t="s">
        <v>455</v>
      </c>
      <c r="B39" s="191" t="s">
        <v>402</v>
      </c>
      <c r="C39" s="271">
        <f>'3rdMAY'!E39</f>
        <v>2</v>
      </c>
      <c r="D39" s="268"/>
      <c r="E39" s="269"/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8</v>
      </c>
      <c r="N39" s="268"/>
      <c r="O39" s="269"/>
    </row>
    <row r="40">
      <c r="A40" s="223" t="s">
        <v>456</v>
      </c>
      <c r="B40" s="191" t="s">
        <v>402</v>
      </c>
      <c r="C40" s="271">
        <f>'3rdMAY'!E40</f>
        <v>5</v>
      </c>
      <c r="D40" s="272"/>
      <c r="E40" s="273">
        <v>4.0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1</v>
      </c>
      <c r="N40" s="268"/>
      <c r="O40" s="269"/>
    </row>
    <row r="41">
      <c r="A41" s="223" t="s">
        <v>457</v>
      </c>
      <c r="B41" s="191" t="s">
        <v>402</v>
      </c>
      <c r="C41" s="271" t="str">
        <f>'3rdMAY'!E41</f>
        <v/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307" t="s">
        <v>762</v>
      </c>
      <c r="B42" s="191"/>
      <c r="C42" s="271" t="str">
        <f>'3rdMAY'!E42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'3rdMAY'!E43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'3rdMAY'!E44</f>
        <v/>
      </c>
      <c r="D44" s="227"/>
      <c r="E44" s="280"/>
      <c r="F44" s="235" t="s">
        <v>14</v>
      </c>
      <c r="G44" s="235"/>
      <c r="H44" s="272">
        <f>'3rdMAY'!J44</f>
        <v>1</v>
      </c>
      <c r="I44" s="281">
        <v>1.0</v>
      </c>
      <c r="J44" s="282">
        <v>0.5</v>
      </c>
      <c r="K44" s="283">
        <v>1.0</v>
      </c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0.5</v>
      </c>
      <c r="N44" s="191"/>
      <c r="O44" s="247"/>
    </row>
    <row r="45">
      <c r="A45" s="12" t="s">
        <v>16</v>
      </c>
      <c r="B45" s="13" t="s">
        <v>17</v>
      </c>
      <c r="C45" s="271" t="str">
        <f>'3rdMAY'!E45</f>
        <v/>
      </c>
      <c r="D45" s="227"/>
      <c r="E45" s="280"/>
      <c r="F45" s="235" t="s">
        <v>17</v>
      </c>
      <c r="G45" s="235"/>
      <c r="H45" s="272">
        <f>'3rdMAY'!J45</f>
        <v>2</v>
      </c>
      <c r="I45" s="281">
        <v>1.0</v>
      </c>
      <c r="J45" s="282">
        <v>1.0</v>
      </c>
      <c r="K45" s="283">
        <v>1.0</v>
      </c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1</v>
      </c>
      <c r="N45" s="191"/>
      <c r="O45" s="247"/>
    </row>
    <row r="46">
      <c r="A46" s="15" t="s">
        <v>19</v>
      </c>
      <c r="B46" s="13" t="s">
        <v>17</v>
      </c>
      <c r="C46" s="271" t="str">
        <f>'3rdMAY'!E46</f>
        <v/>
      </c>
      <c r="D46" s="227"/>
      <c r="E46" s="280"/>
      <c r="F46" s="235" t="s">
        <v>17</v>
      </c>
      <c r="G46" s="235"/>
      <c r="H46" s="272">
        <f>'3rdMAY'!J46</f>
        <v>7</v>
      </c>
      <c r="I46" s="281">
        <v>1.0</v>
      </c>
      <c r="J46" s="282">
        <v>7.0</v>
      </c>
      <c r="K46" s="283">
        <v>1.0</v>
      </c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0</v>
      </c>
      <c r="N46" s="191"/>
      <c r="O46" s="247"/>
    </row>
    <row r="47">
      <c r="A47" s="12" t="s">
        <v>20</v>
      </c>
      <c r="B47" s="13" t="s">
        <v>17</v>
      </c>
      <c r="C47" s="271" t="str">
        <f>'3rdMAY'!E47</f>
        <v/>
      </c>
      <c r="D47" s="191"/>
      <c r="E47" s="280"/>
      <c r="F47" s="235" t="s">
        <v>17</v>
      </c>
      <c r="G47" s="235"/>
      <c r="H47" s="272">
        <f>'3rdMAY'!J47</f>
        <v>9</v>
      </c>
      <c r="I47" s="281">
        <v>1.0</v>
      </c>
      <c r="J47" s="282">
        <v>7.0</v>
      </c>
      <c r="K47" s="283">
        <v>1.0</v>
      </c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2</v>
      </c>
      <c r="N47" s="191"/>
      <c r="O47" s="247"/>
    </row>
    <row r="48">
      <c r="A48" s="12" t="s">
        <v>21</v>
      </c>
      <c r="B48" s="13" t="s">
        <v>17</v>
      </c>
      <c r="C48" s="271" t="str">
        <f>'3rdMAY'!E48</f>
        <v/>
      </c>
      <c r="D48" s="227"/>
      <c r="E48" s="280"/>
      <c r="F48" s="235" t="s">
        <v>17</v>
      </c>
      <c r="G48" s="235"/>
      <c r="H48" s="272">
        <f>'3rdMAY'!J48</f>
        <v>8</v>
      </c>
      <c r="I48" s="281">
        <v>1.0</v>
      </c>
      <c r="J48" s="282">
        <v>7.0</v>
      </c>
      <c r="K48" s="283">
        <v>1.0</v>
      </c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1</v>
      </c>
      <c r="N48" s="191"/>
      <c r="O48" s="247"/>
    </row>
    <row r="49">
      <c r="A49" s="12" t="s">
        <v>22</v>
      </c>
      <c r="B49" s="13" t="s">
        <v>17</v>
      </c>
      <c r="C49" s="271" t="str">
        <f>'3rdMAY'!E49</f>
        <v/>
      </c>
      <c r="D49" s="191"/>
      <c r="E49" s="247"/>
      <c r="F49" s="235" t="s">
        <v>17</v>
      </c>
      <c r="G49" s="235"/>
      <c r="H49" s="272" t="str">
        <f>'3rdMAY'!J49</f>
        <v/>
      </c>
      <c r="I49" s="281">
        <v>1.0</v>
      </c>
      <c r="J49" s="284"/>
      <c r="K49" s="283">
        <v>1.0</v>
      </c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/>
      <c r="D50" s="227"/>
      <c r="E50" s="247"/>
      <c r="F50" s="235" t="s">
        <v>25</v>
      </c>
      <c r="G50" s="235"/>
      <c r="H50" s="272">
        <f>'3rdMAY'!J50</f>
        <v>1</v>
      </c>
      <c r="I50" s="281">
        <v>1.0</v>
      </c>
      <c r="J50" s="282">
        <v>0.209</v>
      </c>
      <c r="K50" s="283">
        <v>1.0</v>
      </c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0.791</v>
      </c>
      <c r="N50" s="191"/>
      <c r="O50" s="247"/>
    </row>
    <row r="51">
      <c r="A51" s="12" t="s">
        <v>27</v>
      </c>
      <c r="B51" s="12" t="s">
        <v>24</v>
      </c>
      <c r="C51" s="271" t="str">
        <f>'3rdMAY'!E51</f>
        <v/>
      </c>
      <c r="D51" s="191"/>
      <c r="E51" s="247"/>
      <c r="F51" s="235" t="s">
        <v>24</v>
      </c>
      <c r="G51" s="235"/>
      <c r="H51" s="272" t="str">
        <f>'3rdMAY'!J51</f>
        <v/>
      </c>
      <c r="I51" s="281">
        <v>1.0</v>
      </c>
      <c r="J51" s="284"/>
      <c r="K51" s="283">
        <v>1.0</v>
      </c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'3rdMAY'!E52</f>
        <v/>
      </c>
      <c r="D52" s="191"/>
      <c r="E52" s="280"/>
      <c r="F52" s="235" t="s">
        <v>14</v>
      </c>
      <c r="G52" s="285"/>
      <c r="H52" s="272" t="str">
        <f>'3rdMAY'!J52</f>
        <v/>
      </c>
      <c r="I52" s="281">
        <v>1.0</v>
      </c>
      <c r="J52" s="284"/>
      <c r="K52" s="283">
        <v>1.0</v>
      </c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16" t="s">
        <v>30</v>
      </c>
      <c r="B53" s="12" t="s">
        <v>24</v>
      </c>
      <c r="C53" s="271" t="str">
        <f>'3rdMAY'!E53</f>
        <v/>
      </c>
      <c r="D53" s="227"/>
      <c r="E53" s="280"/>
      <c r="F53" s="235" t="s">
        <v>35</v>
      </c>
      <c r="G53" s="235"/>
      <c r="H53" s="272">
        <f>'3rdMAY'!J53</f>
        <v>0.732</v>
      </c>
      <c r="I53" s="281">
        <v>1.0</v>
      </c>
      <c r="J53" s="282">
        <v>0.731</v>
      </c>
      <c r="K53" s="283">
        <v>1.0</v>
      </c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0.001</v>
      </c>
      <c r="N53" s="191"/>
      <c r="O53" s="247"/>
    </row>
    <row r="54">
      <c r="A54" s="12" t="s">
        <v>33</v>
      </c>
      <c r="B54" s="12" t="s">
        <v>34</v>
      </c>
      <c r="C54" s="271" t="str">
        <f>'3rdMAY'!E54</f>
        <v/>
      </c>
      <c r="D54" s="227"/>
      <c r="E54" s="247"/>
      <c r="F54" s="235" t="s">
        <v>35</v>
      </c>
      <c r="G54" s="235"/>
      <c r="H54" s="272" t="str">
        <f>'3rdMAY'!J54</f>
        <v/>
      </c>
      <c r="I54" s="281">
        <v>1.0</v>
      </c>
      <c r="J54" s="284"/>
      <c r="K54" s="283">
        <v>1.0</v>
      </c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</v>
      </c>
      <c r="N54" s="191"/>
      <c r="O54" s="247"/>
    </row>
    <row r="55">
      <c r="A55" s="12" t="s">
        <v>37</v>
      </c>
      <c r="B55" s="12" t="s">
        <v>17</v>
      </c>
      <c r="C55" s="271" t="str">
        <f>'3rdMAY'!E55</f>
        <v/>
      </c>
      <c r="D55" s="191"/>
      <c r="E55" s="247"/>
      <c r="F55" s="235" t="s">
        <v>752</v>
      </c>
      <c r="G55" s="235"/>
      <c r="H55" s="272" t="str">
        <f>'3rdMAY'!J55</f>
        <v/>
      </c>
      <c r="I55" s="281">
        <v>1.0</v>
      </c>
      <c r="J55" s="284"/>
      <c r="K55" s="283">
        <v>1.0</v>
      </c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'3rdMAY'!E56</f>
        <v/>
      </c>
      <c r="D56" s="191"/>
      <c r="E56" s="247"/>
      <c r="F56" s="235" t="s">
        <v>17</v>
      </c>
      <c r="G56" s="235"/>
      <c r="H56" s="272" t="str">
        <f>'3rdMAY'!J56</f>
        <v/>
      </c>
      <c r="I56" s="281">
        <v>1.0</v>
      </c>
      <c r="J56" s="284"/>
      <c r="K56" s="283">
        <v>1.0</v>
      </c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0</v>
      </c>
      <c r="N56" s="191"/>
      <c r="O56" s="247"/>
    </row>
    <row r="57">
      <c r="A57" s="12" t="s">
        <v>42</v>
      </c>
      <c r="B57" s="12" t="s">
        <v>24</v>
      </c>
      <c r="C57" s="271" t="str">
        <f>'3rdMAY'!E57</f>
        <v/>
      </c>
      <c r="D57" s="191"/>
      <c r="E57" s="280"/>
      <c r="F57" s="235" t="s">
        <v>35</v>
      </c>
      <c r="G57" s="235"/>
      <c r="H57" s="272" t="str">
        <f>'3rdMAY'!J57</f>
        <v/>
      </c>
      <c r="I57" s="281">
        <v>1.0</v>
      </c>
      <c r="J57" s="282"/>
      <c r="K57" s="283">
        <v>1.0</v>
      </c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</v>
      </c>
      <c r="N57" s="191"/>
      <c r="O57" s="247"/>
    </row>
    <row r="58">
      <c r="A58" s="12" t="s">
        <v>44</v>
      </c>
      <c r="B58" s="12" t="s">
        <v>24</v>
      </c>
      <c r="C58" s="271">
        <v>1.0</v>
      </c>
      <c r="D58" s="191"/>
      <c r="E58" s="280">
        <v>1.0</v>
      </c>
      <c r="F58" s="235" t="s">
        <v>25</v>
      </c>
      <c r="G58" s="235"/>
      <c r="H58" s="272" t="str">
        <f>'3rdMAY'!J58</f>
        <v/>
      </c>
      <c r="I58" s="281">
        <v>1.0</v>
      </c>
      <c r="J58" s="282"/>
      <c r="K58" s="283">
        <v>1.0</v>
      </c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</v>
      </c>
      <c r="N58" s="191"/>
      <c r="O58" s="247"/>
    </row>
    <row r="59">
      <c r="A59" s="12" t="s">
        <v>45</v>
      </c>
      <c r="B59" s="12" t="s">
        <v>24</v>
      </c>
      <c r="C59" s="271" t="str">
        <f>'3rdMAY'!E59</f>
        <v/>
      </c>
      <c r="D59" s="191"/>
      <c r="E59" s="247"/>
      <c r="F59" s="235" t="s">
        <v>25</v>
      </c>
      <c r="G59" s="235"/>
      <c r="H59" s="272">
        <f>'3rdMAY'!J59</f>
        <v>0.918</v>
      </c>
      <c r="I59" s="281">
        <v>1.0</v>
      </c>
      <c r="J59" s="282">
        <v>0.91</v>
      </c>
      <c r="K59" s="283">
        <v>1.0</v>
      </c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0.008</v>
      </c>
      <c r="N59" s="191"/>
      <c r="O59" s="247"/>
    </row>
    <row r="60">
      <c r="A60" s="17" t="s">
        <v>46</v>
      </c>
      <c r="B60" s="12" t="s">
        <v>47</v>
      </c>
      <c r="C60" s="271" t="str">
        <f>'3rdMAY'!E60</f>
        <v/>
      </c>
      <c r="D60" s="191"/>
      <c r="E60" s="247"/>
      <c r="F60" s="235" t="s">
        <v>51</v>
      </c>
      <c r="G60" s="235"/>
      <c r="H60" s="272" t="str">
        <f>'3rdMAY'!J60</f>
        <v/>
      </c>
      <c r="I60" s="281">
        <v>1.0</v>
      </c>
      <c r="J60" s="284"/>
      <c r="K60" s="283">
        <v>1.0</v>
      </c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'3rdMAY'!E61</f>
        <v/>
      </c>
      <c r="D61" s="191"/>
      <c r="E61" s="247"/>
      <c r="F61" s="235" t="s">
        <v>51</v>
      </c>
      <c r="G61" s="235"/>
      <c r="H61" s="272" t="str">
        <f>'3rdMAY'!J61</f>
        <v/>
      </c>
      <c r="I61" s="281">
        <v>1.0</v>
      </c>
      <c r="J61" s="284"/>
      <c r="K61" s="283">
        <v>1.0</v>
      </c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'3rdMAY'!E62</f>
        <v/>
      </c>
      <c r="D62" s="191"/>
      <c r="E62" s="247"/>
      <c r="F62" s="235" t="s">
        <v>51</v>
      </c>
      <c r="G62" s="235"/>
      <c r="H62" s="272">
        <f>'3rdMAY'!J62</f>
        <v>0.56</v>
      </c>
      <c r="I62" s="281">
        <v>1.0</v>
      </c>
      <c r="J62" s="282">
        <v>0.558</v>
      </c>
      <c r="K62" s="283">
        <v>1.0</v>
      </c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0.002</v>
      </c>
      <c r="N62" s="191"/>
      <c r="O62" s="247"/>
    </row>
    <row r="63">
      <c r="A63" s="12" t="s">
        <v>53</v>
      </c>
      <c r="B63" s="12" t="s">
        <v>35</v>
      </c>
      <c r="C63" s="271" t="str">
        <f>'3rdMAY'!E63</f>
        <v/>
      </c>
      <c r="D63" s="191"/>
      <c r="E63" s="247"/>
      <c r="F63" s="235" t="s">
        <v>35</v>
      </c>
      <c r="G63" s="235"/>
      <c r="H63" s="272">
        <f>'3rdMAY'!J63</f>
        <v>1</v>
      </c>
      <c r="I63" s="281">
        <v>1.0</v>
      </c>
      <c r="J63" s="282">
        <v>1.0</v>
      </c>
      <c r="K63" s="283">
        <v>1.0</v>
      </c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</v>
      </c>
      <c r="N63" s="191"/>
      <c r="O63" s="247"/>
    </row>
    <row r="64">
      <c r="A64" s="11" t="s">
        <v>55</v>
      </c>
      <c r="B64" s="11" t="s">
        <v>56</v>
      </c>
      <c r="C64" s="271" t="str">
        <f>'3rdMAY'!E64</f>
        <v/>
      </c>
      <c r="D64" s="191"/>
      <c r="E64" s="247"/>
      <c r="F64" s="235" t="s">
        <v>14</v>
      </c>
      <c r="G64" s="235"/>
      <c r="H64" s="272">
        <f>'3rdMAY'!J64</f>
        <v>1.435</v>
      </c>
      <c r="I64" s="281">
        <v>1.0</v>
      </c>
      <c r="J64" s="282">
        <v>0.907</v>
      </c>
      <c r="K64" s="283">
        <v>1.0</v>
      </c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0.528</v>
      </c>
      <c r="N64" s="191"/>
      <c r="O64" s="247"/>
    </row>
    <row r="65">
      <c r="A65" s="10" t="s">
        <v>57</v>
      </c>
      <c r="B65" s="11"/>
      <c r="C65" s="271" t="str">
        <f>'3rdMAY'!E65</f>
        <v/>
      </c>
      <c r="D65" s="191"/>
      <c r="E65" s="247"/>
      <c r="F65" s="235"/>
      <c r="G65" s="235"/>
      <c r="H65" s="272" t="str">
        <f>'3rdMAY'!J65</f>
        <v/>
      </c>
      <c r="I65" s="281">
        <v>1.0</v>
      </c>
      <c r="J65" s="284"/>
      <c r="K65" s="283">
        <v>1.0</v>
      </c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'3rdMAY'!E66</f>
        <v>2</v>
      </c>
      <c r="D66" s="227">
        <v>3.0</v>
      </c>
      <c r="E66" s="280">
        <v>2.0</v>
      </c>
      <c r="F66" s="235" t="s">
        <v>35</v>
      </c>
      <c r="G66" s="235"/>
      <c r="H66" s="272">
        <f>'3rdMAY'!J66</f>
        <v>1.016</v>
      </c>
      <c r="I66" s="281">
        <v>1.0</v>
      </c>
      <c r="J66" s="282">
        <v>1.525</v>
      </c>
      <c r="K66" s="283">
        <v>1.0</v>
      </c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5.491</v>
      </c>
      <c r="N66" s="191"/>
      <c r="O66" s="247"/>
    </row>
    <row r="67">
      <c r="A67" s="12" t="s">
        <v>61</v>
      </c>
      <c r="B67" s="12" t="s">
        <v>59</v>
      </c>
      <c r="C67" s="271">
        <f>'3rdMAY'!E67</f>
        <v>1</v>
      </c>
      <c r="D67" s="191"/>
      <c r="E67" s="247"/>
      <c r="F67" s="235" t="s">
        <v>35</v>
      </c>
      <c r="G67" s="235"/>
      <c r="H67" s="272" t="str">
        <f>'3rdMAY'!J67</f>
        <v/>
      </c>
      <c r="I67" s="281">
        <v>1.0</v>
      </c>
      <c r="J67" s="282">
        <v>0.033</v>
      </c>
      <c r="K67" s="283">
        <v>1.0</v>
      </c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0.077</v>
      </c>
      <c r="N67" s="191"/>
      <c r="O67" s="247"/>
    </row>
    <row r="68">
      <c r="A68" s="12" t="s">
        <v>62</v>
      </c>
      <c r="B68" s="12" t="s">
        <v>35</v>
      </c>
      <c r="C68" s="271" t="str">
        <f>'3rdMAY'!E68</f>
        <v/>
      </c>
      <c r="D68" s="227"/>
      <c r="E68" s="280"/>
      <c r="F68" s="235" t="s">
        <v>35</v>
      </c>
      <c r="G68" s="285">
        <v>0.5</v>
      </c>
      <c r="H68" s="272">
        <f>'3rdMAY'!J68</f>
        <v>3.5</v>
      </c>
      <c r="I68" s="281">
        <v>1.0</v>
      </c>
      <c r="J68" s="282">
        <v>4.0</v>
      </c>
      <c r="K68" s="283">
        <v>1.0</v>
      </c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0</v>
      </c>
      <c r="N68" s="191"/>
      <c r="O68" s="247"/>
    </row>
    <row r="69">
      <c r="A69" s="12" t="s">
        <v>64</v>
      </c>
      <c r="B69" s="12" t="s">
        <v>59</v>
      </c>
      <c r="C69" s="271" t="str">
        <f>'3rdMAY'!E69</f>
        <v/>
      </c>
      <c r="D69" s="227">
        <v>1.0</v>
      </c>
      <c r="E69" s="280">
        <v>1.0</v>
      </c>
      <c r="F69" s="235" t="s">
        <v>35</v>
      </c>
      <c r="G69" s="235"/>
      <c r="H69" s="272">
        <f>'3rdMAY'!J69</f>
        <v>0.123</v>
      </c>
      <c r="I69" s="281">
        <v>1.0</v>
      </c>
      <c r="J69" s="282"/>
      <c r="K69" s="283">
        <v>1.0</v>
      </c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0.073</v>
      </c>
      <c r="N69" s="191"/>
      <c r="O69" s="247"/>
    </row>
    <row r="70">
      <c r="A70" s="10" t="s">
        <v>65</v>
      </c>
      <c r="B70" s="11"/>
      <c r="C70" s="271" t="str">
        <f>'3rdMAY'!E70</f>
        <v/>
      </c>
      <c r="D70" s="191"/>
      <c r="E70" s="247"/>
      <c r="F70" s="235"/>
      <c r="G70" s="235"/>
      <c r="H70" s="272" t="str">
        <f>'3rdMAY'!J70</f>
        <v/>
      </c>
      <c r="I70" s="281">
        <v>1.0</v>
      </c>
      <c r="J70" s="284"/>
      <c r="K70" s="283">
        <v>1.0</v>
      </c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'3rdMAY'!E71</f>
        <v/>
      </c>
      <c r="D71" s="227">
        <v>1.0</v>
      </c>
      <c r="E71" s="247"/>
      <c r="F71" s="235" t="s">
        <v>25</v>
      </c>
      <c r="G71" s="285">
        <v>1.8</v>
      </c>
      <c r="H71" s="272" t="str">
        <f>'3rdMAY'!J71</f>
        <v/>
      </c>
      <c r="I71" s="281">
        <v>1.0</v>
      </c>
      <c r="J71" s="282"/>
      <c r="K71" s="283">
        <v>1.0</v>
      </c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20.2</v>
      </c>
      <c r="N71" s="191"/>
      <c r="O71" s="247"/>
    </row>
    <row r="72">
      <c r="A72" s="12" t="s">
        <v>68</v>
      </c>
      <c r="B72" s="12" t="s">
        <v>35</v>
      </c>
      <c r="C72" s="271" t="str">
        <f>'3rdMAY'!E72</f>
        <v/>
      </c>
      <c r="D72" s="227">
        <v>0.5</v>
      </c>
      <c r="E72" s="247"/>
      <c r="F72" s="235" t="s">
        <v>35</v>
      </c>
      <c r="G72" s="235"/>
      <c r="H72" s="272" t="str">
        <f>'3rdMAY'!J72</f>
        <v/>
      </c>
      <c r="I72" s="281">
        <v>1.0</v>
      </c>
      <c r="J72" s="282">
        <v>0.182</v>
      </c>
      <c r="K72" s="283">
        <v>1.0</v>
      </c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0.318</v>
      </c>
      <c r="N72" s="191"/>
      <c r="O72" s="247"/>
    </row>
    <row r="73">
      <c r="A73" s="12" t="s">
        <v>70</v>
      </c>
      <c r="B73" s="12" t="s">
        <v>35</v>
      </c>
      <c r="C73" s="271" t="str">
        <f>'3rdMAY'!E73</f>
        <v/>
      </c>
      <c r="D73" s="191"/>
      <c r="E73" s="247"/>
      <c r="F73" s="235" t="s">
        <v>35</v>
      </c>
      <c r="G73" s="235"/>
      <c r="H73" s="272" t="str">
        <f>'3rdMAY'!J73</f>
        <v/>
      </c>
      <c r="I73" s="281">
        <v>1.0</v>
      </c>
      <c r="J73" s="284"/>
      <c r="K73" s="283">
        <v>1.0</v>
      </c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'3rdMAY'!E74</f>
        <v/>
      </c>
      <c r="D74" s="227">
        <v>1.0</v>
      </c>
      <c r="E74" s="247"/>
      <c r="F74" s="235" t="s">
        <v>25</v>
      </c>
      <c r="G74" s="235"/>
      <c r="H74" s="272">
        <f>'3rdMAY'!J74</f>
        <v>0.579</v>
      </c>
      <c r="I74" s="281">
        <v>1.0</v>
      </c>
      <c r="J74" s="282">
        <v>0.502</v>
      </c>
      <c r="K74" s="283">
        <v>1.0</v>
      </c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1.077</v>
      </c>
      <c r="N74" s="191"/>
      <c r="O74" s="247"/>
    </row>
    <row r="75">
      <c r="A75" s="12" t="s">
        <v>74</v>
      </c>
      <c r="B75" s="12" t="s">
        <v>17</v>
      </c>
      <c r="C75" s="271" t="str">
        <f>'3rdMAY'!E75</f>
        <v/>
      </c>
      <c r="D75" s="191"/>
      <c r="E75" s="247"/>
      <c r="F75" s="235" t="s">
        <v>25</v>
      </c>
      <c r="G75" s="235"/>
      <c r="H75" s="272" t="str">
        <f>'3rdMAY'!J75</f>
        <v/>
      </c>
      <c r="I75" s="281">
        <v>1.0</v>
      </c>
      <c r="J75" s="284"/>
      <c r="K75" s="283">
        <v>1.0</v>
      </c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</v>
      </c>
      <c r="N75" s="191"/>
      <c r="O75" s="247"/>
    </row>
    <row r="76">
      <c r="A76" s="12" t="s">
        <v>76</v>
      </c>
      <c r="B76" s="12" t="s">
        <v>72</v>
      </c>
      <c r="C76" s="271" t="str">
        <f>'3rdMAY'!E76</f>
        <v/>
      </c>
      <c r="D76" s="191"/>
      <c r="E76" s="247"/>
      <c r="F76" s="235" t="s">
        <v>35</v>
      </c>
      <c r="G76" s="235"/>
      <c r="H76" s="272">
        <f>'3rdMAY'!J76</f>
        <v>1</v>
      </c>
      <c r="I76" s="281">
        <v>1.0</v>
      </c>
      <c r="J76" s="282">
        <v>1.0</v>
      </c>
      <c r="K76" s="283">
        <v>1.0</v>
      </c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'3rdMAY'!E77</f>
        <v/>
      </c>
      <c r="D77" s="191"/>
      <c r="E77" s="247"/>
      <c r="F77" s="235" t="s">
        <v>25</v>
      </c>
      <c r="G77" s="235"/>
      <c r="H77" s="272">
        <f>'3rdMAY'!J77</f>
        <v>1.537</v>
      </c>
      <c r="I77" s="281">
        <v>1.0</v>
      </c>
      <c r="J77" s="282">
        <v>1.287</v>
      </c>
      <c r="K77" s="283">
        <v>1.0</v>
      </c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0.25</v>
      </c>
      <c r="N77" s="191"/>
      <c r="O77" s="247"/>
    </row>
    <row r="78">
      <c r="A78" s="12" t="s">
        <v>80</v>
      </c>
      <c r="B78" s="12" t="s">
        <v>56</v>
      </c>
      <c r="C78" s="271" t="str">
        <f>'3rdMAY'!E78</f>
        <v/>
      </c>
      <c r="D78" s="191"/>
      <c r="E78" s="247"/>
      <c r="F78" s="235" t="s">
        <v>35</v>
      </c>
      <c r="G78" s="235"/>
      <c r="H78" s="272" t="str">
        <f>'3rdMAY'!J78</f>
        <v/>
      </c>
      <c r="I78" s="281">
        <v>1.0</v>
      </c>
      <c r="J78" s="284"/>
      <c r="K78" s="283">
        <v>1.0</v>
      </c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'3rdMAY'!E79</f>
        <v/>
      </c>
      <c r="D79" s="191"/>
      <c r="E79" s="247"/>
      <c r="F79" s="235" t="s">
        <v>35</v>
      </c>
      <c r="G79" s="235"/>
      <c r="H79" s="272"/>
      <c r="I79" s="281"/>
      <c r="J79" s="282"/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</v>
      </c>
      <c r="N79" s="191"/>
      <c r="O79" s="247"/>
    </row>
    <row r="80">
      <c r="A80" s="10" t="s">
        <v>85</v>
      </c>
      <c r="B80" s="11"/>
      <c r="C80" s="271" t="str">
        <f>'3rdMAY'!E80</f>
        <v/>
      </c>
      <c r="D80" s="191"/>
      <c r="E80" s="247"/>
      <c r="F80" s="235"/>
      <c r="G80" s="235"/>
      <c r="H80" s="272" t="str">
        <f>'3rdMAY'!J80</f>
        <v/>
      </c>
      <c r="I80" s="281">
        <v>1.0</v>
      </c>
      <c r="J80" s="284"/>
      <c r="K80" s="283">
        <v>1.0</v>
      </c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'3rdMAY'!E81</f>
        <v/>
      </c>
      <c r="D81" s="227">
        <v>1.0</v>
      </c>
      <c r="E81" s="247"/>
      <c r="F81" s="235" t="s">
        <v>25</v>
      </c>
      <c r="G81" s="235"/>
      <c r="H81" s="272" t="str">
        <f>'3rdMAY'!J81</f>
        <v/>
      </c>
      <c r="I81" s="281">
        <v>1.0</v>
      </c>
      <c r="J81" s="282">
        <v>0.26</v>
      </c>
      <c r="K81" s="283">
        <v>1.0</v>
      </c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0.652</v>
      </c>
      <c r="N81" s="191"/>
      <c r="O81" s="247"/>
    </row>
    <row r="82">
      <c r="A82" s="12" t="s">
        <v>87</v>
      </c>
      <c r="B82" s="12" t="s">
        <v>83</v>
      </c>
      <c r="C82" s="271" t="str">
        <f>'3rdMAY'!E82</f>
        <v/>
      </c>
      <c r="D82" s="227"/>
      <c r="E82" s="280"/>
      <c r="F82" s="235" t="s">
        <v>25</v>
      </c>
      <c r="G82" s="235"/>
      <c r="H82" s="272">
        <f>'3rdMAY'!J82</f>
        <v>0.551</v>
      </c>
      <c r="I82" s="281">
        <v>1.0</v>
      </c>
      <c r="J82" s="282">
        <v>0.5</v>
      </c>
      <c r="K82" s="283">
        <v>1.0</v>
      </c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0.051</v>
      </c>
      <c r="N82" s="191"/>
      <c r="O82" s="247"/>
    </row>
    <row r="83">
      <c r="A83" s="12" t="s">
        <v>88</v>
      </c>
      <c r="B83" s="12" t="s">
        <v>83</v>
      </c>
      <c r="C83" s="271" t="str">
        <f>'3rdMAY'!E83</f>
        <v/>
      </c>
      <c r="D83" s="191"/>
      <c r="E83" s="247"/>
      <c r="F83" s="235" t="s">
        <v>25</v>
      </c>
      <c r="G83" s="235"/>
      <c r="H83" s="272">
        <f>'3rdMAY'!J83</f>
        <v>1.095</v>
      </c>
      <c r="I83" s="281">
        <v>1.0</v>
      </c>
      <c r="J83" s="282">
        <v>0.628</v>
      </c>
      <c r="K83" s="283">
        <v>1.0</v>
      </c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0.467</v>
      </c>
      <c r="N83" s="191"/>
      <c r="O83" s="247"/>
    </row>
    <row r="84">
      <c r="A84" s="12" t="s">
        <v>89</v>
      </c>
      <c r="B84" s="12" t="s">
        <v>83</v>
      </c>
      <c r="C84" s="271">
        <f>'3rdMAY'!E84</f>
        <v>1</v>
      </c>
      <c r="D84" s="227">
        <v>1.0</v>
      </c>
      <c r="E84" s="280"/>
      <c r="F84" s="235" t="s">
        <v>25</v>
      </c>
      <c r="G84" s="235"/>
      <c r="H84" s="272" t="str">
        <f>'3rdMAY'!J84</f>
        <v/>
      </c>
      <c r="I84" s="281">
        <v>1.0</v>
      </c>
      <c r="J84" s="284"/>
      <c r="K84" s="283">
        <v>1.0</v>
      </c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1.02</v>
      </c>
      <c r="N84" s="191"/>
      <c r="O84" s="247"/>
    </row>
    <row r="85">
      <c r="A85" s="12" t="s">
        <v>90</v>
      </c>
      <c r="B85" s="12" t="s">
        <v>24</v>
      </c>
      <c r="C85" s="271" t="str">
        <f>'3rdMAY'!E85</f>
        <v/>
      </c>
      <c r="D85" s="191"/>
      <c r="E85" s="280"/>
      <c r="F85" s="235" t="s">
        <v>25</v>
      </c>
      <c r="G85" s="235"/>
      <c r="H85" s="272">
        <f>'3rdMAY'!J85</f>
        <v>0.326</v>
      </c>
      <c r="I85" s="281">
        <v>1.0</v>
      </c>
      <c r="J85" s="282">
        <v>0.268</v>
      </c>
      <c r="K85" s="283">
        <v>1.0</v>
      </c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0.058</v>
      </c>
      <c r="N85" s="191"/>
      <c r="O85" s="247"/>
    </row>
    <row r="86">
      <c r="A86" s="12" t="s">
        <v>91</v>
      </c>
      <c r="B86" s="12" t="s">
        <v>56</v>
      </c>
      <c r="C86" s="271" t="str">
        <f>'3rdMAY'!E86</f>
        <v/>
      </c>
      <c r="D86" s="227"/>
      <c r="E86" s="280"/>
      <c r="F86" s="235" t="s">
        <v>25</v>
      </c>
      <c r="G86" s="235"/>
      <c r="H86" s="272">
        <f>'3rdMAY'!J86</f>
        <v>3.5</v>
      </c>
      <c r="I86" s="281">
        <v>1.0</v>
      </c>
      <c r="J86" s="282">
        <v>2.896</v>
      </c>
      <c r="K86" s="283">
        <v>1.0</v>
      </c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0.604</v>
      </c>
      <c r="N86" s="191"/>
      <c r="O86" s="247"/>
    </row>
    <row r="87">
      <c r="A87" s="12" t="s">
        <v>92</v>
      </c>
      <c r="B87" s="12" t="s">
        <v>83</v>
      </c>
      <c r="C87" s="271" t="str">
        <f>'3rdMAY'!E87</f>
        <v/>
      </c>
      <c r="D87" s="227">
        <v>1.0</v>
      </c>
      <c r="E87" s="247"/>
      <c r="F87" s="235" t="s">
        <v>25</v>
      </c>
      <c r="G87" s="235"/>
      <c r="H87" s="272">
        <f>'3rdMAY'!J87</f>
        <v>0.05</v>
      </c>
      <c r="I87" s="281">
        <v>1.0</v>
      </c>
      <c r="J87" s="284"/>
      <c r="K87" s="283">
        <v>1.0</v>
      </c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0.1</v>
      </c>
      <c r="N87" s="191"/>
      <c r="O87" s="247"/>
    </row>
    <row r="88">
      <c r="A88" s="12" t="s">
        <v>93</v>
      </c>
      <c r="B88" s="12" t="s">
        <v>83</v>
      </c>
      <c r="C88" s="271" t="str">
        <f>'3rdMAY'!E88</f>
        <v/>
      </c>
      <c r="D88" s="191"/>
      <c r="E88" s="247"/>
      <c r="F88" s="235" t="s">
        <v>25</v>
      </c>
      <c r="G88" s="235"/>
      <c r="H88" s="272">
        <f>'3rdMAY'!J88</f>
        <v>0.825</v>
      </c>
      <c r="I88" s="281">
        <v>1.0</v>
      </c>
      <c r="J88" s="282">
        <v>0.82</v>
      </c>
      <c r="K88" s="283">
        <v>1.0</v>
      </c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0.005</v>
      </c>
      <c r="N88" s="191"/>
      <c r="O88" s="247"/>
    </row>
    <row r="89">
      <c r="A89" s="12" t="s">
        <v>95</v>
      </c>
      <c r="B89" s="12" t="s">
        <v>83</v>
      </c>
      <c r="C89" s="271" t="str">
        <f>'3rdMAY'!E89</f>
        <v/>
      </c>
      <c r="D89" s="191"/>
      <c r="E89" s="247"/>
      <c r="F89" s="235" t="s">
        <v>25</v>
      </c>
      <c r="G89" s="235"/>
      <c r="H89" s="272">
        <f>'3rdMAY'!J89</f>
        <v>1.145</v>
      </c>
      <c r="I89" s="281">
        <v>1.0</v>
      </c>
      <c r="J89" s="282">
        <v>1.09</v>
      </c>
      <c r="K89" s="283">
        <v>1.0</v>
      </c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0.055</v>
      </c>
      <c r="N89" s="191"/>
      <c r="O89" s="247"/>
    </row>
    <row r="90">
      <c r="A90" s="10" t="s">
        <v>96</v>
      </c>
      <c r="B90" s="11"/>
      <c r="C90" s="271" t="str">
        <f>'3rdMAY'!E90</f>
        <v/>
      </c>
      <c r="D90" s="191"/>
      <c r="E90" s="247"/>
      <c r="F90" s="235"/>
      <c r="G90" s="235"/>
      <c r="H90" s="272" t="str">
        <f>'3rdMAY'!J90</f>
        <v/>
      </c>
      <c r="I90" s="281">
        <v>1.0</v>
      </c>
      <c r="J90" s="284"/>
      <c r="K90" s="283">
        <v>1.0</v>
      </c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'3rdMAY'!E91</f>
        <v/>
      </c>
      <c r="D91" s="191"/>
      <c r="E91" s="247"/>
      <c r="F91" s="235" t="s">
        <v>35</v>
      </c>
      <c r="G91" s="235"/>
      <c r="H91" s="272"/>
      <c r="I91" s="281">
        <v>1.0</v>
      </c>
      <c r="J91" s="284"/>
      <c r="K91" s="283">
        <v>1.0</v>
      </c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'3rdMAY'!E92</f>
        <v/>
      </c>
      <c r="D92" s="191"/>
      <c r="E92" s="247"/>
      <c r="F92" s="235" t="s">
        <v>35</v>
      </c>
      <c r="G92" s="235"/>
      <c r="H92" s="272">
        <f>'3rdMAY'!J92</f>
        <v>0.83</v>
      </c>
      <c r="I92" s="281">
        <v>1.0</v>
      </c>
      <c r="J92" s="282">
        <f>0.28+0.47</f>
        <v>0.75</v>
      </c>
      <c r="K92" s="283">
        <v>1.0</v>
      </c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0.08</v>
      </c>
      <c r="N92" s="191"/>
      <c r="O92" s="247"/>
    </row>
    <row r="93">
      <c r="A93" s="12" t="s">
        <v>100</v>
      </c>
      <c r="B93" s="12" t="s">
        <v>40</v>
      </c>
      <c r="C93" s="271" t="str">
        <f>'3rdMAY'!E93</f>
        <v/>
      </c>
      <c r="D93" s="191"/>
      <c r="E93" s="247"/>
      <c r="F93" s="235" t="s">
        <v>35</v>
      </c>
      <c r="G93" s="235"/>
      <c r="H93" s="272">
        <f>'3rdMAY'!J93</f>
        <v>0.351</v>
      </c>
      <c r="I93" s="281">
        <v>1.0</v>
      </c>
      <c r="J93" s="282">
        <v>0.302</v>
      </c>
      <c r="K93" s="283">
        <v>1.0</v>
      </c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0.049</v>
      </c>
      <c r="N93" s="191"/>
      <c r="O93" s="247"/>
    </row>
    <row r="94">
      <c r="A94" s="12" t="s">
        <v>101</v>
      </c>
      <c r="B94" s="12" t="s">
        <v>40</v>
      </c>
      <c r="C94" s="271" t="str">
        <f>'3rdMAY'!E94</f>
        <v/>
      </c>
      <c r="D94" s="191"/>
      <c r="E94" s="247"/>
      <c r="F94" s="235" t="s">
        <v>35</v>
      </c>
      <c r="G94" s="235"/>
      <c r="H94" s="272" t="str">
        <f>'3rdMAY'!J94</f>
        <v/>
      </c>
      <c r="I94" s="281">
        <v>1.0</v>
      </c>
      <c r="J94" s="284"/>
      <c r="K94" s="283">
        <v>1.0</v>
      </c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'3rdMAY'!E95</f>
        <v/>
      </c>
      <c r="D95" s="191"/>
      <c r="E95" s="247"/>
      <c r="F95" s="235" t="s">
        <v>35</v>
      </c>
      <c r="G95" s="235"/>
      <c r="H95" s="272">
        <f>'3rdMAY'!J95</f>
        <v>0.247</v>
      </c>
      <c r="I95" s="281">
        <v>1.0</v>
      </c>
      <c r="J95" s="282">
        <v>0.247</v>
      </c>
      <c r="K95" s="283">
        <v>1.0</v>
      </c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</v>
      </c>
      <c r="N95" s="191"/>
      <c r="O95" s="247"/>
    </row>
    <row r="96">
      <c r="A96" s="12" t="s">
        <v>103</v>
      </c>
      <c r="B96" s="12" t="s">
        <v>40</v>
      </c>
      <c r="C96" s="271" t="str">
        <f>'3rdMAY'!E96</f>
        <v/>
      </c>
      <c r="D96" s="191"/>
      <c r="E96" s="247"/>
      <c r="F96" s="235" t="s">
        <v>35</v>
      </c>
      <c r="G96" s="285">
        <v>0.538</v>
      </c>
      <c r="H96" s="272" t="str">
        <f>'3rdMAY'!J96</f>
        <v/>
      </c>
      <c r="I96" s="281">
        <v>1.0</v>
      </c>
      <c r="J96" s="282">
        <v>0.538</v>
      </c>
      <c r="K96" s="283">
        <v>1.0</v>
      </c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0.004</v>
      </c>
      <c r="N96" s="191"/>
      <c r="O96" s="247"/>
    </row>
    <row r="97">
      <c r="A97" s="12" t="s">
        <v>104</v>
      </c>
      <c r="B97" s="12" t="s">
        <v>40</v>
      </c>
      <c r="C97" s="271" t="str">
        <f>'3rdMAY'!E97</f>
        <v/>
      </c>
      <c r="D97" s="191"/>
      <c r="E97" s="247"/>
      <c r="F97" s="235" t="s">
        <v>35</v>
      </c>
      <c r="G97" s="235"/>
      <c r="H97" s="272" t="str">
        <f>'3rdMAY'!J97</f>
        <v/>
      </c>
      <c r="I97" s="281">
        <v>1.0</v>
      </c>
      <c r="J97" s="284"/>
      <c r="K97" s="283">
        <v>1.0</v>
      </c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'3rdMAY'!E98</f>
        <v/>
      </c>
      <c r="D98" s="191"/>
      <c r="E98" s="247"/>
      <c r="F98" s="235" t="s">
        <v>35</v>
      </c>
      <c r="G98" s="235"/>
      <c r="H98" s="272">
        <f>'3rdMAY'!J98</f>
        <v>0.585</v>
      </c>
      <c r="I98" s="281">
        <v>1.0</v>
      </c>
      <c r="J98" s="282">
        <v>0.381</v>
      </c>
      <c r="K98" s="283">
        <v>1.0</v>
      </c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0.204</v>
      </c>
      <c r="N98" s="191"/>
      <c r="O98" s="247"/>
    </row>
    <row r="99">
      <c r="A99" s="12" t="s">
        <v>108</v>
      </c>
      <c r="B99" s="12" t="s">
        <v>40</v>
      </c>
      <c r="C99" s="271" t="str">
        <f>'3rdMAY'!E99</f>
        <v/>
      </c>
      <c r="D99" s="191"/>
      <c r="E99" s="247"/>
      <c r="F99" s="235" t="s">
        <v>35</v>
      </c>
      <c r="G99" s="235"/>
      <c r="H99" s="272">
        <f>'3rdMAY'!J99</f>
        <v>0.524</v>
      </c>
      <c r="I99" s="281">
        <v>1.0</v>
      </c>
      <c r="J99" s="282">
        <v>0.524</v>
      </c>
      <c r="K99" s="283">
        <v>1.0</v>
      </c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</v>
      </c>
      <c r="N99" s="191"/>
      <c r="O99" s="247"/>
    </row>
    <row r="100">
      <c r="A100" s="12" t="s">
        <v>109</v>
      </c>
      <c r="B100" s="12" t="s">
        <v>40</v>
      </c>
      <c r="C100" s="271" t="str">
        <f>'3rdMAY'!E100</f>
        <v/>
      </c>
      <c r="D100" s="191"/>
      <c r="E100" s="247"/>
      <c r="F100" s="235" t="s">
        <v>35</v>
      </c>
      <c r="G100" s="235"/>
      <c r="H100" s="272">
        <f>'3rdMAY'!J100</f>
        <v>0.419</v>
      </c>
      <c r="I100" s="281">
        <v>1.0</v>
      </c>
      <c r="J100" s="282">
        <v>0.415</v>
      </c>
      <c r="K100" s="283">
        <v>1.0</v>
      </c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0.004</v>
      </c>
      <c r="N100" s="191"/>
      <c r="O100" s="247"/>
    </row>
    <row r="101">
      <c r="A101" s="12" t="s">
        <v>110</v>
      </c>
      <c r="B101" s="12" t="s">
        <v>40</v>
      </c>
      <c r="C101" s="271" t="str">
        <f>'3rdMAY'!E101</f>
        <v/>
      </c>
      <c r="D101" s="191"/>
      <c r="E101" s="247"/>
      <c r="F101" s="235" t="s">
        <v>35</v>
      </c>
      <c r="G101" s="235"/>
      <c r="H101" s="272">
        <f>'3rdMAY'!J101</f>
        <v>0.267</v>
      </c>
      <c r="I101" s="281">
        <v>1.0</v>
      </c>
      <c r="J101" s="282">
        <v>0.263</v>
      </c>
      <c r="K101" s="283">
        <v>1.0</v>
      </c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0.004</v>
      </c>
      <c r="N101" s="191"/>
      <c r="O101" s="247"/>
    </row>
    <row r="102">
      <c r="A102" s="12" t="s">
        <v>111</v>
      </c>
      <c r="B102" s="12" t="s">
        <v>40</v>
      </c>
      <c r="C102" s="271" t="str">
        <f>'3rdMAY'!E102</f>
        <v/>
      </c>
      <c r="D102" s="191"/>
      <c r="E102" s="247"/>
      <c r="F102" s="235" t="s">
        <v>35</v>
      </c>
      <c r="G102" s="235"/>
      <c r="H102" s="272" t="str">
        <f>'3rdMAY'!J102</f>
        <v/>
      </c>
      <c r="I102" s="281">
        <v>1.0</v>
      </c>
      <c r="J102" s="284"/>
      <c r="K102" s="283">
        <v>1.0</v>
      </c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 t="str">
        <f>'3rdMAY'!E103</f>
        <v/>
      </c>
      <c r="D103" s="227">
        <v>1.0</v>
      </c>
      <c r="E103" s="280">
        <v>1.0</v>
      </c>
      <c r="F103" s="235" t="s">
        <v>35</v>
      </c>
      <c r="G103" s="235"/>
      <c r="H103" s="272">
        <f>'3rdMAY'!J103</f>
        <v>0.187</v>
      </c>
      <c r="I103" s="281">
        <v>1.0</v>
      </c>
      <c r="J103" s="282">
        <v>0.129</v>
      </c>
      <c r="K103" s="283">
        <v>1.0</v>
      </c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0.058</v>
      </c>
      <c r="N103" s="191"/>
      <c r="O103" s="247"/>
    </row>
    <row r="104">
      <c r="A104" s="12" t="s">
        <v>114</v>
      </c>
      <c r="B104" s="12" t="s">
        <v>40</v>
      </c>
      <c r="C104" s="271" t="str">
        <f>'3rdMAY'!E104</f>
        <v/>
      </c>
      <c r="D104" s="191"/>
      <c r="E104" s="247"/>
      <c r="F104" s="235" t="s">
        <v>35</v>
      </c>
      <c r="G104" s="285"/>
      <c r="H104" s="272">
        <f>'3rdMAY'!J104</f>
        <v>0.469</v>
      </c>
      <c r="I104" s="281">
        <v>1.0</v>
      </c>
      <c r="J104" s="282">
        <v>0.463</v>
      </c>
      <c r="K104" s="283">
        <v>1.0</v>
      </c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0.006</v>
      </c>
      <c r="N104" s="191"/>
      <c r="O104" s="247"/>
    </row>
    <row r="105">
      <c r="A105" s="12" t="s">
        <v>116</v>
      </c>
      <c r="B105" s="12" t="s">
        <v>40</v>
      </c>
      <c r="C105" s="271" t="str">
        <f>'3rdMAY'!E105</f>
        <v/>
      </c>
      <c r="D105" s="191"/>
      <c r="E105" s="247"/>
      <c r="F105" s="235" t="s">
        <v>35</v>
      </c>
      <c r="G105" s="235"/>
      <c r="H105" s="272" t="str">
        <f>'3rdMAY'!J105</f>
        <v/>
      </c>
      <c r="I105" s="281">
        <v>1.0</v>
      </c>
      <c r="J105" s="284"/>
      <c r="K105" s="283">
        <v>1.0</v>
      </c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'3rdMAY'!E106</f>
        <v/>
      </c>
      <c r="D106" s="191"/>
      <c r="E106" s="247"/>
      <c r="F106" s="235" t="s">
        <v>35</v>
      </c>
      <c r="G106" s="285"/>
      <c r="H106" s="272">
        <v>0.353</v>
      </c>
      <c r="I106" s="281">
        <v>1.0</v>
      </c>
      <c r="J106" s="282">
        <v>0.32</v>
      </c>
      <c r="K106" s="283">
        <v>1.0</v>
      </c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0.033</v>
      </c>
      <c r="N106" s="191"/>
      <c r="O106" s="247"/>
    </row>
    <row r="107">
      <c r="A107" s="12" t="s">
        <v>118</v>
      </c>
      <c r="B107" s="12" t="s">
        <v>40</v>
      </c>
      <c r="C107" s="271" t="str">
        <f>'3rdMAY'!E107</f>
        <v/>
      </c>
      <c r="D107" s="191"/>
      <c r="E107" s="247"/>
      <c r="F107" s="235" t="s">
        <v>35</v>
      </c>
      <c r="G107" s="235"/>
      <c r="H107" s="272">
        <f>'3rdMAY'!J107</f>
        <v>0.2</v>
      </c>
      <c r="I107" s="281">
        <v>1.0</v>
      </c>
      <c r="J107" s="282">
        <v>0.16</v>
      </c>
      <c r="K107" s="283">
        <v>1.0</v>
      </c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0.04</v>
      </c>
      <c r="N107" s="191"/>
      <c r="O107" s="247"/>
    </row>
    <row r="108">
      <c r="A108" s="12" t="s">
        <v>119</v>
      </c>
      <c r="B108" s="12" t="s">
        <v>40</v>
      </c>
      <c r="C108" s="271" t="str">
        <f>'3rdMAY'!E108</f>
        <v/>
      </c>
      <c r="D108" s="191"/>
      <c r="E108" s="247"/>
      <c r="F108" s="235" t="s">
        <v>35</v>
      </c>
      <c r="G108" s="285">
        <v>0.005</v>
      </c>
      <c r="H108" s="272">
        <f>'3rdMAY'!J108</f>
        <v>0.748</v>
      </c>
      <c r="I108" s="281">
        <v>1.0</v>
      </c>
      <c r="J108" s="284">
        <f>0.246+0.507</f>
        <v>0.753</v>
      </c>
      <c r="K108" s="283">
        <v>1.0</v>
      </c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</v>
      </c>
      <c r="N108" s="191"/>
      <c r="O108" s="247"/>
    </row>
    <row r="109">
      <c r="A109" s="12" t="s">
        <v>120</v>
      </c>
      <c r="B109" s="12" t="s">
        <v>40</v>
      </c>
      <c r="C109" s="271" t="str">
        <f>'3rdMAY'!E109</f>
        <v/>
      </c>
      <c r="D109" s="191"/>
      <c r="E109" s="247"/>
      <c r="F109" s="235" t="s">
        <v>35</v>
      </c>
      <c r="G109" s="285">
        <v>0.003</v>
      </c>
      <c r="H109" s="272">
        <f>'3rdMAY'!J109</f>
        <v>0.139</v>
      </c>
      <c r="I109" s="281">
        <v>1.0</v>
      </c>
      <c r="J109" s="282">
        <v>0.142</v>
      </c>
      <c r="K109" s="283">
        <v>1.0</v>
      </c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</v>
      </c>
      <c r="N109" s="191"/>
      <c r="O109" s="247"/>
    </row>
    <row r="110">
      <c r="A110" s="12" t="s">
        <v>121</v>
      </c>
      <c r="B110" s="12" t="s">
        <v>40</v>
      </c>
      <c r="C110" s="271" t="str">
        <f>'3rdMAY'!E110</f>
        <v/>
      </c>
      <c r="D110" s="191"/>
      <c r="E110" s="247"/>
      <c r="F110" s="235" t="s">
        <v>35</v>
      </c>
      <c r="G110" s="235"/>
      <c r="H110" s="272">
        <f>'3rdMAY'!J110</f>
        <v>0.313</v>
      </c>
      <c r="I110" s="281">
        <v>1.0</v>
      </c>
      <c r="J110" s="282">
        <v>0.226</v>
      </c>
      <c r="K110" s="283">
        <v>1.0</v>
      </c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0.087</v>
      </c>
      <c r="N110" s="191"/>
      <c r="O110" s="247"/>
    </row>
    <row r="111">
      <c r="A111" s="12" t="s">
        <v>122</v>
      </c>
      <c r="B111" s="12" t="s">
        <v>40</v>
      </c>
      <c r="C111" s="271" t="str">
        <f>'3rdMAY'!E111</f>
        <v/>
      </c>
      <c r="D111" s="191"/>
      <c r="E111" s="247"/>
      <c r="F111" s="235" t="s">
        <v>35</v>
      </c>
      <c r="G111" s="235"/>
      <c r="H111" s="272" t="str">
        <f>'3rdMAY'!J111</f>
        <v/>
      </c>
      <c r="I111" s="281">
        <v>1.0</v>
      </c>
      <c r="J111" s="284"/>
      <c r="K111" s="283">
        <v>1.0</v>
      </c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'3rdMAY'!E112</f>
        <v/>
      </c>
      <c r="D112" s="191"/>
      <c r="E112" s="247"/>
      <c r="F112" s="235" t="s">
        <v>35</v>
      </c>
      <c r="G112" s="235"/>
      <c r="H112" s="272">
        <f>'3rdMAY'!J112</f>
        <v>0.067</v>
      </c>
      <c r="I112" s="281">
        <v>1.0</v>
      </c>
      <c r="J112" s="282">
        <v>0.064</v>
      </c>
      <c r="K112" s="283">
        <v>1.0</v>
      </c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0.003</v>
      </c>
      <c r="N112" s="191"/>
      <c r="O112" s="247"/>
    </row>
    <row r="113">
      <c r="A113" s="12" t="s">
        <v>124</v>
      </c>
      <c r="B113" s="12" t="s">
        <v>40</v>
      </c>
      <c r="C113" s="271" t="str">
        <f>'3rdMAY'!E113</f>
        <v/>
      </c>
      <c r="D113" s="191"/>
      <c r="E113" s="247"/>
      <c r="F113" s="235" t="s">
        <v>35</v>
      </c>
      <c r="G113" s="235"/>
      <c r="H113" s="272">
        <f>'3rdMAY'!J113</f>
        <v>0.123</v>
      </c>
      <c r="I113" s="281">
        <v>1.0</v>
      </c>
      <c r="J113" s="282">
        <v>0.123</v>
      </c>
      <c r="K113" s="283">
        <v>1.0</v>
      </c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</v>
      </c>
      <c r="N113" s="191"/>
      <c r="O113" s="247"/>
    </row>
    <row r="114">
      <c r="A114" s="12" t="s">
        <v>125</v>
      </c>
      <c r="B114" s="12" t="s">
        <v>40</v>
      </c>
      <c r="C114" s="271" t="str">
        <f>'3rdMAY'!E114</f>
        <v/>
      </c>
      <c r="D114" s="191"/>
      <c r="E114" s="247"/>
      <c r="F114" s="235" t="s">
        <v>35</v>
      </c>
      <c r="G114" s="235"/>
      <c r="H114" s="272" t="str">
        <f>'3rdMAY'!J114</f>
        <v/>
      </c>
      <c r="I114" s="281">
        <v>1.0</v>
      </c>
      <c r="J114" s="284"/>
      <c r="K114" s="283">
        <v>1.0</v>
      </c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'3rdMAY'!E115</f>
        <v/>
      </c>
      <c r="D115" s="191"/>
      <c r="E115" s="247"/>
      <c r="F115" s="235" t="s">
        <v>35</v>
      </c>
      <c r="G115" s="235"/>
      <c r="H115" s="272">
        <f>'3rdMAY'!J115</f>
        <v>0.95</v>
      </c>
      <c r="I115" s="281">
        <v>1.0</v>
      </c>
      <c r="J115" s="282">
        <f>0.382+0.507</f>
        <v>0.889</v>
      </c>
      <c r="K115" s="283">
        <v>1.0</v>
      </c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0.061</v>
      </c>
      <c r="N115" s="191"/>
      <c r="O115" s="247"/>
    </row>
    <row r="116">
      <c r="A116" s="12" t="s">
        <v>127</v>
      </c>
      <c r="B116" s="12" t="s">
        <v>40</v>
      </c>
      <c r="C116" s="271" t="str">
        <f>'3rdMAY'!E116</f>
        <v/>
      </c>
      <c r="D116" s="191"/>
      <c r="E116" s="247"/>
      <c r="F116" s="235" t="s">
        <v>35</v>
      </c>
      <c r="G116" s="235"/>
      <c r="H116" s="272">
        <f>'3rdMAY'!J116</f>
        <v>0.082</v>
      </c>
      <c r="I116" s="281">
        <v>1.0</v>
      </c>
      <c r="J116" s="282">
        <v>0.082</v>
      </c>
      <c r="K116" s="283">
        <v>1.0</v>
      </c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</v>
      </c>
      <c r="N116" s="191"/>
      <c r="O116" s="247"/>
    </row>
    <row r="117">
      <c r="A117" s="12" t="s">
        <v>128</v>
      </c>
      <c r="B117" s="12" t="s">
        <v>40</v>
      </c>
      <c r="C117" s="271" t="str">
        <f>'3rdMAY'!E117</f>
        <v/>
      </c>
      <c r="D117" s="191"/>
      <c r="E117" s="247"/>
      <c r="F117" s="235" t="s">
        <v>35</v>
      </c>
      <c r="G117" s="285">
        <v>0.043</v>
      </c>
      <c r="H117" s="272" t="str">
        <f>'3rdMAY'!J117</f>
        <v/>
      </c>
      <c r="I117" s="281">
        <v>1.0</v>
      </c>
      <c r="J117" s="282">
        <v>0.043</v>
      </c>
      <c r="K117" s="283">
        <v>1.0</v>
      </c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0.013</v>
      </c>
      <c r="N117" s="191"/>
      <c r="O117" s="247"/>
    </row>
    <row r="118">
      <c r="A118" s="12" t="s">
        <v>129</v>
      </c>
      <c r="B118" s="12" t="s">
        <v>40</v>
      </c>
      <c r="C118" s="271" t="str">
        <f>'3rdMAY'!E118</f>
        <v/>
      </c>
      <c r="D118" s="191"/>
      <c r="E118" s="247"/>
      <c r="F118" s="235" t="s">
        <v>35</v>
      </c>
      <c r="G118" s="235"/>
      <c r="H118" s="272">
        <f>'3rdMAY'!J118</f>
        <v>1</v>
      </c>
      <c r="I118" s="281">
        <v>1.0</v>
      </c>
      <c r="J118" s="282">
        <v>1.0</v>
      </c>
      <c r="K118" s="283">
        <v>1.0</v>
      </c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71" t="str">
        <f>'3rdMAY'!E119</f>
        <v/>
      </c>
      <c r="D119" s="191"/>
      <c r="E119" s="247"/>
      <c r="F119" s="235" t="s">
        <v>35</v>
      </c>
      <c r="G119" s="235"/>
      <c r="H119" s="272">
        <f>'3rdMAY'!J119</f>
        <v>0.255</v>
      </c>
      <c r="I119" s="281">
        <v>1.0</v>
      </c>
      <c r="J119" s="282"/>
      <c r="K119" s="283">
        <v>1.0</v>
      </c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0.244</v>
      </c>
      <c r="N119" s="191"/>
      <c r="O119" s="247"/>
    </row>
    <row r="120">
      <c r="A120" s="12" t="s">
        <v>131</v>
      </c>
      <c r="B120" s="12" t="s">
        <v>40</v>
      </c>
      <c r="C120" s="271" t="str">
        <f>'3rdMAY'!E120</f>
        <v/>
      </c>
      <c r="D120" s="191"/>
      <c r="E120" s="247"/>
      <c r="F120" s="235" t="s">
        <v>35</v>
      </c>
      <c r="G120" s="235"/>
      <c r="H120" s="272">
        <f>'3rdMAY'!J120</f>
        <v>0.084</v>
      </c>
      <c r="I120" s="281">
        <v>1.0</v>
      </c>
      <c r="J120" s="282">
        <v>0.083</v>
      </c>
      <c r="K120" s="283">
        <v>1.0</v>
      </c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0.001</v>
      </c>
      <c r="N120" s="191"/>
      <c r="O120" s="247"/>
    </row>
    <row r="121">
      <c r="A121" s="12" t="s">
        <v>132</v>
      </c>
      <c r="B121" s="12" t="s">
        <v>40</v>
      </c>
      <c r="C121" s="271" t="str">
        <f>'3rdMAY'!E121</f>
        <v/>
      </c>
      <c r="D121" s="191"/>
      <c r="E121" s="247"/>
      <c r="F121" s="235" t="s">
        <v>35</v>
      </c>
      <c r="G121" s="235"/>
      <c r="H121" s="272">
        <f>'3rdMAY'!J121</f>
        <v>0.124</v>
      </c>
      <c r="I121" s="281">
        <v>1.0</v>
      </c>
      <c r="J121" s="282">
        <v>0.075</v>
      </c>
      <c r="K121" s="283">
        <v>1.0</v>
      </c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0.049</v>
      </c>
      <c r="N121" s="191"/>
      <c r="O121" s="247"/>
    </row>
    <row r="122">
      <c r="A122" s="12" t="s">
        <v>133</v>
      </c>
      <c r="B122" s="12" t="s">
        <v>40</v>
      </c>
      <c r="C122" s="271" t="str">
        <f>'3rdMAY'!E122</f>
        <v/>
      </c>
      <c r="D122" s="191"/>
      <c r="E122" s="247"/>
      <c r="F122" s="235" t="s">
        <v>35</v>
      </c>
      <c r="G122" s="235"/>
      <c r="H122" s="272">
        <f>'3rdMAY'!J122</f>
        <v>0.01</v>
      </c>
      <c r="I122" s="281">
        <v>1.0</v>
      </c>
      <c r="J122" s="282">
        <v>0.01</v>
      </c>
      <c r="K122" s="283">
        <v>1.0</v>
      </c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</v>
      </c>
      <c r="N122" s="191"/>
      <c r="O122" s="247"/>
    </row>
    <row r="123">
      <c r="A123" s="12" t="s">
        <v>134</v>
      </c>
      <c r="B123" s="12" t="s">
        <v>40</v>
      </c>
      <c r="C123" s="271" t="str">
        <f>'3rdMAY'!E123</f>
        <v/>
      </c>
      <c r="D123" s="191"/>
      <c r="E123" s="247"/>
      <c r="F123" s="235" t="s">
        <v>35</v>
      </c>
      <c r="G123" s="235"/>
      <c r="H123" s="272" t="str">
        <f>'3rdMAY'!J123</f>
        <v/>
      </c>
      <c r="I123" s="281">
        <v>1.0</v>
      </c>
      <c r="J123" s="284"/>
      <c r="K123" s="283">
        <v>1.0</v>
      </c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'3rdMAY'!E124</f>
        <v/>
      </c>
      <c r="D124" s="191"/>
      <c r="E124" s="247"/>
      <c r="F124" s="235" t="s">
        <v>35</v>
      </c>
      <c r="G124" s="235"/>
      <c r="H124" s="272" t="str">
        <f>'3rdMAY'!J124</f>
        <v/>
      </c>
      <c r="I124" s="281">
        <v>1.0</v>
      </c>
      <c r="J124" s="284"/>
      <c r="K124" s="283">
        <v>1.0</v>
      </c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'3rdMAY'!E125</f>
        <v/>
      </c>
      <c r="D125" s="227">
        <v>3.0</v>
      </c>
      <c r="E125" s="247"/>
      <c r="F125" s="285" t="s">
        <v>35</v>
      </c>
      <c r="G125" s="235"/>
      <c r="H125" s="272" t="str">
        <f>'3rdMAY'!J125</f>
        <v/>
      </c>
      <c r="I125" s="281">
        <v>1.0</v>
      </c>
      <c r="J125" s="284"/>
      <c r="K125" s="283">
        <v>1.0</v>
      </c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1.44</v>
      </c>
      <c r="N125" s="191"/>
      <c r="O125" s="247"/>
    </row>
    <row r="126">
      <c r="A126" s="21" t="s">
        <v>143</v>
      </c>
      <c r="B126" s="15" t="s">
        <v>40</v>
      </c>
      <c r="C126" s="271" t="str">
        <f>'3rdMAY'!E126</f>
        <v/>
      </c>
      <c r="D126" s="191"/>
      <c r="E126" s="247"/>
      <c r="F126" s="285" t="s">
        <v>35</v>
      </c>
      <c r="G126" s="235"/>
      <c r="H126" s="272">
        <f>'3rdMAY'!J126</f>
        <v>0.237</v>
      </c>
      <c r="I126" s="281">
        <v>1.0</v>
      </c>
      <c r="J126" s="282">
        <v>0.237</v>
      </c>
      <c r="K126" s="283">
        <v>1.0</v>
      </c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</v>
      </c>
      <c r="N126" s="191"/>
      <c r="O126" s="247"/>
    </row>
    <row r="127">
      <c r="A127" s="10" t="s">
        <v>146</v>
      </c>
      <c r="B127" s="11"/>
      <c r="C127" s="271" t="str">
        <f>'3rdMAY'!E127</f>
        <v/>
      </c>
      <c r="D127" s="191"/>
      <c r="E127" s="247"/>
      <c r="F127" s="235"/>
      <c r="G127" s="235"/>
      <c r="H127" s="272" t="str">
        <f>'3rdMAY'!J127</f>
        <v/>
      </c>
      <c r="I127" s="281">
        <v>1.0</v>
      </c>
      <c r="J127" s="284"/>
      <c r="K127" s="283">
        <v>1.0</v>
      </c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'3rdMAY'!E128</f>
        <v/>
      </c>
      <c r="D128" s="191"/>
      <c r="E128" s="247"/>
      <c r="F128" s="235" t="s">
        <v>35</v>
      </c>
      <c r="G128" s="235"/>
      <c r="H128" s="272" t="str">
        <f>'3rdMAY'!J128</f>
        <v/>
      </c>
      <c r="I128" s="281">
        <v>1.0</v>
      </c>
      <c r="J128" s="284"/>
      <c r="K128" s="283">
        <v>1.0</v>
      </c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'3rdMAY'!E129</f>
        <v/>
      </c>
      <c r="D129" s="191"/>
      <c r="E129" s="247"/>
      <c r="F129" s="235" t="s">
        <v>35</v>
      </c>
      <c r="G129" s="285">
        <v>0.655</v>
      </c>
      <c r="H129" s="272" t="str">
        <f>'3rdMAY'!J129</f>
        <v/>
      </c>
      <c r="I129" s="281">
        <v>1.0</v>
      </c>
      <c r="J129" s="282">
        <v>0.655</v>
      </c>
      <c r="K129" s="283">
        <v>1.0</v>
      </c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</v>
      </c>
      <c r="N129" s="191"/>
      <c r="O129" s="247"/>
    </row>
    <row r="130">
      <c r="A130" s="12" t="s">
        <v>149</v>
      </c>
      <c r="B130" s="12" t="s">
        <v>40</v>
      </c>
      <c r="C130" s="271" t="str">
        <f>'3rdMAY'!E130</f>
        <v/>
      </c>
      <c r="D130" s="191"/>
      <c r="E130" s="247"/>
      <c r="F130" s="235" t="s">
        <v>35</v>
      </c>
      <c r="G130" s="235"/>
      <c r="H130" s="272">
        <f>'3rdMAY'!J130</f>
        <v>0.14</v>
      </c>
      <c r="I130" s="281">
        <v>1.0</v>
      </c>
      <c r="J130" s="282">
        <v>0.14</v>
      </c>
      <c r="K130" s="283">
        <v>1.0</v>
      </c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</v>
      </c>
      <c r="N130" s="191"/>
      <c r="O130" s="247"/>
    </row>
    <row r="131">
      <c r="A131" s="12" t="s">
        <v>150</v>
      </c>
      <c r="B131" s="12" t="s">
        <v>24</v>
      </c>
      <c r="C131" s="271" t="str">
        <f>'3rdMAY'!E131</f>
        <v/>
      </c>
      <c r="D131" s="191"/>
      <c r="E131" s="247"/>
      <c r="F131" s="235" t="s">
        <v>25</v>
      </c>
      <c r="G131" s="235"/>
      <c r="H131" s="272" t="str">
        <f>'3rdMAY'!J131</f>
        <v/>
      </c>
      <c r="I131" s="281">
        <v>1.0</v>
      </c>
      <c r="J131" s="284"/>
      <c r="K131" s="283">
        <v>1.0</v>
      </c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'3rdMAY'!E132</f>
        <v/>
      </c>
      <c r="D132" s="191"/>
      <c r="E132" s="247"/>
      <c r="F132" s="235"/>
      <c r="G132" s="235"/>
      <c r="H132" s="272" t="str">
        <f>'3rdMAY'!J132</f>
        <v/>
      </c>
      <c r="I132" s="281">
        <v>1.0</v>
      </c>
      <c r="J132" s="284"/>
      <c r="K132" s="283">
        <v>1.0</v>
      </c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'3rdMAY'!E133</f>
        <v/>
      </c>
      <c r="D133" s="227"/>
      <c r="E133" s="247"/>
      <c r="F133" s="235" t="s">
        <v>35</v>
      </c>
      <c r="G133" s="285">
        <v>0.15</v>
      </c>
      <c r="H133" s="272" t="str">
        <f>'3rdMAY'!J133</f>
        <v/>
      </c>
      <c r="I133" s="281">
        <v>1.0</v>
      </c>
      <c r="J133" s="282">
        <v>0.15</v>
      </c>
      <c r="K133" s="283">
        <v>1.0</v>
      </c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0.036</v>
      </c>
      <c r="N133" s="191"/>
      <c r="O133" s="247"/>
    </row>
    <row r="134">
      <c r="A134" s="12" t="s">
        <v>154</v>
      </c>
      <c r="B134" s="12" t="s">
        <v>155</v>
      </c>
      <c r="C134" s="271" t="str">
        <f>'3rdMAY'!E134</f>
        <v/>
      </c>
      <c r="D134" s="191"/>
      <c r="E134" s="247"/>
      <c r="F134" s="235" t="s">
        <v>35</v>
      </c>
      <c r="G134" s="235"/>
      <c r="H134" s="272" t="str">
        <f>'3rdMAY'!J134</f>
        <v/>
      </c>
      <c r="I134" s="281">
        <v>1.0</v>
      </c>
      <c r="J134" s="284"/>
      <c r="K134" s="283">
        <v>1.0</v>
      </c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>
        <f>'3rdMAY'!E135</f>
        <v>2</v>
      </c>
      <c r="D135" s="227"/>
      <c r="E135" s="280">
        <v>1.0</v>
      </c>
      <c r="F135" s="235" t="s">
        <v>35</v>
      </c>
      <c r="G135" s="285">
        <v>0.175</v>
      </c>
      <c r="H135" s="272" t="str">
        <f>'3rdMAY'!J135</f>
        <v/>
      </c>
      <c r="I135" s="281">
        <v>1.0</v>
      </c>
      <c r="J135" s="282">
        <v>0.655</v>
      </c>
      <c r="K135" s="283">
        <v>1.0</v>
      </c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</v>
      </c>
      <c r="N135" s="191"/>
      <c r="O135" s="247"/>
    </row>
    <row r="136">
      <c r="A136" s="12" t="s">
        <v>158</v>
      </c>
      <c r="B136" s="12" t="s">
        <v>34</v>
      </c>
      <c r="C136" s="271" t="str">
        <f>'3rdMAY'!E136</f>
        <v/>
      </c>
      <c r="D136" s="191"/>
      <c r="E136" s="247"/>
      <c r="F136" s="235" t="s">
        <v>35</v>
      </c>
      <c r="G136" s="235"/>
      <c r="H136" s="272">
        <f>'3rdMAY'!J136</f>
        <v>0.626</v>
      </c>
      <c r="I136" s="281">
        <v>1.0</v>
      </c>
      <c r="J136" s="284"/>
      <c r="K136" s="283">
        <v>1.0</v>
      </c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0.57</v>
      </c>
      <c r="N136" s="191"/>
      <c r="O136" s="247"/>
    </row>
    <row r="137">
      <c r="A137" s="12" t="s">
        <v>159</v>
      </c>
      <c r="B137" s="12" t="s">
        <v>34</v>
      </c>
      <c r="C137" s="271" t="str">
        <f>'3rdMAY'!E137</f>
        <v/>
      </c>
      <c r="D137" s="191"/>
      <c r="E137" s="247"/>
      <c r="F137" s="235" t="s">
        <v>35</v>
      </c>
      <c r="G137" s="235"/>
      <c r="H137" s="272" t="str">
        <f>'3rdMAY'!J137</f>
        <v/>
      </c>
      <c r="I137" s="281">
        <v>1.0</v>
      </c>
      <c r="J137" s="284"/>
      <c r="K137" s="283">
        <v>1.0</v>
      </c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'3rdMAY'!E138</f>
        <v/>
      </c>
      <c r="D138" s="191"/>
      <c r="E138" s="247"/>
      <c r="F138" s="235" t="s">
        <v>35</v>
      </c>
      <c r="G138" s="235"/>
      <c r="H138" s="272">
        <f>'3rdMAY'!J138</f>
        <v>0.451</v>
      </c>
      <c r="I138" s="281">
        <v>1.0</v>
      </c>
      <c r="J138" s="282">
        <v>0.028</v>
      </c>
      <c r="K138" s="283">
        <v>1.0</v>
      </c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0.423</v>
      </c>
      <c r="N138" s="191"/>
      <c r="O138" s="247"/>
    </row>
    <row r="139">
      <c r="A139" s="12" t="s">
        <v>161</v>
      </c>
      <c r="B139" s="12" t="s">
        <v>34</v>
      </c>
      <c r="C139" s="271" t="str">
        <f>'3rdMAY'!E139</f>
        <v/>
      </c>
      <c r="D139" s="191"/>
      <c r="E139" s="247"/>
      <c r="F139" s="235" t="s">
        <v>35</v>
      </c>
      <c r="G139" s="235"/>
      <c r="H139" s="272">
        <f>'3rdMAY'!J139</f>
        <v>0.395</v>
      </c>
      <c r="I139" s="281">
        <v>1.0</v>
      </c>
      <c r="J139" s="282">
        <v>0.395</v>
      </c>
      <c r="K139" s="283">
        <v>1.0</v>
      </c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</v>
      </c>
      <c r="N139" s="191"/>
      <c r="O139" s="247"/>
    </row>
    <row r="140">
      <c r="A140" s="12" t="s">
        <v>162</v>
      </c>
      <c r="B140" s="12" t="s">
        <v>34</v>
      </c>
      <c r="C140" s="271" t="str">
        <f>'3rdMAY'!E140</f>
        <v/>
      </c>
      <c r="D140" s="191"/>
      <c r="E140" s="247"/>
      <c r="F140" s="235" t="s">
        <v>35</v>
      </c>
      <c r="G140" s="235"/>
      <c r="H140" s="272" t="str">
        <f>'3rdMAY'!J140</f>
        <v/>
      </c>
      <c r="I140" s="281">
        <v>1.0</v>
      </c>
      <c r="J140" s="282"/>
      <c r="K140" s="283">
        <v>1.0</v>
      </c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/>
      <c r="D141" s="191"/>
      <c r="E141" s="247"/>
      <c r="F141" s="235" t="s">
        <v>35</v>
      </c>
      <c r="G141" s="235"/>
      <c r="H141" s="272">
        <v>0.92</v>
      </c>
      <c r="I141" s="281">
        <v>1.0</v>
      </c>
      <c r="J141" s="282">
        <v>0.92</v>
      </c>
      <c r="K141" s="283">
        <v>1.0</v>
      </c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</v>
      </c>
      <c r="N141" s="191"/>
      <c r="O141" s="247"/>
    </row>
    <row r="142">
      <c r="A142" s="12" t="s">
        <v>164</v>
      </c>
      <c r="B142" s="12" t="s">
        <v>155</v>
      </c>
      <c r="C142" s="271" t="str">
        <f>'3rdMAY'!E142</f>
        <v/>
      </c>
      <c r="D142" s="227">
        <v>1.0</v>
      </c>
      <c r="E142" s="247"/>
      <c r="F142" s="235" t="s">
        <v>35</v>
      </c>
      <c r="G142" s="235"/>
      <c r="H142" s="272">
        <f>'3rdMAY'!J142</f>
        <v>0.211</v>
      </c>
      <c r="I142" s="281">
        <v>1.0</v>
      </c>
      <c r="J142" s="282">
        <v>0.059</v>
      </c>
      <c r="K142" s="283">
        <v>1.0</v>
      </c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0.652</v>
      </c>
      <c r="N142" s="191"/>
      <c r="O142" s="247"/>
    </row>
    <row r="143">
      <c r="A143" s="12" t="s">
        <v>165</v>
      </c>
      <c r="B143" s="12" t="s">
        <v>155</v>
      </c>
      <c r="C143" s="271" t="str">
        <f>'3rdMAY'!E143</f>
        <v/>
      </c>
      <c r="D143" s="191"/>
      <c r="E143" s="247"/>
      <c r="F143" s="235" t="s">
        <v>35</v>
      </c>
      <c r="G143" s="235"/>
      <c r="H143" s="272" t="str">
        <f>'3rdMAY'!J143</f>
        <v/>
      </c>
      <c r="I143" s="281">
        <v>1.0</v>
      </c>
      <c r="J143" s="284"/>
      <c r="K143" s="283">
        <v>1.0</v>
      </c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'3rdMAY'!E144</f>
        <v/>
      </c>
      <c r="D144" s="227">
        <v>1.0</v>
      </c>
      <c r="E144" s="247"/>
      <c r="F144" s="235" t="s">
        <v>35</v>
      </c>
      <c r="G144" s="235"/>
      <c r="H144" s="272">
        <f>'3rdMAY'!J144</f>
        <v>0.421</v>
      </c>
      <c r="I144" s="281">
        <v>1.0</v>
      </c>
      <c r="J144" s="282">
        <v>1.0</v>
      </c>
      <c r="K144" s="283">
        <v>1.0</v>
      </c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3.201</v>
      </c>
      <c r="N144" s="191"/>
      <c r="O144" s="247"/>
    </row>
    <row r="145">
      <c r="A145" s="12" t="s">
        <v>167</v>
      </c>
      <c r="B145" s="12" t="s">
        <v>106</v>
      </c>
      <c r="C145" s="271" t="str">
        <f>'3rdMAY'!E145</f>
        <v/>
      </c>
      <c r="D145" s="191"/>
      <c r="E145" s="247"/>
      <c r="F145" s="235" t="s">
        <v>35</v>
      </c>
      <c r="G145" s="235"/>
      <c r="H145" s="272" t="str">
        <f>'3rdMAY'!J145</f>
        <v/>
      </c>
      <c r="I145" s="281">
        <v>1.0</v>
      </c>
      <c r="J145" s="282"/>
      <c r="K145" s="283">
        <v>1.0</v>
      </c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</v>
      </c>
      <c r="N145" s="191"/>
      <c r="O145" s="247"/>
    </row>
    <row r="146">
      <c r="A146" s="12" t="s">
        <v>168</v>
      </c>
      <c r="B146" s="12" t="s">
        <v>17</v>
      </c>
      <c r="C146" s="271" t="str">
        <f>'3rdMAY'!E146</f>
        <v/>
      </c>
      <c r="D146" s="227"/>
      <c r="E146" s="247"/>
      <c r="F146" s="235" t="s">
        <v>35</v>
      </c>
      <c r="G146" s="235"/>
      <c r="H146" s="272">
        <f>'3rdMAY'!J146</f>
        <v>0.6</v>
      </c>
      <c r="I146" s="281">
        <v>1.0</v>
      </c>
      <c r="J146" s="284"/>
      <c r="K146" s="283">
        <v>1.0</v>
      </c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0.585</v>
      </c>
      <c r="N146" s="191"/>
      <c r="O146" s="247"/>
    </row>
    <row r="147">
      <c r="A147" s="12" t="s">
        <v>169</v>
      </c>
      <c r="B147" s="12" t="s">
        <v>106</v>
      </c>
      <c r="C147" s="271" t="str">
        <f>'3rdMAY'!E147</f>
        <v/>
      </c>
      <c r="D147" s="191"/>
      <c r="E147" s="247"/>
      <c r="F147" s="235" t="s">
        <v>35</v>
      </c>
      <c r="G147" s="235"/>
      <c r="H147" s="272" t="str">
        <f>'3rdMAY'!J147</f>
        <v/>
      </c>
      <c r="I147" s="281">
        <v>1.0</v>
      </c>
      <c r="J147" s="284"/>
      <c r="K147" s="283">
        <v>1.0</v>
      </c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'3rdMAY'!E148</f>
        <v/>
      </c>
      <c r="D148" s="191"/>
      <c r="E148" s="247"/>
      <c r="F148" s="235" t="s">
        <v>35</v>
      </c>
      <c r="G148" s="235"/>
      <c r="H148" s="272" t="str">
        <f>'3rdMAY'!J148</f>
        <v/>
      </c>
      <c r="I148" s="281">
        <v>1.0</v>
      </c>
      <c r="J148" s="284"/>
      <c r="K148" s="283">
        <v>1.0</v>
      </c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>
        <f>'3rdMAY'!E149</f>
        <v>1</v>
      </c>
      <c r="D149" s="191"/>
      <c r="E149" s="280">
        <v>1.0</v>
      </c>
      <c r="F149" s="235" t="s">
        <v>14</v>
      </c>
      <c r="G149" s="285">
        <v>0.027</v>
      </c>
      <c r="H149" s="272" t="str">
        <f>'3rdMAY'!J149</f>
        <v/>
      </c>
      <c r="I149" s="281">
        <v>1.0</v>
      </c>
      <c r="J149" s="282">
        <v>0.027</v>
      </c>
      <c r="K149" s="283">
        <v>1.0</v>
      </c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0.06</v>
      </c>
      <c r="N149" s="191"/>
      <c r="O149" s="247"/>
    </row>
    <row r="150">
      <c r="A150" s="11" t="s">
        <v>173</v>
      </c>
      <c r="B150" s="11" t="s">
        <v>106</v>
      </c>
      <c r="C150" s="271" t="str">
        <f>'3rdMAY'!E150</f>
        <v/>
      </c>
      <c r="D150" s="287"/>
      <c r="E150" s="288"/>
      <c r="F150" s="235" t="s">
        <v>14</v>
      </c>
      <c r="G150" s="289"/>
      <c r="H150" s="272" t="str">
        <f>'3rdMAY'!J150</f>
        <v/>
      </c>
      <c r="I150" s="281">
        <v>1.0</v>
      </c>
      <c r="J150" s="291"/>
      <c r="K150" s="283">
        <v>1.0</v>
      </c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</v>
      </c>
      <c r="N150" s="216"/>
      <c r="O150" s="292"/>
    </row>
    <row r="151">
      <c r="A151" s="22" t="s">
        <v>174</v>
      </c>
      <c r="B151" s="23" t="s">
        <v>106</v>
      </c>
      <c r="C151" s="271" t="str">
        <f>'3rdMAY'!E151</f>
        <v/>
      </c>
      <c r="D151" s="216"/>
      <c r="E151" s="288"/>
      <c r="F151" s="235" t="s">
        <v>14</v>
      </c>
      <c r="G151" s="289"/>
      <c r="H151" s="272">
        <f>'3rdMAY'!J151</f>
        <v>0.39</v>
      </c>
      <c r="I151" s="281">
        <v>1.0</v>
      </c>
      <c r="J151" s="301">
        <v>0.39</v>
      </c>
      <c r="K151" s="283">
        <v>1.0</v>
      </c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</v>
      </c>
      <c r="N151" s="216"/>
      <c r="O151" s="292"/>
    </row>
    <row r="152">
      <c r="A152" s="10" t="s">
        <v>175</v>
      </c>
      <c r="B152" s="11"/>
      <c r="C152" s="271" t="str">
        <f>'3rdMAY'!E152</f>
        <v/>
      </c>
      <c r="D152" s="191"/>
      <c r="E152" s="247"/>
      <c r="F152" s="235"/>
      <c r="G152" s="235"/>
      <c r="H152" s="272" t="str">
        <f>'3rdMAY'!J152</f>
        <v/>
      </c>
      <c r="I152" s="281">
        <v>1.0</v>
      </c>
      <c r="J152" s="284"/>
      <c r="K152" s="283">
        <v>1.0</v>
      </c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'3rdMAY'!E153</f>
        <v/>
      </c>
      <c r="D153" s="227">
        <v>5.0</v>
      </c>
      <c r="E153" s="247"/>
      <c r="F153" s="235" t="s">
        <v>25</v>
      </c>
      <c r="G153" s="235"/>
      <c r="H153" s="272" t="str">
        <f>'3rdMAY'!J153</f>
        <v/>
      </c>
      <c r="I153" s="281">
        <v>1.0</v>
      </c>
      <c r="J153" s="284"/>
      <c r="K153" s="283">
        <v>1.0</v>
      </c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5</v>
      </c>
      <c r="N153" s="191"/>
      <c r="O153" s="247"/>
    </row>
    <row r="154">
      <c r="A154" s="12" t="s">
        <v>178</v>
      </c>
      <c r="B154" s="12" t="s">
        <v>35</v>
      </c>
      <c r="C154" s="271">
        <f>'3rdMAY'!E154</f>
        <v>6</v>
      </c>
      <c r="D154" s="227"/>
      <c r="E154" s="280">
        <v>4.0</v>
      </c>
      <c r="F154" s="235" t="s">
        <v>35</v>
      </c>
      <c r="G154" s="235"/>
      <c r="H154" s="272" t="str">
        <f>'3rdMAY'!J154</f>
        <v/>
      </c>
      <c r="I154" s="281">
        <v>1.0</v>
      </c>
      <c r="J154" s="284"/>
      <c r="K154" s="283">
        <v>1.0</v>
      </c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1</v>
      </c>
      <c r="N154" s="191"/>
      <c r="O154" s="247"/>
    </row>
    <row r="155">
      <c r="A155" s="12" t="s">
        <v>180</v>
      </c>
      <c r="B155" s="12" t="s">
        <v>35</v>
      </c>
      <c r="C155" s="271" t="str">
        <f>'3rdMAY'!E155</f>
        <v/>
      </c>
      <c r="D155" s="191"/>
      <c r="E155" s="247"/>
      <c r="F155" s="235" t="s">
        <v>35</v>
      </c>
      <c r="G155" s="235"/>
      <c r="H155" s="272">
        <f>'3rdMAY'!J155</f>
        <v>0.51</v>
      </c>
      <c r="I155" s="281">
        <v>1.0</v>
      </c>
      <c r="J155" s="282">
        <v>0.341</v>
      </c>
      <c r="K155" s="283">
        <v>1.0</v>
      </c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0.169</v>
      </c>
      <c r="N155" s="191"/>
      <c r="O155" s="247"/>
    </row>
    <row r="156">
      <c r="A156" s="12" t="s">
        <v>181</v>
      </c>
      <c r="B156" s="12" t="s">
        <v>35</v>
      </c>
      <c r="C156" s="271" t="str">
        <f>'3rdMAY'!E156</f>
        <v/>
      </c>
      <c r="D156" s="191"/>
      <c r="E156" s="280"/>
      <c r="F156" s="235" t="s">
        <v>35</v>
      </c>
      <c r="G156" s="235"/>
      <c r="H156" s="272">
        <f>'3rdMAY'!J156</f>
        <v>0.809</v>
      </c>
      <c r="I156" s="281">
        <v>1.0</v>
      </c>
      <c r="J156" s="282">
        <v>0.807</v>
      </c>
      <c r="K156" s="283">
        <v>1.0</v>
      </c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0.002</v>
      </c>
      <c r="N156" s="191"/>
      <c r="O156" s="247"/>
    </row>
    <row r="157">
      <c r="A157" s="12" t="s">
        <v>182</v>
      </c>
      <c r="B157" s="12" t="s">
        <v>35</v>
      </c>
      <c r="C157" s="271" t="str">
        <f>'3rdMAY'!E157</f>
        <v/>
      </c>
      <c r="D157" s="191"/>
      <c r="E157" s="247"/>
      <c r="F157" s="235" t="s">
        <v>35</v>
      </c>
      <c r="G157" s="285"/>
      <c r="H157" s="272">
        <f>'3rdMAY'!J157</f>
        <v>1.511</v>
      </c>
      <c r="I157" s="281">
        <v>1.0</v>
      </c>
      <c r="J157" s="282"/>
      <c r="K157" s="283">
        <v>1.0</v>
      </c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1.491</v>
      </c>
      <c r="N157" s="191"/>
      <c r="O157" s="247"/>
    </row>
    <row r="158">
      <c r="A158" s="12" t="s">
        <v>183</v>
      </c>
      <c r="B158" s="12" t="s">
        <v>35</v>
      </c>
      <c r="C158" s="271" t="str">
        <f>'3rdMAY'!E158</f>
        <v/>
      </c>
      <c r="D158" s="191"/>
      <c r="E158" s="247"/>
      <c r="F158" s="235" t="s">
        <v>14</v>
      </c>
      <c r="G158" s="235"/>
      <c r="H158" s="272" t="str">
        <f>'3rdMAY'!J158</f>
        <v/>
      </c>
      <c r="I158" s="281">
        <v>1.0</v>
      </c>
      <c r="J158" s="284"/>
      <c r="K158" s="283">
        <v>1.0</v>
      </c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'3rdMAY'!E159</f>
        <v/>
      </c>
      <c r="D159" s="191"/>
      <c r="E159" s="247"/>
      <c r="F159" s="235"/>
      <c r="G159" s="235"/>
      <c r="H159" s="272" t="str">
        <f>'3rdMAY'!J159</f>
        <v/>
      </c>
      <c r="I159" s="281">
        <v>1.0</v>
      </c>
      <c r="J159" s="284"/>
      <c r="K159" s="283">
        <v>1.0</v>
      </c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'3rdMAY'!E160</f>
        <v/>
      </c>
      <c r="D160" s="227">
        <v>3.0</v>
      </c>
      <c r="E160" s="247"/>
      <c r="F160" s="235" t="s">
        <v>17</v>
      </c>
      <c r="G160" s="235"/>
      <c r="H160" s="272" t="str">
        <f>'3rdMAY'!J160</f>
        <v/>
      </c>
      <c r="I160" s="281">
        <v>1.0</v>
      </c>
      <c r="J160" s="282">
        <v>1.0</v>
      </c>
      <c r="K160" s="283">
        <v>1.0</v>
      </c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2</v>
      </c>
      <c r="N160" s="191"/>
      <c r="O160" s="247"/>
    </row>
    <row r="161">
      <c r="A161" s="12" t="s">
        <v>187</v>
      </c>
      <c r="B161" s="12" t="s">
        <v>17</v>
      </c>
      <c r="C161" s="271" t="str">
        <f>'3rdMAY'!E161</f>
        <v/>
      </c>
      <c r="D161" s="227">
        <v>3.0</v>
      </c>
      <c r="E161" s="247"/>
      <c r="F161" s="235" t="s">
        <v>17</v>
      </c>
      <c r="G161" s="235"/>
      <c r="H161" s="272" t="str">
        <f>'3rdMAY'!J161</f>
        <v/>
      </c>
      <c r="I161" s="281">
        <v>1.0</v>
      </c>
      <c r="J161" s="282"/>
      <c r="K161" s="283">
        <v>1.0</v>
      </c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3</v>
      </c>
      <c r="N161" s="191"/>
      <c r="O161" s="247"/>
    </row>
    <row r="162">
      <c r="A162" s="12" t="s">
        <v>188</v>
      </c>
      <c r="B162" s="12" t="s">
        <v>35</v>
      </c>
      <c r="C162" s="271" t="str">
        <f>'3rdMAY'!E162</f>
        <v/>
      </c>
      <c r="D162" s="227">
        <v>4.5</v>
      </c>
      <c r="E162" s="247"/>
      <c r="F162" s="235" t="s">
        <v>35</v>
      </c>
      <c r="G162" s="235"/>
      <c r="H162" s="272" t="str">
        <f>'3rdMAY'!J162</f>
        <v/>
      </c>
      <c r="I162" s="281">
        <v>1.0</v>
      </c>
      <c r="J162" s="284"/>
      <c r="K162" s="283">
        <v>1.0</v>
      </c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4.5</v>
      </c>
      <c r="N162" s="191"/>
      <c r="O162" s="247"/>
    </row>
    <row r="163">
      <c r="A163" s="12" t="s">
        <v>189</v>
      </c>
      <c r="B163" s="12" t="s">
        <v>17</v>
      </c>
      <c r="C163" s="271" t="str">
        <f>'3rdMAY'!E163</f>
        <v/>
      </c>
      <c r="D163" s="227">
        <v>1.0</v>
      </c>
      <c r="E163" s="280"/>
      <c r="F163" s="235" t="s">
        <v>17</v>
      </c>
      <c r="G163" s="235"/>
      <c r="H163" s="272">
        <f>'3rdMAY'!J163</f>
        <v>1</v>
      </c>
      <c r="I163" s="281">
        <v>1.0</v>
      </c>
      <c r="J163" s="282">
        <v>0.5</v>
      </c>
      <c r="K163" s="283">
        <v>1.0</v>
      </c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1.5</v>
      </c>
      <c r="N163" s="191"/>
      <c r="O163" s="247"/>
    </row>
    <row r="164">
      <c r="A164" s="12" t="s">
        <v>190</v>
      </c>
      <c r="B164" s="12" t="s">
        <v>17</v>
      </c>
      <c r="C164" s="271" t="str">
        <f>'3rdMAY'!E164</f>
        <v/>
      </c>
      <c r="D164" s="191"/>
      <c r="E164" s="247"/>
      <c r="F164" s="235" t="s">
        <v>17</v>
      </c>
      <c r="G164" s="235"/>
      <c r="H164" s="272" t="str">
        <f>'3rdMAY'!J164</f>
        <v/>
      </c>
      <c r="I164" s="281">
        <v>1.0</v>
      </c>
      <c r="J164" s="284"/>
      <c r="K164" s="283">
        <v>1.0</v>
      </c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'3rdMAY'!E165</f>
        <v/>
      </c>
      <c r="D165" s="227">
        <v>0.5</v>
      </c>
      <c r="E165" s="247"/>
      <c r="F165" s="235" t="s">
        <v>35</v>
      </c>
      <c r="G165" s="235"/>
      <c r="H165" s="272">
        <f>'3rdMAY'!J165</f>
        <v>0.866</v>
      </c>
      <c r="I165" s="281">
        <v>1.0</v>
      </c>
      <c r="J165" s="282">
        <v>0.149</v>
      </c>
      <c r="K165" s="283">
        <v>1.0</v>
      </c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1.217</v>
      </c>
      <c r="N165" s="191"/>
      <c r="O165" s="247"/>
    </row>
    <row r="166">
      <c r="A166" s="12" t="s">
        <v>192</v>
      </c>
      <c r="B166" s="12" t="s">
        <v>35</v>
      </c>
      <c r="C166" s="271" t="str">
        <f>'3rdMAY'!E166</f>
        <v/>
      </c>
      <c r="D166" s="227">
        <v>0.5</v>
      </c>
      <c r="E166" s="247"/>
      <c r="F166" s="235" t="s">
        <v>35</v>
      </c>
      <c r="G166" s="285"/>
      <c r="H166" s="272">
        <f>'3rdMAY'!J166</f>
        <v>0.5</v>
      </c>
      <c r="I166" s="281">
        <v>1.0</v>
      </c>
      <c r="J166" s="282"/>
      <c r="K166" s="283">
        <v>1.0</v>
      </c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1</v>
      </c>
      <c r="N166" s="191"/>
      <c r="O166" s="247"/>
    </row>
    <row r="167">
      <c r="A167" s="12" t="s">
        <v>193</v>
      </c>
      <c r="B167" s="12" t="s">
        <v>35</v>
      </c>
      <c r="C167" s="271" t="str">
        <f>'3rdMAY'!E167</f>
        <v/>
      </c>
      <c r="D167" s="227">
        <v>7.0</v>
      </c>
      <c r="E167" s="247"/>
      <c r="F167" s="235" t="s">
        <v>35</v>
      </c>
      <c r="G167" s="235"/>
      <c r="H167" s="272">
        <f>'3rdMAY'!J167</f>
        <v>1</v>
      </c>
      <c r="I167" s="281">
        <v>1.0</v>
      </c>
      <c r="J167" s="282">
        <v>0.1</v>
      </c>
      <c r="K167" s="283">
        <v>1.0</v>
      </c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7.9</v>
      </c>
      <c r="N167" s="191"/>
      <c r="O167" s="247"/>
    </row>
    <row r="168">
      <c r="A168" s="12" t="s">
        <v>194</v>
      </c>
      <c r="B168" s="12" t="s">
        <v>17</v>
      </c>
      <c r="C168" s="271" t="str">
        <f>'3rdMAY'!E168</f>
        <v/>
      </c>
      <c r="D168" s="227">
        <v>3.0</v>
      </c>
      <c r="E168" s="247"/>
      <c r="F168" s="235" t="s">
        <v>17</v>
      </c>
      <c r="G168" s="235"/>
      <c r="H168" s="272" t="str">
        <f>'3rdMAY'!J168</f>
        <v/>
      </c>
      <c r="I168" s="281">
        <v>1.0</v>
      </c>
      <c r="J168" s="282">
        <v>1.0</v>
      </c>
      <c r="K168" s="283">
        <v>1.0</v>
      </c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2</v>
      </c>
      <c r="N168" s="191"/>
      <c r="O168" s="247"/>
    </row>
    <row r="169">
      <c r="A169" s="12" t="s">
        <v>195</v>
      </c>
      <c r="B169" s="12" t="s">
        <v>35</v>
      </c>
      <c r="C169" s="271" t="str">
        <f>'3rdMAY'!E169</f>
        <v/>
      </c>
      <c r="D169" s="227">
        <v>0.4</v>
      </c>
      <c r="E169" s="247"/>
      <c r="F169" s="235" t="s">
        <v>35</v>
      </c>
      <c r="G169" s="235"/>
      <c r="H169" s="272">
        <f>'3rdMAY'!J169</f>
        <v>1</v>
      </c>
      <c r="I169" s="281">
        <v>1.0</v>
      </c>
      <c r="J169" s="282">
        <v>0.678</v>
      </c>
      <c r="K169" s="283">
        <v>1.0</v>
      </c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0.722</v>
      </c>
      <c r="N169" s="191"/>
      <c r="O169" s="247"/>
    </row>
    <row r="170">
      <c r="A170" s="12" t="s">
        <v>196</v>
      </c>
      <c r="B170" s="12" t="s">
        <v>35</v>
      </c>
      <c r="C170" s="271" t="str">
        <f>'3rdMAY'!E170</f>
        <v/>
      </c>
      <c r="D170" s="191"/>
      <c r="E170" s="247"/>
      <c r="F170" s="235" t="s">
        <v>35</v>
      </c>
      <c r="G170" s="235"/>
      <c r="H170" s="272">
        <f>'3rdMAY'!J170</f>
        <v>0.51</v>
      </c>
      <c r="I170" s="281">
        <v>1.0</v>
      </c>
      <c r="J170" s="282"/>
      <c r="K170" s="283">
        <v>1.0</v>
      </c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0.51</v>
      </c>
      <c r="N170" s="191"/>
      <c r="O170" s="247"/>
    </row>
    <row r="171">
      <c r="A171" s="12" t="s">
        <v>197</v>
      </c>
      <c r="B171" s="12" t="s">
        <v>35</v>
      </c>
      <c r="C171" s="271" t="str">
        <f>'3rdMAY'!E171</f>
        <v/>
      </c>
      <c r="D171" s="191"/>
      <c r="E171" s="247"/>
      <c r="F171" s="235" t="s">
        <v>35</v>
      </c>
      <c r="G171" s="285"/>
      <c r="H171" s="272">
        <f>'3rdMAY'!J171</f>
        <v>0.899</v>
      </c>
      <c r="I171" s="281">
        <v>1.0</v>
      </c>
      <c r="J171" s="282"/>
      <c r="K171" s="283">
        <v>1.0</v>
      </c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0.899</v>
      </c>
      <c r="N171" s="191"/>
      <c r="O171" s="247"/>
    </row>
    <row r="172">
      <c r="A172" s="12" t="s">
        <v>198</v>
      </c>
      <c r="B172" s="12" t="s">
        <v>35</v>
      </c>
      <c r="C172" s="271" t="str">
        <f>'3rdMAY'!E172</f>
        <v/>
      </c>
      <c r="D172" s="227"/>
      <c r="E172" s="247"/>
      <c r="F172" s="235" t="s">
        <v>35</v>
      </c>
      <c r="G172" s="235"/>
      <c r="H172" s="272">
        <f>'3rdMAY'!J172</f>
        <v>1.264</v>
      </c>
      <c r="I172" s="281">
        <v>1.0</v>
      </c>
      <c r="J172" s="282">
        <v>0.502</v>
      </c>
      <c r="K172" s="283">
        <v>1.0</v>
      </c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0.762</v>
      </c>
      <c r="N172" s="191"/>
      <c r="O172" s="247"/>
    </row>
    <row r="173">
      <c r="A173" s="12" t="s">
        <v>199</v>
      </c>
      <c r="B173" s="12" t="s">
        <v>35</v>
      </c>
      <c r="C173" s="271" t="str">
        <f>'3rdMAY'!E173</f>
        <v/>
      </c>
      <c r="D173" s="227">
        <v>1.0</v>
      </c>
      <c r="E173" s="247"/>
      <c r="F173" s="235" t="s">
        <v>35</v>
      </c>
      <c r="G173" s="235"/>
      <c r="H173" s="272" t="str">
        <f>'3rdMAY'!J173</f>
        <v/>
      </c>
      <c r="I173" s="281">
        <v>1.0</v>
      </c>
      <c r="J173" s="284"/>
      <c r="K173" s="283">
        <v>1.0</v>
      </c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1</v>
      </c>
      <c r="N173" s="191"/>
      <c r="O173" s="247"/>
    </row>
    <row r="174">
      <c r="A174" s="12" t="s">
        <v>200</v>
      </c>
      <c r="B174" s="12" t="s">
        <v>35</v>
      </c>
      <c r="C174" s="271" t="str">
        <f>'3rdMAY'!E174</f>
        <v/>
      </c>
      <c r="D174" s="191"/>
      <c r="E174" s="247"/>
      <c r="F174" s="235" t="s">
        <v>35</v>
      </c>
      <c r="G174" s="235"/>
      <c r="H174" s="272">
        <f>'3rdMAY'!J174</f>
        <v>0.652</v>
      </c>
      <c r="I174" s="281">
        <v>1.0</v>
      </c>
      <c r="J174" s="284"/>
      <c r="K174" s="283">
        <v>1.0</v>
      </c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0.652</v>
      </c>
      <c r="N174" s="191"/>
      <c r="O174" s="247"/>
    </row>
    <row r="175">
      <c r="A175" s="12" t="s">
        <v>201</v>
      </c>
      <c r="B175" s="12" t="s">
        <v>202</v>
      </c>
      <c r="C175" s="271" t="str">
        <f>'3rdMAY'!E175</f>
        <v/>
      </c>
      <c r="D175" s="191"/>
      <c r="E175" s="247"/>
      <c r="F175" s="235" t="s">
        <v>202</v>
      </c>
      <c r="G175" s="235"/>
      <c r="H175" s="272" t="str">
        <f>'3rdMAY'!J175</f>
        <v/>
      </c>
      <c r="I175" s="281">
        <v>1.0</v>
      </c>
      <c r="J175" s="284"/>
      <c r="K175" s="283">
        <v>1.0</v>
      </c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'3rdMAY'!E176</f>
        <v/>
      </c>
      <c r="D176" s="191"/>
      <c r="E176" s="247"/>
      <c r="F176" s="235" t="s">
        <v>202</v>
      </c>
      <c r="G176" s="285">
        <v>1.0</v>
      </c>
      <c r="H176" s="272" t="str">
        <f>'3rdMAY'!J176</f>
        <v/>
      </c>
      <c r="I176" s="281">
        <v>1.0</v>
      </c>
      <c r="J176" s="282">
        <v>1.0</v>
      </c>
      <c r="K176" s="283">
        <v>1.0</v>
      </c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0</v>
      </c>
      <c r="N176" s="191"/>
      <c r="O176" s="247"/>
    </row>
    <row r="177">
      <c r="A177" s="12" t="s">
        <v>205</v>
      </c>
      <c r="B177" s="12" t="s">
        <v>202</v>
      </c>
      <c r="C177" s="271" t="str">
        <f>'3rdMAY'!E177</f>
        <v/>
      </c>
      <c r="D177" s="227">
        <v>4.0</v>
      </c>
      <c r="E177" s="247"/>
      <c r="F177" s="235" t="s">
        <v>202</v>
      </c>
      <c r="G177" s="235"/>
      <c r="H177" s="272" t="str">
        <f>'3rdMAY'!J177</f>
        <v/>
      </c>
      <c r="I177" s="281">
        <v>1.0</v>
      </c>
      <c r="J177" s="282">
        <v>1.0</v>
      </c>
      <c r="K177" s="283">
        <v>1.0</v>
      </c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3</v>
      </c>
      <c r="N177" s="191"/>
      <c r="O177" s="247"/>
    </row>
    <row r="178">
      <c r="A178" s="12" t="s">
        <v>206</v>
      </c>
      <c r="B178" s="12" t="s">
        <v>207</v>
      </c>
      <c r="C178" s="271" t="str">
        <f>'3rdMAY'!E178</f>
        <v/>
      </c>
      <c r="D178" s="227"/>
      <c r="E178" s="247"/>
      <c r="F178" s="235" t="s">
        <v>17</v>
      </c>
      <c r="G178" s="285">
        <v>15.0</v>
      </c>
      <c r="H178" s="272">
        <f>'3rdMAY'!J178</f>
        <v>2</v>
      </c>
      <c r="I178" s="281">
        <v>1.0</v>
      </c>
      <c r="J178" s="282">
        <v>12.0</v>
      </c>
      <c r="K178" s="283">
        <v>1.0</v>
      </c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5</v>
      </c>
      <c r="N178" s="191"/>
      <c r="O178" s="247"/>
    </row>
    <row r="179">
      <c r="A179" s="12" t="s">
        <v>209</v>
      </c>
      <c r="B179" s="12" t="s">
        <v>17</v>
      </c>
      <c r="C179" s="271" t="str">
        <f>'3rdMAY'!E179</f>
        <v/>
      </c>
      <c r="D179" s="191"/>
      <c r="E179" s="247"/>
      <c r="F179" s="235" t="s">
        <v>17</v>
      </c>
      <c r="G179" s="235"/>
      <c r="H179" s="272" t="str">
        <f>'3rdMAY'!J179</f>
        <v/>
      </c>
      <c r="I179" s="281">
        <v>1.0</v>
      </c>
      <c r="J179" s="284"/>
      <c r="K179" s="283">
        <v>1.0</v>
      </c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'3rdMAY'!E180</f>
        <v/>
      </c>
      <c r="D180" s="191"/>
      <c r="E180" s="247"/>
      <c r="F180" s="235" t="s">
        <v>202</v>
      </c>
      <c r="G180" s="285"/>
      <c r="H180" s="272">
        <f>'3rdMAY'!J180</f>
        <v>0.5</v>
      </c>
      <c r="I180" s="281">
        <v>1.0</v>
      </c>
      <c r="J180" s="282"/>
      <c r="K180" s="283">
        <v>1.0</v>
      </c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0.5</v>
      </c>
      <c r="N180" s="191"/>
      <c r="O180" s="247"/>
    </row>
    <row r="181">
      <c r="A181" s="12" t="s">
        <v>211</v>
      </c>
      <c r="B181" s="12" t="s">
        <v>202</v>
      </c>
      <c r="C181" s="271" t="str">
        <f>'3rdMAY'!E181</f>
        <v/>
      </c>
      <c r="D181" s="227"/>
      <c r="E181" s="247"/>
      <c r="F181" s="235" t="s">
        <v>202</v>
      </c>
      <c r="G181" s="235"/>
      <c r="H181" s="272" t="str">
        <f>'3rdMAY'!J181</f>
        <v/>
      </c>
      <c r="I181" s="281">
        <v>1.0</v>
      </c>
      <c r="J181" s="282"/>
      <c r="K181" s="283">
        <v>1.0</v>
      </c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71" t="str">
        <f>'3rdMAY'!E182</f>
        <v/>
      </c>
      <c r="D182" s="191"/>
      <c r="E182" s="247"/>
      <c r="F182" s="235" t="s">
        <v>202</v>
      </c>
      <c r="G182" s="235"/>
      <c r="H182" s="272">
        <f>'3rdMAY'!J182</f>
        <v>1</v>
      </c>
      <c r="I182" s="281">
        <v>1.0</v>
      </c>
      <c r="J182" s="282">
        <v>0.5</v>
      </c>
      <c r="K182" s="283">
        <v>1.0</v>
      </c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0.5</v>
      </c>
      <c r="N182" s="191"/>
      <c r="O182" s="247"/>
    </row>
    <row r="183">
      <c r="A183" s="12" t="s">
        <v>213</v>
      </c>
      <c r="B183" s="12" t="s">
        <v>35</v>
      </c>
      <c r="C183" s="271" t="str">
        <f>'3rdMAY'!E183</f>
        <v/>
      </c>
      <c r="D183" s="191"/>
      <c r="E183" s="247"/>
      <c r="F183" s="235" t="s">
        <v>35</v>
      </c>
      <c r="G183" s="235"/>
      <c r="H183" s="272" t="str">
        <f>'3rdMAY'!J183</f>
        <v/>
      </c>
      <c r="I183" s="281">
        <v>1.0</v>
      </c>
      <c r="J183" s="284"/>
      <c r="K183" s="283">
        <v>1.0</v>
      </c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'3rdMAY'!E184</f>
        <v/>
      </c>
      <c r="D184" s="191"/>
      <c r="E184" s="247"/>
      <c r="F184" s="235" t="s">
        <v>35</v>
      </c>
      <c r="G184" s="285">
        <v>0.124</v>
      </c>
      <c r="H184" s="272">
        <f>'3rdMAY'!J184</f>
        <v>0.183</v>
      </c>
      <c r="I184" s="281">
        <v>1.0</v>
      </c>
      <c r="J184" s="282">
        <v>0.307</v>
      </c>
      <c r="K184" s="283">
        <v>1.0</v>
      </c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</v>
      </c>
      <c r="N184" s="191"/>
      <c r="O184" s="247"/>
    </row>
    <row r="185">
      <c r="A185" s="12" t="s">
        <v>215</v>
      </c>
      <c r="B185" s="12" t="s">
        <v>35</v>
      </c>
      <c r="C185" s="271" t="str">
        <f>'3rdMAY'!E185</f>
        <v/>
      </c>
      <c r="D185" s="227">
        <v>0.8</v>
      </c>
      <c r="E185" s="247"/>
      <c r="F185" s="235" t="s">
        <v>35</v>
      </c>
      <c r="G185" s="235"/>
      <c r="H185" s="272" t="str">
        <f>'3rdMAY'!J185</f>
        <v/>
      </c>
      <c r="I185" s="281">
        <v>1.0</v>
      </c>
      <c r="J185" s="284"/>
      <c r="K185" s="283">
        <v>1.0</v>
      </c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0.8</v>
      </c>
      <c r="N185" s="191"/>
      <c r="O185" s="247"/>
    </row>
    <row r="186">
      <c r="A186" s="12" t="s">
        <v>216</v>
      </c>
      <c r="B186" s="12" t="s">
        <v>17</v>
      </c>
      <c r="C186" s="271" t="str">
        <f>'3rdMAY'!E186</f>
        <v/>
      </c>
      <c r="D186" s="191"/>
      <c r="E186" s="247"/>
      <c r="F186" s="235" t="s">
        <v>17</v>
      </c>
      <c r="G186" s="235"/>
      <c r="H186" s="272">
        <f>'3rdMAY'!J186</f>
        <v>1.5</v>
      </c>
      <c r="I186" s="281">
        <v>1.0</v>
      </c>
      <c r="J186" s="282">
        <v>1.5</v>
      </c>
      <c r="K186" s="283">
        <v>1.0</v>
      </c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</v>
      </c>
      <c r="N186" s="191"/>
      <c r="O186" s="247"/>
    </row>
    <row r="187">
      <c r="A187" s="12" t="s">
        <v>217</v>
      </c>
      <c r="B187" s="12" t="s">
        <v>35</v>
      </c>
      <c r="C187" s="271" t="str">
        <f>'3rdMAY'!E187</f>
        <v/>
      </c>
      <c r="D187" s="191"/>
      <c r="E187" s="247"/>
      <c r="F187" s="235" t="s">
        <v>35</v>
      </c>
      <c r="G187" s="285">
        <v>0.466</v>
      </c>
      <c r="H187" s="272">
        <f>'3rdMAY'!J187</f>
        <v>0.5</v>
      </c>
      <c r="I187" s="281">
        <v>1.0</v>
      </c>
      <c r="J187" s="282">
        <v>0.966</v>
      </c>
      <c r="K187" s="283">
        <v>1.0</v>
      </c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</v>
      </c>
      <c r="N187" s="191"/>
      <c r="O187" s="247"/>
    </row>
    <row r="188">
      <c r="A188" s="12" t="s">
        <v>218</v>
      </c>
      <c r="B188" s="12" t="s">
        <v>17</v>
      </c>
      <c r="C188" s="271" t="str">
        <f>'3rdMAY'!E188</f>
        <v/>
      </c>
      <c r="D188" s="227"/>
      <c r="E188" s="247"/>
      <c r="F188" s="235" t="s">
        <v>17</v>
      </c>
      <c r="G188" s="235"/>
      <c r="H188" s="272">
        <f>'3rdMAY'!J188</f>
        <v>1.5</v>
      </c>
      <c r="I188" s="281">
        <v>1.0</v>
      </c>
      <c r="J188" s="282">
        <v>1.0</v>
      </c>
      <c r="K188" s="283">
        <v>1.0</v>
      </c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0.5</v>
      </c>
      <c r="N188" s="191"/>
      <c r="O188" s="247"/>
    </row>
    <row r="189">
      <c r="A189" s="12" t="s">
        <v>220</v>
      </c>
      <c r="B189" s="12" t="s">
        <v>35</v>
      </c>
      <c r="C189" s="271" t="str">
        <f>'3rdMAY'!E189</f>
        <v/>
      </c>
      <c r="D189" s="191"/>
      <c r="E189" s="247"/>
      <c r="F189" s="235" t="s">
        <v>35</v>
      </c>
      <c r="G189" s="235"/>
      <c r="H189" s="272" t="str">
        <f>'3rdMAY'!J189</f>
        <v/>
      </c>
      <c r="I189" s="281">
        <v>1.0</v>
      </c>
      <c r="J189" s="284"/>
      <c r="K189" s="283">
        <v>1.0</v>
      </c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'3rdMAY'!E190</f>
        <v/>
      </c>
      <c r="D190" s="227">
        <v>3.0</v>
      </c>
      <c r="E190" s="247"/>
      <c r="F190" s="235" t="s">
        <v>17</v>
      </c>
      <c r="G190" s="235"/>
      <c r="H190" s="272">
        <f>'3rdMAY'!J190</f>
        <v>5</v>
      </c>
      <c r="I190" s="281">
        <v>1.0</v>
      </c>
      <c r="J190" s="282">
        <v>2.0</v>
      </c>
      <c r="K190" s="283">
        <v>1.0</v>
      </c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6</v>
      </c>
      <c r="N190" s="191"/>
      <c r="O190" s="247"/>
    </row>
    <row r="191">
      <c r="A191" s="12" t="s">
        <v>222</v>
      </c>
      <c r="B191" s="12" t="s">
        <v>17</v>
      </c>
      <c r="C191" s="271" t="str">
        <f>'3rdMAY'!E191</f>
        <v/>
      </c>
      <c r="D191" s="191"/>
      <c r="E191" s="247"/>
      <c r="F191" s="235" t="s">
        <v>17</v>
      </c>
      <c r="G191" s="235"/>
      <c r="H191" s="272" t="str">
        <f>'3rdMAY'!J191</f>
        <v/>
      </c>
      <c r="I191" s="281">
        <v>1.0</v>
      </c>
      <c r="J191" s="284"/>
      <c r="K191" s="283">
        <v>1.0</v>
      </c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'3rdMAY'!E192</f>
        <v/>
      </c>
      <c r="D192" s="227">
        <v>3.0</v>
      </c>
      <c r="E192" s="247"/>
      <c r="F192" s="235" t="s">
        <v>17</v>
      </c>
      <c r="G192" s="235"/>
      <c r="H192" s="272" t="str">
        <f>'3rdMAY'!J192</f>
        <v/>
      </c>
      <c r="I192" s="281">
        <v>1.0</v>
      </c>
      <c r="J192" s="282">
        <v>1.0</v>
      </c>
      <c r="K192" s="283">
        <v>1.0</v>
      </c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2</v>
      </c>
      <c r="N192" s="191"/>
      <c r="O192" s="247"/>
    </row>
    <row r="193">
      <c r="A193" s="12" t="s">
        <v>224</v>
      </c>
      <c r="B193" s="12" t="s">
        <v>202</v>
      </c>
      <c r="C193" s="271" t="str">
        <f>'3rdMAY'!E193</f>
        <v/>
      </c>
      <c r="D193" s="227"/>
      <c r="E193" s="247"/>
      <c r="F193" s="235" t="s">
        <v>202</v>
      </c>
      <c r="G193" s="235"/>
      <c r="H193" s="272">
        <f>'3rdMAY'!J193</f>
        <v>1</v>
      </c>
      <c r="I193" s="281">
        <v>1.0</v>
      </c>
      <c r="J193" s="282">
        <v>1.0</v>
      </c>
      <c r="K193" s="283">
        <v>1.0</v>
      </c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</v>
      </c>
      <c r="N193" s="191"/>
      <c r="O193" s="247"/>
    </row>
    <row r="194">
      <c r="A194" s="12" t="s">
        <v>225</v>
      </c>
      <c r="B194" s="12" t="s">
        <v>35</v>
      </c>
      <c r="C194" s="271" t="str">
        <f>'3rdMAY'!E194</f>
        <v/>
      </c>
      <c r="D194" s="191"/>
      <c r="E194" s="247"/>
      <c r="F194" s="235" t="s">
        <v>35</v>
      </c>
      <c r="G194" s="235"/>
      <c r="H194" s="272">
        <f>'3rdMAY'!J194</f>
        <v>1</v>
      </c>
      <c r="I194" s="281">
        <v>1.0</v>
      </c>
      <c r="J194" s="282"/>
      <c r="K194" s="283">
        <v>1.0</v>
      </c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1</v>
      </c>
      <c r="N194" s="191"/>
      <c r="O194" s="247"/>
    </row>
    <row r="195">
      <c r="A195" s="12" t="s">
        <v>227</v>
      </c>
      <c r="B195" s="12" t="s">
        <v>35</v>
      </c>
      <c r="C195" s="271" t="str">
        <f>'3rdMAY'!E195</f>
        <v/>
      </c>
      <c r="D195" s="191"/>
      <c r="E195" s="247"/>
      <c r="F195" s="235" t="s">
        <v>35</v>
      </c>
      <c r="G195" s="285"/>
      <c r="H195" s="272">
        <f>'3rdMAY'!J195</f>
        <v>0.526</v>
      </c>
      <c r="I195" s="281">
        <v>1.0</v>
      </c>
      <c r="J195" s="282"/>
      <c r="K195" s="283">
        <v>1.0</v>
      </c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0.526</v>
      </c>
      <c r="N195" s="191"/>
      <c r="O195" s="247"/>
    </row>
    <row r="196">
      <c r="A196" s="12" t="s">
        <v>228</v>
      </c>
      <c r="B196" s="12" t="s">
        <v>155</v>
      </c>
      <c r="C196" s="271" t="str">
        <f>'3rdMAY'!E196</f>
        <v/>
      </c>
      <c r="D196" s="191"/>
      <c r="E196" s="247"/>
      <c r="F196" s="235" t="s">
        <v>35</v>
      </c>
      <c r="G196" s="235"/>
      <c r="H196" s="272">
        <f>'3rdMAY'!J196</f>
        <v>0.149</v>
      </c>
      <c r="I196" s="281">
        <v>1.0</v>
      </c>
      <c r="J196" s="282">
        <v>0.14</v>
      </c>
      <c r="K196" s="283">
        <v>1.0</v>
      </c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0.009</v>
      </c>
      <c r="N196" s="191"/>
      <c r="O196" s="247"/>
    </row>
    <row r="197">
      <c r="A197" s="12" t="s">
        <v>229</v>
      </c>
      <c r="B197" s="12" t="s">
        <v>17</v>
      </c>
      <c r="C197" s="271" t="str">
        <f>'3rdMAY'!E197</f>
        <v/>
      </c>
      <c r="D197" s="227">
        <v>3.0</v>
      </c>
      <c r="E197" s="247"/>
      <c r="F197" s="235" t="s">
        <v>17</v>
      </c>
      <c r="G197" s="235"/>
      <c r="H197" s="272" t="str">
        <f>'3rdMAY'!J197</f>
        <v/>
      </c>
      <c r="I197" s="281">
        <v>1.0</v>
      </c>
      <c r="J197" s="282"/>
      <c r="K197" s="283">
        <v>1.0</v>
      </c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3</v>
      </c>
      <c r="N197" s="191"/>
      <c r="O197" s="247"/>
    </row>
    <row r="198">
      <c r="A198" s="12" t="s">
        <v>231</v>
      </c>
      <c r="B198" s="12" t="s">
        <v>35</v>
      </c>
      <c r="C198" s="271" t="str">
        <f>'3rdMAY'!E198</f>
        <v/>
      </c>
      <c r="D198" s="191"/>
      <c r="E198" s="247"/>
      <c r="F198" s="235" t="s">
        <v>35</v>
      </c>
      <c r="G198" s="235"/>
      <c r="H198" s="272">
        <f>'3rdMAY'!J198</f>
        <v>1.513</v>
      </c>
      <c r="I198" s="281">
        <v>1.0</v>
      </c>
      <c r="J198" s="282"/>
      <c r="K198" s="283">
        <v>1.0</v>
      </c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1.513</v>
      </c>
      <c r="N198" s="191"/>
      <c r="O198" s="247"/>
    </row>
    <row r="199">
      <c r="A199" s="12" t="s">
        <v>232</v>
      </c>
      <c r="B199" s="12" t="s">
        <v>202</v>
      </c>
      <c r="C199" s="271" t="str">
        <f>'3rdMAY'!E199</f>
        <v/>
      </c>
      <c r="D199" s="191"/>
      <c r="E199" s="247"/>
      <c r="F199" s="235" t="s">
        <v>202</v>
      </c>
      <c r="G199" s="285"/>
      <c r="H199" s="272">
        <f>'3rdMAY'!J199</f>
        <v>1</v>
      </c>
      <c r="I199" s="281">
        <v>1.0</v>
      </c>
      <c r="J199" s="282">
        <v>0.5</v>
      </c>
      <c r="K199" s="283">
        <v>1.0</v>
      </c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0.5</v>
      </c>
      <c r="N199" s="191"/>
      <c r="O199" s="247"/>
    </row>
    <row r="200">
      <c r="A200" s="12" t="s">
        <v>233</v>
      </c>
      <c r="B200" s="12" t="s">
        <v>17</v>
      </c>
      <c r="C200" s="271" t="str">
        <f>'3rdMAY'!E200</f>
        <v/>
      </c>
      <c r="D200" s="227">
        <v>1.0</v>
      </c>
      <c r="E200" s="280"/>
      <c r="F200" s="235" t="s">
        <v>234</v>
      </c>
      <c r="G200" s="285"/>
      <c r="H200" s="272">
        <f>'3rdMAY'!J200</f>
        <v>1</v>
      </c>
      <c r="I200" s="281">
        <v>1.0</v>
      </c>
      <c r="J200" s="282">
        <v>2.0</v>
      </c>
      <c r="K200" s="283">
        <v>1.0</v>
      </c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0</v>
      </c>
      <c r="N200" s="191"/>
      <c r="O200" s="247"/>
    </row>
    <row r="201">
      <c r="A201" s="25" t="s">
        <v>235</v>
      </c>
      <c r="B201" s="26" t="s">
        <v>202</v>
      </c>
      <c r="C201" s="271" t="str">
        <f>'3rdMAY'!E201</f>
        <v/>
      </c>
      <c r="D201" s="227"/>
      <c r="E201" s="247"/>
      <c r="F201" s="235" t="s">
        <v>202</v>
      </c>
      <c r="G201" s="235"/>
      <c r="H201" s="272" t="str">
        <f>'3rdMAY'!J201</f>
        <v/>
      </c>
      <c r="I201" s="281">
        <v>1.0</v>
      </c>
      <c r="J201" s="284"/>
      <c r="K201" s="283">
        <v>1.0</v>
      </c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</v>
      </c>
      <c r="N201" s="191"/>
      <c r="O201" s="247"/>
    </row>
    <row r="202">
      <c r="A202" s="25" t="s">
        <v>236</v>
      </c>
      <c r="B202" s="26" t="s">
        <v>237</v>
      </c>
      <c r="C202" s="271" t="str">
        <f>'3rdMAY'!E202</f>
        <v/>
      </c>
      <c r="D202" s="227">
        <v>1.0</v>
      </c>
      <c r="E202" s="247"/>
      <c r="F202" s="235" t="s">
        <v>35</v>
      </c>
      <c r="G202" s="235"/>
      <c r="H202" s="272">
        <f>'3rdMAY'!J202</f>
        <v>0.3</v>
      </c>
      <c r="I202" s="281">
        <v>1.0</v>
      </c>
      <c r="J202" s="282">
        <v>1.0</v>
      </c>
      <c r="K202" s="283">
        <v>1.0</v>
      </c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0.3</v>
      </c>
      <c r="N202" s="191"/>
      <c r="O202" s="247"/>
    </row>
    <row r="203">
      <c r="A203" s="25" t="s">
        <v>238</v>
      </c>
      <c r="B203" s="26" t="s">
        <v>202</v>
      </c>
      <c r="C203" s="271" t="str">
        <f>'3rdMAY'!E203</f>
        <v/>
      </c>
      <c r="D203" s="227"/>
      <c r="E203" s="247"/>
      <c r="F203" s="235" t="s">
        <v>202</v>
      </c>
      <c r="G203" s="235"/>
      <c r="H203" s="272">
        <f>'3rdMAY'!J203</f>
        <v>1</v>
      </c>
      <c r="I203" s="281">
        <v>1.0</v>
      </c>
      <c r="J203" s="282">
        <v>1.0</v>
      </c>
      <c r="K203" s="283">
        <v>1.0</v>
      </c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71" t="str">
        <f>'3rdMAY'!E204</f>
        <v/>
      </c>
      <c r="D204" s="191"/>
      <c r="E204" s="247"/>
      <c r="F204" s="235" t="s">
        <v>35</v>
      </c>
      <c r="G204" s="235"/>
      <c r="H204" s="272" t="str">
        <f>'3rdMAY'!J204</f>
        <v/>
      </c>
      <c r="I204" s="281">
        <v>1.0</v>
      </c>
      <c r="J204" s="282"/>
      <c r="K204" s="283">
        <v>1.0</v>
      </c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'3rdMAY'!E205</f>
        <v/>
      </c>
      <c r="D205" s="227"/>
      <c r="E205" s="247"/>
      <c r="F205" s="235" t="s">
        <v>17</v>
      </c>
      <c r="G205" s="235"/>
      <c r="H205" s="272" t="str">
        <f>'3rdMAY'!J205</f>
        <v/>
      </c>
      <c r="I205" s="281">
        <v>1.0</v>
      </c>
      <c r="J205" s="282"/>
      <c r="K205" s="283">
        <v>1.0</v>
      </c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0</v>
      </c>
      <c r="N205" s="191"/>
      <c r="O205" s="247"/>
    </row>
    <row r="206">
      <c r="A206" s="12" t="s">
        <v>242</v>
      </c>
      <c r="B206" s="12" t="s">
        <v>35</v>
      </c>
      <c r="C206" s="271" t="str">
        <f>'3rdMAY'!E206</f>
        <v/>
      </c>
      <c r="D206" s="227"/>
      <c r="E206" s="247"/>
      <c r="F206" s="235" t="s">
        <v>35</v>
      </c>
      <c r="G206" s="285">
        <v>150.0</v>
      </c>
      <c r="H206" s="272">
        <f>'3rdMAY'!J206</f>
        <v>150</v>
      </c>
      <c r="I206" s="281">
        <v>1.0</v>
      </c>
      <c r="J206" s="282">
        <v>300.0</v>
      </c>
      <c r="K206" s="283">
        <v>1.0</v>
      </c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0</v>
      </c>
      <c r="N206" s="191"/>
      <c r="O206" s="247"/>
    </row>
    <row r="207">
      <c r="A207" s="12" t="s">
        <v>243</v>
      </c>
      <c r="B207" s="12" t="s">
        <v>241</v>
      </c>
      <c r="C207" s="271">
        <f>'3rdMAY'!E207</f>
        <v>5</v>
      </c>
      <c r="D207" s="227">
        <v>6.0</v>
      </c>
      <c r="E207" s="247"/>
      <c r="F207" s="235" t="s">
        <v>17</v>
      </c>
      <c r="G207" s="285"/>
      <c r="H207" s="272" t="str">
        <f>'3rdMAY'!J207</f>
        <v/>
      </c>
      <c r="I207" s="281">
        <v>1.0</v>
      </c>
      <c r="J207" s="282"/>
      <c r="K207" s="283">
        <v>1.0</v>
      </c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11</v>
      </c>
      <c r="N207" s="191"/>
      <c r="O207" s="247"/>
    </row>
    <row r="208">
      <c r="A208" s="10" t="s">
        <v>245</v>
      </c>
      <c r="B208" s="11"/>
      <c r="C208" s="271" t="str">
        <f>'3rdMAY'!E208</f>
        <v/>
      </c>
      <c r="D208" s="191"/>
      <c r="E208" s="247"/>
      <c r="F208" s="235"/>
      <c r="G208" s="235"/>
      <c r="H208" s="272" t="str">
        <f>'3rdMAY'!J208</f>
        <v/>
      </c>
      <c r="I208" s="281">
        <v>1.0</v>
      </c>
      <c r="J208" s="284"/>
      <c r="K208" s="283">
        <v>1.0</v>
      </c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'3rdMAY'!E209</f>
        <v/>
      </c>
      <c r="D209" s="227">
        <v>2.0</v>
      </c>
      <c r="E209" s="247"/>
      <c r="F209" s="235" t="s">
        <v>155</v>
      </c>
      <c r="G209" s="285"/>
      <c r="H209" s="272" t="str">
        <f>'3rdMAY'!J209</f>
        <v/>
      </c>
      <c r="I209" s="281">
        <v>1.0</v>
      </c>
      <c r="J209" s="282">
        <v>1.0</v>
      </c>
      <c r="K209" s="283">
        <v>1.0</v>
      </c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0.012</v>
      </c>
      <c r="N209" s="191"/>
      <c r="O209" s="247"/>
    </row>
    <row r="210">
      <c r="A210" s="12" t="s">
        <v>247</v>
      </c>
      <c r="B210" s="13" t="s">
        <v>59</v>
      </c>
      <c r="C210" s="271">
        <f>'3rdMAY'!E210</f>
        <v>1</v>
      </c>
      <c r="D210" s="191"/>
      <c r="E210" s="280">
        <v>1.0</v>
      </c>
      <c r="F210" s="235" t="s">
        <v>35</v>
      </c>
      <c r="G210" s="235"/>
      <c r="H210" s="272" t="str">
        <f>'3rdMAY'!J210</f>
        <v/>
      </c>
      <c r="I210" s="281">
        <v>1.0</v>
      </c>
      <c r="J210" s="282"/>
      <c r="K210" s="283">
        <v>1.0</v>
      </c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</v>
      </c>
      <c r="N210" s="191"/>
      <c r="O210" s="247"/>
    </row>
    <row r="211">
      <c r="A211" s="12" t="s">
        <v>248</v>
      </c>
      <c r="B211" s="13" t="s">
        <v>59</v>
      </c>
      <c r="C211" s="271">
        <f>'3rdMAY'!E211</f>
        <v>1</v>
      </c>
      <c r="D211" s="191"/>
      <c r="E211" s="280">
        <v>1.0</v>
      </c>
      <c r="F211" s="235" t="s">
        <v>35</v>
      </c>
      <c r="G211" s="235"/>
      <c r="H211" s="272">
        <f>'3rdMAY'!J211</f>
        <v>0.45</v>
      </c>
      <c r="I211" s="281">
        <v>1.0</v>
      </c>
      <c r="J211" s="284"/>
      <c r="K211" s="283">
        <v>1.0</v>
      </c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0.447</v>
      </c>
      <c r="N211" s="191"/>
      <c r="O211" s="247"/>
    </row>
    <row r="212">
      <c r="A212" s="12" t="s">
        <v>250</v>
      </c>
      <c r="B212" s="13" t="s">
        <v>59</v>
      </c>
      <c r="C212" s="271" t="str">
        <f>'3rdMAY'!E212</f>
        <v/>
      </c>
      <c r="D212" s="191"/>
      <c r="E212" s="280"/>
      <c r="F212" s="235" t="s">
        <v>35</v>
      </c>
      <c r="G212" s="235"/>
      <c r="H212" s="272">
        <f>'3rdMAY'!J212</f>
        <v>0.198</v>
      </c>
      <c r="I212" s="281">
        <v>1.0</v>
      </c>
      <c r="J212" s="282">
        <v>0.098</v>
      </c>
      <c r="K212" s="283">
        <v>1.0</v>
      </c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0.1</v>
      </c>
      <c r="N212" s="191"/>
      <c r="O212" s="247"/>
    </row>
    <row r="213">
      <c r="A213" s="12" t="s">
        <v>251</v>
      </c>
      <c r="B213" s="13" t="s">
        <v>34</v>
      </c>
      <c r="C213" s="271" t="str">
        <f>'3rdMAY'!E213</f>
        <v/>
      </c>
      <c r="D213" s="191"/>
      <c r="E213" s="247"/>
      <c r="F213" s="235" t="s">
        <v>35</v>
      </c>
      <c r="G213" s="235"/>
      <c r="H213" s="272" t="str">
        <f>'3rdMAY'!J213</f>
        <v/>
      </c>
      <c r="I213" s="281">
        <v>1.0</v>
      </c>
      <c r="J213" s="284"/>
      <c r="K213" s="283">
        <v>1.0</v>
      </c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'3rdMAY'!E214</f>
        <v/>
      </c>
      <c r="D214" s="191"/>
      <c r="E214" s="247"/>
      <c r="F214" s="235"/>
      <c r="G214" s="235"/>
      <c r="H214" s="272" t="str">
        <f>'3rdMAY'!J214</f>
        <v/>
      </c>
      <c r="I214" s="281">
        <v>1.0</v>
      </c>
      <c r="J214" s="284"/>
      <c r="K214" s="283">
        <v>1.0</v>
      </c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'3rdMAY'!E215</f>
        <v/>
      </c>
      <c r="D215" s="191"/>
      <c r="E215" s="247"/>
      <c r="F215" s="235" t="s">
        <v>254</v>
      </c>
      <c r="G215" s="235"/>
      <c r="H215" s="272" t="str">
        <f>'3rdMAY'!J215</f>
        <v/>
      </c>
      <c r="I215" s="281">
        <v>1.0</v>
      </c>
      <c r="J215" s="284"/>
      <c r="K215" s="283">
        <v>1.0</v>
      </c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'3rdMAY'!E216</f>
        <v/>
      </c>
      <c r="D216" s="191"/>
      <c r="E216" s="247"/>
      <c r="F216" s="235" t="s">
        <v>234</v>
      </c>
      <c r="G216" s="235"/>
      <c r="H216" s="272" t="str">
        <f>'3rdMAY'!J216</f>
        <v/>
      </c>
      <c r="I216" s="281">
        <v>1.0</v>
      </c>
      <c r="J216" s="284"/>
      <c r="K216" s="283">
        <v>1.0</v>
      </c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'3rdMAY'!E217</f>
        <v/>
      </c>
      <c r="D217" s="227"/>
      <c r="E217" s="247"/>
      <c r="F217" s="235" t="s">
        <v>17</v>
      </c>
      <c r="G217" s="235"/>
      <c r="H217" s="272">
        <f>'3rdMAY'!J217</f>
        <v>12</v>
      </c>
      <c r="I217" s="281">
        <v>1.0</v>
      </c>
      <c r="J217" s="282">
        <v>11.0</v>
      </c>
      <c r="K217" s="283">
        <v>1.0</v>
      </c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1</v>
      </c>
      <c r="N217" s="191"/>
      <c r="O217" s="247"/>
    </row>
    <row r="218">
      <c r="A218" s="12" t="s">
        <v>260</v>
      </c>
      <c r="B218" s="12" t="s">
        <v>261</v>
      </c>
      <c r="C218" s="271" t="str">
        <f>'3rdMAY'!E218</f>
        <v/>
      </c>
      <c r="D218" s="227">
        <v>1.0</v>
      </c>
      <c r="E218" s="280">
        <v>1.0</v>
      </c>
      <c r="F218" s="235" t="s">
        <v>35</v>
      </c>
      <c r="G218" s="235"/>
      <c r="H218" s="272">
        <f>'3rdMAY'!J218</f>
        <v>1.381</v>
      </c>
      <c r="I218" s="281">
        <v>1.0</v>
      </c>
      <c r="J218" s="282"/>
      <c r="K218" s="283">
        <v>1.0</v>
      </c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0.161</v>
      </c>
      <c r="N218" s="191"/>
      <c r="O218" s="247"/>
    </row>
    <row r="219">
      <c r="A219" s="12" t="s">
        <v>263</v>
      </c>
      <c r="B219" s="12" t="s">
        <v>17</v>
      </c>
      <c r="C219" s="271" t="str">
        <f>'3rdMAY'!E219</f>
        <v/>
      </c>
      <c r="D219" s="227"/>
      <c r="E219" s="247"/>
      <c r="F219" s="235" t="s">
        <v>17</v>
      </c>
      <c r="G219" s="235"/>
      <c r="H219" s="272">
        <f>'3rdMAY'!J219</f>
        <v>49</v>
      </c>
      <c r="I219" s="281">
        <v>1.0</v>
      </c>
      <c r="J219" s="282">
        <v>29.0</v>
      </c>
      <c r="K219" s="283">
        <v>1.0</v>
      </c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20</v>
      </c>
      <c r="N219" s="191"/>
      <c r="O219" s="247"/>
    </row>
    <row r="220">
      <c r="A220" s="12" t="s">
        <v>264</v>
      </c>
      <c r="B220" s="12" t="s">
        <v>261</v>
      </c>
      <c r="C220" s="271" t="str">
        <f>'3rdMAY'!E220</f>
        <v/>
      </c>
      <c r="D220" s="191"/>
      <c r="E220" s="247"/>
      <c r="F220" s="235" t="s">
        <v>35</v>
      </c>
      <c r="G220" s="235"/>
      <c r="H220" s="272">
        <f>'3rdMAY'!J220</f>
        <v>0.721</v>
      </c>
      <c r="I220" s="281">
        <v>1.0</v>
      </c>
      <c r="J220" s="282">
        <v>0.21</v>
      </c>
      <c r="K220" s="283">
        <v>1.0</v>
      </c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0.511</v>
      </c>
      <c r="N220" s="191"/>
      <c r="O220" s="247"/>
    </row>
    <row r="221">
      <c r="A221" s="12" t="s">
        <v>265</v>
      </c>
      <c r="B221" s="12" t="s">
        <v>40</v>
      </c>
      <c r="C221" s="271" t="str">
        <f>'3rdMAY'!E221</f>
        <v/>
      </c>
      <c r="D221" s="227">
        <v>2.0</v>
      </c>
      <c r="E221" s="247"/>
      <c r="F221" s="235" t="s">
        <v>17</v>
      </c>
      <c r="G221" s="235"/>
      <c r="H221" s="272">
        <f>'3rdMAY'!J221</f>
        <v>22</v>
      </c>
      <c r="I221" s="281">
        <v>1.0</v>
      </c>
      <c r="J221" s="282">
        <v>36.0</v>
      </c>
      <c r="K221" s="283">
        <v>1.0</v>
      </c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36</v>
      </c>
      <c r="N221" s="191"/>
      <c r="O221" s="247"/>
    </row>
    <row r="222">
      <c r="A222" s="12" t="s">
        <v>266</v>
      </c>
      <c r="B222" s="12" t="s">
        <v>267</v>
      </c>
      <c r="C222" s="271" t="str">
        <f>'3rdMAY'!E222</f>
        <v/>
      </c>
      <c r="D222" s="191"/>
      <c r="E222" s="247"/>
      <c r="F222" s="235" t="s">
        <v>17</v>
      </c>
      <c r="G222" s="235"/>
      <c r="H222" s="272">
        <f>'3rdMAY'!J222</f>
        <v>46</v>
      </c>
      <c r="I222" s="281">
        <v>1.0</v>
      </c>
      <c r="J222" s="282">
        <v>29.0</v>
      </c>
      <c r="K222" s="283">
        <v>1.0</v>
      </c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17</v>
      </c>
      <c r="N222" s="191"/>
      <c r="O222" s="247"/>
    </row>
    <row r="223">
      <c r="A223" s="12" t="s">
        <v>268</v>
      </c>
      <c r="B223" s="12" t="s">
        <v>40</v>
      </c>
      <c r="C223" s="271" t="str">
        <f>'3rdMAY'!E223</f>
        <v/>
      </c>
      <c r="D223" s="227">
        <v>1.0</v>
      </c>
      <c r="E223" s="247"/>
      <c r="F223" s="235" t="s">
        <v>17</v>
      </c>
      <c r="G223" s="235"/>
      <c r="H223" s="272">
        <f>'3rdMAY'!J223</f>
        <v>9</v>
      </c>
      <c r="I223" s="281">
        <v>1.0</v>
      </c>
      <c r="J223" s="282">
        <v>15.0</v>
      </c>
      <c r="K223" s="283">
        <v>1.0</v>
      </c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19</v>
      </c>
      <c r="N223" s="191"/>
      <c r="O223" s="247"/>
    </row>
    <row r="224">
      <c r="A224" s="12" t="s">
        <v>269</v>
      </c>
      <c r="B224" s="294" t="s">
        <v>40</v>
      </c>
      <c r="C224" s="271" t="str">
        <f>'3rdMAY'!E224</f>
        <v/>
      </c>
      <c r="D224" s="191"/>
      <c r="E224" s="227">
        <v>1.0</v>
      </c>
      <c r="F224" s="191" t="s">
        <v>17</v>
      </c>
      <c r="G224" s="191"/>
      <c r="H224" s="272">
        <f>'3rdMAY'!J224</f>
        <v>56</v>
      </c>
      <c r="I224" s="281">
        <v>1.0</v>
      </c>
      <c r="J224" s="227">
        <v>5.0</v>
      </c>
      <c r="K224" s="283">
        <v>1.0</v>
      </c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1</v>
      </c>
      <c r="N224" s="191"/>
      <c r="O224" s="247"/>
    </row>
    <row r="225">
      <c r="A225" s="12" t="s">
        <v>270</v>
      </c>
      <c r="B225" s="294" t="s">
        <v>40</v>
      </c>
      <c r="C225" s="271" t="str">
        <f>'3rdMAY'!E225</f>
        <v/>
      </c>
      <c r="D225" s="191"/>
      <c r="E225" s="191"/>
      <c r="F225" s="191" t="s">
        <v>17</v>
      </c>
      <c r="G225" s="191"/>
      <c r="H225" s="272">
        <f>'3rdMAY'!J225</f>
        <v>29</v>
      </c>
      <c r="I225" s="281">
        <v>1.0</v>
      </c>
      <c r="J225" s="227">
        <v>19.0</v>
      </c>
      <c r="K225" s="283">
        <v>1.0</v>
      </c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10</v>
      </c>
      <c r="N225" s="191"/>
      <c r="O225" s="247"/>
    </row>
    <row r="226">
      <c r="A226" s="12" t="s">
        <v>271</v>
      </c>
      <c r="B226" s="294" t="s">
        <v>40</v>
      </c>
      <c r="C226" s="271" t="str">
        <f>'3rdMAY'!E226</f>
        <v/>
      </c>
      <c r="D226" s="227"/>
      <c r="E226" s="191"/>
      <c r="F226" s="191" t="s">
        <v>17</v>
      </c>
      <c r="G226" s="191"/>
      <c r="H226" s="272">
        <f>'3rdMAY'!J226</f>
        <v>67</v>
      </c>
      <c r="I226" s="281">
        <v>1.0</v>
      </c>
      <c r="J226" s="227">
        <v>23.0</v>
      </c>
      <c r="K226" s="283">
        <v>1.0</v>
      </c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44</v>
      </c>
      <c r="N226" s="191"/>
      <c r="O226" s="247"/>
    </row>
    <row r="227">
      <c r="A227" s="12" t="s">
        <v>272</v>
      </c>
      <c r="B227" s="294" t="s">
        <v>40</v>
      </c>
      <c r="C227" s="271" t="str">
        <f>'3rdMAY'!E227</f>
        <v/>
      </c>
      <c r="D227" s="297"/>
      <c r="E227" s="296"/>
      <c r="F227" s="296" t="s">
        <v>17</v>
      </c>
      <c r="G227" s="296"/>
      <c r="H227" s="272">
        <f>'3rdMAY'!J227</f>
        <v>9</v>
      </c>
      <c r="I227" s="281">
        <v>1.0</v>
      </c>
      <c r="J227" s="297">
        <v>7.0</v>
      </c>
      <c r="K227" s="283">
        <v>1.0</v>
      </c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2</v>
      </c>
      <c r="N227" s="296"/>
      <c r="O227" s="299"/>
    </row>
    <row r="228">
      <c r="A228" s="23"/>
      <c r="B228" s="11"/>
      <c r="C228" s="271" t="str">
        <f>'3rdMAY'!E228</f>
        <v/>
      </c>
      <c r="D228" s="11"/>
      <c r="E228" s="11"/>
      <c r="F228" s="11"/>
      <c r="G228" s="11"/>
      <c r="H228" s="272" t="str">
        <f>'3rdMAY'!J228</f>
        <v/>
      </c>
      <c r="I228" s="28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'3rdMAY'!E229</f>
        <v/>
      </c>
      <c r="D229" s="11"/>
      <c r="E229" s="11"/>
      <c r="F229" s="11"/>
      <c r="G229" s="11"/>
      <c r="H229" s="272" t="str">
        <f>'3rdMAY'!J229</f>
        <v/>
      </c>
      <c r="I229" s="281"/>
      <c r="J229" s="11"/>
      <c r="K229" s="283"/>
      <c r="L229" s="11"/>
      <c r="M229" s="11"/>
      <c r="N229" s="11"/>
      <c r="O229" s="11"/>
    </row>
    <row r="230">
      <c r="A230" s="11"/>
      <c r="B230" s="11"/>
      <c r="C230" s="271" t="str">
        <f>'3rdMAY'!E230</f>
        <v/>
      </c>
      <c r="D230" s="11"/>
      <c r="E230" s="11"/>
      <c r="F230" s="11"/>
      <c r="G230" s="11"/>
      <c r="H230" s="272" t="str">
        <f>'3rdMAY'!J230</f>
        <v/>
      </c>
      <c r="I230" s="281"/>
      <c r="J230" s="11"/>
      <c r="K230" s="283"/>
      <c r="L230" s="11"/>
      <c r="M230" s="11"/>
      <c r="N230" s="11"/>
      <c r="O230" s="11"/>
    </row>
    <row r="231">
      <c r="A231" s="11"/>
      <c r="B231" s="11"/>
      <c r="C231" s="271" t="str">
        <f>'3rdMAY'!E231</f>
        <v/>
      </c>
      <c r="D231" s="11"/>
      <c r="E231" s="11"/>
      <c r="F231" s="11"/>
      <c r="G231" s="11"/>
      <c r="H231" s="272" t="str">
        <f>'3rdMAY'!J231</f>
        <v/>
      </c>
      <c r="I231" s="281"/>
      <c r="J231" s="11"/>
      <c r="K231" s="283"/>
      <c r="L231" s="11"/>
      <c r="M231" s="11"/>
      <c r="N231" s="11"/>
      <c r="O231" s="11"/>
    </row>
    <row r="232">
      <c r="A232" s="11"/>
      <c r="B232" s="11"/>
      <c r="C232" s="271" t="str">
        <f>'3rdMAY'!E232</f>
        <v/>
      </c>
      <c r="D232" s="11"/>
      <c r="E232" s="11"/>
      <c r="F232" s="11"/>
      <c r="G232" s="11"/>
      <c r="H232" s="272" t="str">
        <f>'3rdMAY'!J232</f>
        <v/>
      </c>
      <c r="I232" s="281"/>
      <c r="J232" s="11"/>
      <c r="K232" s="283"/>
      <c r="L232" s="11"/>
      <c r="M232" s="11"/>
      <c r="N232" s="11"/>
      <c r="O232" s="11"/>
    </row>
    <row r="233">
      <c r="A233" s="11"/>
      <c r="B233" s="11"/>
      <c r="C233" s="271" t="str">
        <f>'3rdMAY'!E233</f>
        <v/>
      </c>
      <c r="D233" s="11"/>
      <c r="E233" s="11"/>
      <c r="F233" s="11"/>
      <c r="G233" s="11"/>
      <c r="H233" s="272" t="str">
        <f>'3rdMAY'!J233</f>
        <v/>
      </c>
      <c r="I233" s="281"/>
      <c r="J233" s="11"/>
      <c r="K233" s="283"/>
      <c r="L233" s="11"/>
      <c r="M233" s="11"/>
      <c r="N233" s="11"/>
      <c r="O233" s="11"/>
    </row>
    <row r="234">
      <c r="A234" s="11"/>
      <c r="B234" s="11"/>
      <c r="C234" s="271" t="str">
        <f>'3rdMAY'!E234</f>
        <v/>
      </c>
      <c r="D234" s="11"/>
      <c r="E234" s="11"/>
      <c r="F234" s="11"/>
      <c r="G234" s="11"/>
      <c r="H234" s="272" t="str">
        <f>'3rdMAY'!J234</f>
        <v/>
      </c>
      <c r="I234" s="281"/>
      <c r="J234" s="11"/>
      <c r="K234" s="283"/>
      <c r="L234" s="11"/>
      <c r="M234" s="11"/>
      <c r="N234" s="11"/>
      <c r="O234" s="11"/>
    </row>
    <row r="235">
      <c r="A235" s="11"/>
      <c r="B235" s="11"/>
      <c r="C235" s="271" t="str">
        <f>'3rdMAY'!E235</f>
        <v/>
      </c>
      <c r="D235" s="11"/>
      <c r="E235" s="11"/>
      <c r="F235" s="11"/>
      <c r="G235" s="11"/>
      <c r="H235" s="272" t="str">
        <f>'3rdMAY'!J235</f>
        <v/>
      </c>
      <c r="I235" s="281"/>
      <c r="J235" s="11"/>
      <c r="K235" s="283"/>
      <c r="L235" s="11"/>
      <c r="M235" s="11"/>
      <c r="N235" s="11"/>
      <c r="O235" s="11"/>
    </row>
    <row r="236">
      <c r="A236" s="11"/>
      <c r="B236" s="11"/>
      <c r="C236" s="271" t="str">
        <f>'3rdMAY'!E236</f>
        <v/>
      </c>
      <c r="D236" s="11"/>
      <c r="E236" s="11"/>
      <c r="F236" s="11"/>
      <c r="G236" s="11"/>
      <c r="H236" s="272" t="str">
        <f>'3rdMAY'!J236</f>
        <v/>
      </c>
      <c r="I236" s="281"/>
      <c r="J236" s="11"/>
      <c r="K236" s="283"/>
      <c r="L236" s="11"/>
      <c r="M236" s="11"/>
      <c r="N236" s="11"/>
      <c r="O236" s="11"/>
    </row>
    <row r="237">
      <c r="A237" s="11"/>
      <c r="B237" s="11"/>
      <c r="C237" s="271" t="str">
        <f>'3rdMAY'!E237</f>
        <v/>
      </c>
      <c r="D237" s="11"/>
      <c r="E237" s="11"/>
      <c r="F237" s="11"/>
      <c r="G237" s="11"/>
      <c r="H237" s="272" t="str">
        <f>'3rdMAY'!J237</f>
        <v/>
      </c>
      <c r="I237" s="281"/>
      <c r="J237" s="11"/>
      <c r="K237" s="283"/>
      <c r="L237" s="11"/>
      <c r="M237" s="11"/>
      <c r="N237" s="11"/>
      <c r="O237" s="11"/>
    </row>
    <row r="238">
      <c r="A238" s="11"/>
      <c r="B238" s="11"/>
      <c r="C238" s="271" t="str">
        <f>'3rdMAY'!E238</f>
        <v/>
      </c>
      <c r="D238" s="11"/>
      <c r="E238" s="11"/>
      <c r="F238" s="11"/>
      <c r="G238" s="11"/>
      <c r="H238" s="272" t="str">
        <f>'3rdMAY'!J238</f>
        <v/>
      </c>
      <c r="I238" s="281"/>
      <c r="J238" s="11"/>
      <c r="K238" s="283"/>
      <c r="L238" s="11"/>
      <c r="M238" s="11"/>
      <c r="N238" s="11"/>
      <c r="O238" s="11"/>
    </row>
    <row r="239">
      <c r="A239" s="11"/>
      <c r="B239" s="11"/>
      <c r="C239" s="271" t="str">
        <f>'3rdMAY'!E239</f>
        <v/>
      </c>
      <c r="D239" s="11"/>
      <c r="E239" s="11"/>
      <c r="F239" s="11"/>
      <c r="G239" s="11"/>
      <c r="H239" s="272" t="str">
        <f>'3rdMAY'!J239</f>
        <v/>
      </c>
      <c r="I239" s="281"/>
      <c r="J239" s="11"/>
      <c r="K239" s="283"/>
      <c r="L239" s="11"/>
      <c r="M239" s="11"/>
      <c r="N239" s="11"/>
      <c r="O239" s="11"/>
    </row>
    <row r="240">
      <c r="A240" s="11"/>
      <c r="B240" s="11"/>
      <c r="C240" s="271" t="str">
        <f>'3rdMAY'!E240</f>
        <v/>
      </c>
      <c r="D240" s="11"/>
      <c r="E240" s="11"/>
      <c r="F240" s="11"/>
      <c r="G240" s="11"/>
      <c r="H240" s="272" t="str">
        <f>'3rdMAY'!J240</f>
        <v/>
      </c>
      <c r="I240" s="281"/>
      <c r="J240" s="11"/>
      <c r="K240" s="283"/>
      <c r="L240" s="11"/>
      <c r="M240" s="11"/>
      <c r="N240" s="11"/>
      <c r="O240" s="11"/>
    </row>
    <row r="241">
      <c r="A241" s="11"/>
      <c r="B241" s="11"/>
      <c r="C241" s="271" t="str">
        <f>'3rdMAY'!E241</f>
        <v/>
      </c>
      <c r="D241" s="11"/>
      <c r="E241" s="11"/>
      <c r="F241" s="11"/>
      <c r="G241" s="11"/>
      <c r="H241" s="272" t="str">
        <f>'3rdMAY'!J241</f>
        <v/>
      </c>
      <c r="I241" s="281"/>
      <c r="J241" s="11"/>
      <c r="K241" s="283"/>
      <c r="L241" s="11"/>
      <c r="M241" s="11"/>
      <c r="N241" s="11"/>
      <c r="O241" s="11"/>
    </row>
    <row r="242">
      <c r="A242" s="11"/>
      <c r="B242" s="11"/>
      <c r="C242" s="271" t="str">
        <f>'3rdMAY'!E242</f>
        <v/>
      </c>
      <c r="D242" s="11"/>
      <c r="E242" s="11"/>
      <c r="F242" s="11"/>
      <c r="G242" s="11"/>
      <c r="H242" s="272" t="str">
        <f>'3rdMAY'!J242</f>
        <v/>
      </c>
      <c r="I242" s="281"/>
      <c r="J242" s="11"/>
      <c r="K242" s="283"/>
      <c r="L242" s="11"/>
      <c r="M242" s="11"/>
      <c r="N242" s="11"/>
      <c r="O242" s="11"/>
    </row>
    <row r="243">
      <c r="A243" s="11"/>
      <c r="B243" s="11"/>
      <c r="C243" s="271" t="str">
        <f>'3rdMAY'!E243</f>
        <v/>
      </c>
      <c r="D243" s="11"/>
      <c r="E243" s="11"/>
      <c r="F243" s="11"/>
      <c r="G243" s="11"/>
      <c r="H243" s="272" t="str">
        <f>'3rdMAY'!J243</f>
        <v/>
      </c>
      <c r="I243" s="281"/>
      <c r="J243" s="11"/>
      <c r="K243" s="283"/>
      <c r="L243" s="11"/>
      <c r="M243" s="11"/>
      <c r="N243" s="11"/>
      <c r="O243" s="11"/>
    </row>
    <row r="244">
      <c r="A244" s="11"/>
      <c r="B244" s="11"/>
      <c r="C244" s="271" t="str">
        <f>'3rdMAY'!E244</f>
        <v/>
      </c>
      <c r="D244" s="11"/>
      <c r="E244" s="11"/>
      <c r="F244" s="11"/>
      <c r="G244" s="11"/>
      <c r="H244" s="272" t="str">
        <f>'3rdMAY'!J244</f>
        <v/>
      </c>
      <c r="I244" s="281"/>
      <c r="J244" s="11"/>
      <c r="K244" s="283"/>
      <c r="L244" s="11"/>
      <c r="M244" s="11"/>
      <c r="N244" s="11"/>
      <c r="O244" s="11"/>
    </row>
    <row r="245">
      <c r="A245" s="11"/>
      <c r="B245" s="11"/>
      <c r="C245" s="271" t="str">
        <f>'3rdMAY'!E245</f>
        <v/>
      </c>
      <c r="D245" s="11"/>
      <c r="E245" s="11"/>
      <c r="F245" s="11"/>
      <c r="G245" s="11"/>
      <c r="H245" s="272" t="str">
        <f>'3rdMAY'!J245</f>
        <v/>
      </c>
      <c r="I245" s="281"/>
      <c r="J245" s="11"/>
      <c r="K245" s="283"/>
      <c r="L245" s="11"/>
      <c r="M245" s="11"/>
      <c r="N245" s="11"/>
      <c r="O245" s="11"/>
    </row>
    <row r="246">
      <c r="A246" s="11"/>
      <c r="B246" s="11"/>
      <c r="C246" s="271" t="str">
        <f>'3rdMAY'!E246</f>
        <v/>
      </c>
      <c r="D246" s="11"/>
      <c r="E246" s="11"/>
      <c r="F246" s="11"/>
      <c r="G246" s="11"/>
      <c r="H246" s="272" t="str">
        <f>'3rdMAY'!J246</f>
        <v/>
      </c>
      <c r="I246" s="281"/>
      <c r="J246" s="11"/>
      <c r="K246" s="11"/>
      <c r="L246" s="11"/>
      <c r="M246" s="11"/>
      <c r="N246" s="11"/>
      <c r="O246" s="11"/>
    </row>
    <row r="247">
      <c r="A247" s="11"/>
      <c r="B247" s="11"/>
      <c r="C247" s="271" t="str">
        <f>'3rdMAY'!E247</f>
        <v/>
      </c>
      <c r="D247" s="11"/>
      <c r="E247" s="11"/>
      <c r="F247" s="11"/>
      <c r="G247" s="11"/>
      <c r="H247" s="272" t="str">
        <f>'3rdMAY'!J247</f>
        <v/>
      </c>
      <c r="I247" s="281"/>
      <c r="J247" s="11"/>
      <c r="K247" s="11"/>
      <c r="L247" s="11"/>
      <c r="M247" s="11"/>
      <c r="N247" s="11"/>
      <c r="O247" s="11"/>
    </row>
    <row r="248">
      <c r="A248" s="11"/>
      <c r="B248" s="11"/>
      <c r="C248" s="271" t="str">
        <f>'3rdMAY'!E248</f>
        <v/>
      </c>
      <c r="D248" s="11"/>
      <c r="E248" s="11"/>
      <c r="F248" s="11"/>
      <c r="G248" s="11"/>
      <c r="H248" s="272" t="str">
        <f>'3rdMAY'!J248</f>
        <v/>
      </c>
      <c r="I248" s="281"/>
      <c r="J248" s="11"/>
      <c r="K248" s="11"/>
      <c r="L248" s="11"/>
      <c r="M248" s="11"/>
      <c r="N248" s="11"/>
      <c r="O248" s="11"/>
    </row>
    <row r="249">
      <c r="A249" s="11"/>
      <c r="B249" s="11"/>
      <c r="C249" s="271" t="str">
        <f>'3rdMAY'!E249</f>
        <v/>
      </c>
      <c r="D249" s="11"/>
      <c r="E249" s="11"/>
      <c r="F249" s="11"/>
      <c r="G249" s="11"/>
      <c r="H249" s="272" t="str">
        <f>'3rdMAY'!J249</f>
        <v/>
      </c>
      <c r="I249" s="281"/>
      <c r="J249" s="11"/>
      <c r="K249" s="11"/>
      <c r="L249" s="11"/>
      <c r="M249" s="11"/>
      <c r="N249" s="11"/>
      <c r="O249" s="11"/>
    </row>
    <row r="250">
      <c r="A250" s="11"/>
      <c r="B250" s="11"/>
      <c r="C250" s="271" t="str">
        <f>'3rdMAY'!E250</f>
        <v/>
      </c>
      <c r="D250" s="11"/>
      <c r="E250" s="11"/>
      <c r="F250" s="11"/>
      <c r="G250" s="11"/>
      <c r="H250" s="272" t="str">
        <f>'3rdMAY'!J250</f>
        <v/>
      </c>
      <c r="I250" s="281"/>
      <c r="J250" s="11"/>
      <c r="K250" s="11"/>
      <c r="L250" s="11"/>
      <c r="M250" s="11"/>
      <c r="N250" s="11"/>
      <c r="O250" s="11"/>
    </row>
    <row r="251">
      <c r="A251" s="11"/>
      <c r="B251" s="11"/>
      <c r="C251" s="271" t="str">
        <f>'3rdMAY'!E251</f>
        <v/>
      </c>
      <c r="D251" s="11"/>
      <c r="E251" s="11"/>
      <c r="F251" s="11"/>
      <c r="G251" s="11"/>
      <c r="H251" s="272" t="str">
        <f>'3rdMAY'!J251</f>
        <v/>
      </c>
      <c r="I251" s="281"/>
      <c r="J251" s="11"/>
      <c r="K251" s="11"/>
      <c r="L251" s="11"/>
      <c r="M251" s="11"/>
      <c r="N251" s="11"/>
      <c r="O251" s="11"/>
    </row>
    <row r="252">
      <c r="A252" s="11"/>
      <c r="B252" s="11"/>
      <c r="C252" s="271" t="str">
        <f>'3rdMAY'!E252</f>
        <v/>
      </c>
      <c r="D252" s="11"/>
      <c r="E252" s="11"/>
      <c r="F252" s="11"/>
      <c r="G252" s="11"/>
      <c r="H252" s="272" t="str">
        <f>'3rdMAY'!J252</f>
        <v/>
      </c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271" t="str">
        <f>'3rdMAY'!E253</f>
        <v/>
      </c>
      <c r="D253" s="11"/>
      <c r="E253" s="11"/>
      <c r="F253" s="11"/>
      <c r="G253" s="11"/>
      <c r="H253" s="272" t="str">
        <f>'3rdMAY'!J253</f>
        <v/>
      </c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271" t="str">
        <f>'3rdMAY'!E254</f>
        <v/>
      </c>
      <c r="D254" s="11"/>
      <c r="E254" s="11"/>
      <c r="F254" s="11"/>
      <c r="G254" s="11"/>
      <c r="H254" s="272" t="str">
        <f>'3rdMAY'!J254</f>
        <v/>
      </c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271" t="str">
        <f>'3rdMAY'!E255</f>
        <v/>
      </c>
      <c r="D255" s="11"/>
      <c r="E255" s="11"/>
      <c r="F255" s="11"/>
      <c r="G255" s="11"/>
      <c r="H255" s="272" t="str">
        <f>'3rdMAY'!J255</f>
        <v/>
      </c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272" t="str">
        <f>'3rdMAY'!J256</f>
        <v/>
      </c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272" t="str">
        <f>'3rdMAY'!J257</f>
        <v/>
      </c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272" t="str">
        <f>'3rdMAY'!J258</f>
        <v/>
      </c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272" t="str">
        <f>'3rdMAY'!J259</f>
        <v/>
      </c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272" t="str">
        <f>'3rdMAY'!J260</f>
        <v/>
      </c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272" t="str">
        <f>'3rdMAY'!J261</f>
        <v/>
      </c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19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</sheetData>
  <mergeCells count="4">
    <mergeCell ref="A1:O1"/>
    <mergeCell ref="B2:E2"/>
    <mergeCell ref="F2:K2"/>
    <mergeCell ref="L2:O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1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f>'2ndMAY'!E5</f>
        <v>17</v>
      </c>
      <c r="D5" s="272">
        <v>10.0</v>
      </c>
      <c r="E5" s="273">
        <v>19.0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24</v>
      </c>
      <c r="N5" s="268"/>
      <c r="O5" s="269"/>
    </row>
    <row r="6">
      <c r="A6" s="192" t="s">
        <v>401</v>
      </c>
      <c r="B6" s="191" t="s">
        <v>402</v>
      </c>
      <c r="C6" s="271">
        <f>'2ndMAY'!E6</f>
        <v>8</v>
      </c>
      <c r="D6" s="272"/>
      <c r="E6" s="273">
        <v>7.0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2</v>
      </c>
      <c r="N6" s="268"/>
      <c r="O6" s="269"/>
    </row>
    <row r="7">
      <c r="A7" s="192" t="s">
        <v>404</v>
      </c>
      <c r="B7" s="191" t="s">
        <v>402</v>
      </c>
      <c r="C7" s="271">
        <f>'2ndMAY'!E7</f>
        <v>9</v>
      </c>
      <c r="D7" s="272">
        <v>5.0</v>
      </c>
      <c r="E7" s="273">
        <v>10.0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20</v>
      </c>
      <c r="N7" s="268"/>
      <c r="O7" s="269"/>
    </row>
    <row r="8">
      <c r="A8" s="192" t="s">
        <v>406</v>
      </c>
      <c r="B8" s="191" t="s">
        <v>402</v>
      </c>
      <c r="C8" s="271">
        <f>'2ndMAY'!E8</f>
        <v>6</v>
      </c>
      <c r="D8" s="272">
        <v>5.0</v>
      </c>
      <c r="E8" s="273">
        <v>3.0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8</v>
      </c>
      <c r="N8" s="268"/>
      <c r="O8" s="269"/>
    </row>
    <row r="9">
      <c r="A9" s="192" t="s">
        <v>409</v>
      </c>
      <c r="B9" s="191" t="s">
        <v>402</v>
      </c>
      <c r="C9" s="271">
        <f>'2ndMAY'!E9</f>
        <v>1</v>
      </c>
      <c r="D9" s="268"/>
      <c r="E9" s="273">
        <v>1.0</v>
      </c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192" t="s">
        <v>411</v>
      </c>
      <c r="B10" s="191" t="s">
        <v>402</v>
      </c>
      <c r="C10" s="271">
        <f>'2ndMAY'!E10</f>
        <v>2</v>
      </c>
      <c r="D10" s="272"/>
      <c r="E10" s="273">
        <v>1.0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8</v>
      </c>
      <c r="N10" s="268"/>
      <c r="O10" s="269"/>
    </row>
    <row r="11">
      <c r="A11" s="204" t="s">
        <v>413</v>
      </c>
      <c r="B11" s="191" t="s">
        <v>402</v>
      </c>
      <c r="C11" s="271">
        <f>'2ndMAY'!E11</f>
        <v>13</v>
      </c>
      <c r="D11" s="272">
        <v>10.0</v>
      </c>
      <c r="E11" s="273">
        <v>11.0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12</v>
      </c>
      <c r="N11" s="268"/>
      <c r="O11" s="269"/>
    </row>
    <row r="12">
      <c r="A12" s="192" t="s">
        <v>414</v>
      </c>
      <c r="B12" s="191" t="s">
        <v>402</v>
      </c>
      <c r="C12" s="271" t="str">
        <f>'2ndMAY'!E12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>
        <f>'2ndMAY'!E13</f>
        <v>1</v>
      </c>
      <c r="D13" s="272">
        <v>9.0</v>
      </c>
      <c r="E13" s="273">
        <v>4.0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54</v>
      </c>
      <c r="N13" s="268"/>
      <c r="O13" s="269"/>
    </row>
    <row r="14">
      <c r="A14" s="204" t="s">
        <v>418</v>
      </c>
      <c r="B14" s="191" t="s">
        <v>402</v>
      </c>
      <c r="C14" s="271">
        <f>'2ndMAY'!E14</f>
        <v>1</v>
      </c>
      <c r="D14" s="272">
        <v>13.0</v>
      </c>
      <c r="E14" s="273">
        <v>7.0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7</v>
      </c>
      <c r="N14" s="268"/>
      <c r="O14" s="269"/>
    </row>
    <row r="15">
      <c r="A15" s="204" t="s">
        <v>420</v>
      </c>
      <c r="B15" s="191" t="s">
        <v>402</v>
      </c>
      <c r="C15" s="271">
        <f>'2ndMAY'!E15</f>
        <v>6</v>
      </c>
      <c r="D15" s="268"/>
      <c r="E15" s="273">
        <v>5.0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4</v>
      </c>
      <c r="N15" s="268"/>
      <c r="O15" s="269"/>
    </row>
    <row r="16">
      <c r="A16" s="192" t="s">
        <v>422</v>
      </c>
      <c r="B16" s="191" t="s">
        <v>402</v>
      </c>
      <c r="C16" s="271" t="str">
        <f>'2ndMAY'!E16</f>
        <v/>
      </c>
      <c r="D16" s="272">
        <v>4.0</v>
      </c>
      <c r="E16" s="273">
        <v>4.0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0</v>
      </c>
      <c r="N16" s="268"/>
      <c r="O16" s="269"/>
    </row>
    <row r="17">
      <c r="A17" s="192" t="s">
        <v>423</v>
      </c>
      <c r="B17" s="191" t="s">
        <v>402</v>
      </c>
      <c r="C17" s="271">
        <f>'2ndMAY'!E17</f>
        <v>4</v>
      </c>
      <c r="D17" s="272">
        <v>13.0</v>
      </c>
      <c r="E17" s="273">
        <v>7.0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20</v>
      </c>
      <c r="N17" s="268"/>
      <c r="O17" s="269"/>
    </row>
    <row r="18">
      <c r="A18" s="192" t="s">
        <v>425</v>
      </c>
      <c r="B18" s="191" t="s">
        <v>402</v>
      </c>
      <c r="C18" s="271">
        <f>'2ndMAY'!E18</f>
        <v>5</v>
      </c>
      <c r="D18" s="272"/>
      <c r="E18" s="273">
        <v>5.0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0</v>
      </c>
      <c r="N18" s="268"/>
      <c r="O18" s="269"/>
    </row>
    <row r="19">
      <c r="A19" s="192" t="s">
        <v>426</v>
      </c>
      <c r="B19" s="191" t="s">
        <v>402</v>
      </c>
      <c r="C19" s="271">
        <f>'2ndMAY'!E19</f>
        <v>6</v>
      </c>
      <c r="D19" s="268"/>
      <c r="E19" s="273">
        <v>2.0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4</v>
      </c>
      <c r="N19" s="268"/>
      <c r="O19" s="269"/>
    </row>
    <row r="20">
      <c r="A20" s="192" t="s">
        <v>428</v>
      </c>
      <c r="B20" s="191" t="s">
        <v>402</v>
      </c>
      <c r="C20" s="271">
        <f>'2ndMAY'!E20</f>
        <v>5</v>
      </c>
      <c r="D20" s="268"/>
      <c r="E20" s="273">
        <v>5.0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0</v>
      </c>
      <c r="N20" s="268"/>
      <c r="O20" s="269"/>
    </row>
    <row r="21">
      <c r="A21" s="204" t="s">
        <v>429</v>
      </c>
      <c r="B21" s="191" t="s">
        <v>402</v>
      </c>
      <c r="C21" s="271">
        <f>'2ndMAY'!E21</f>
        <v>4</v>
      </c>
      <c r="D21" s="272">
        <v>5.0</v>
      </c>
      <c r="E21" s="273">
        <v>6.0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12</v>
      </c>
      <c r="N21" s="268"/>
      <c r="O21" s="269"/>
    </row>
    <row r="22">
      <c r="A22" s="204" t="s">
        <v>431</v>
      </c>
      <c r="B22" s="191" t="s">
        <v>402</v>
      </c>
      <c r="C22" s="271" t="str">
        <f>'2ndMAY'!E22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>
        <f>'2ndMAY'!E23</f>
        <v>2.5</v>
      </c>
      <c r="D23" s="272">
        <v>3.0</v>
      </c>
      <c r="E23" s="273"/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11</v>
      </c>
      <c r="N23" s="268"/>
      <c r="O23" s="269"/>
    </row>
    <row r="24">
      <c r="A24" s="192" t="s">
        <v>433</v>
      </c>
      <c r="B24" s="191" t="s">
        <v>402</v>
      </c>
      <c r="C24" s="271">
        <f>'2ndMAY'!E24</f>
        <v>11</v>
      </c>
      <c r="D24" s="272">
        <v>10.0</v>
      </c>
      <c r="E24" s="273">
        <v>14.0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7</v>
      </c>
      <c r="N24" s="268"/>
      <c r="O24" s="269"/>
    </row>
    <row r="25">
      <c r="A25" s="204" t="s">
        <v>435</v>
      </c>
      <c r="B25" s="191" t="s">
        <v>402</v>
      </c>
      <c r="C25" s="271">
        <f>'2ndMAY'!E25</f>
        <v>7</v>
      </c>
      <c r="D25" s="272"/>
      <c r="E25" s="273">
        <v>3.0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4</v>
      </c>
      <c r="N25" s="268"/>
      <c r="O25" s="269"/>
    </row>
    <row r="26">
      <c r="A26" s="192" t="s">
        <v>438</v>
      </c>
      <c r="B26" s="191" t="s">
        <v>402</v>
      </c>
      <c r="C26" s="271">
        <f>'2ndMAY'!E26</f>
        <v>3</v>
      </c>
      <c r="D26" s="268"/>
      <c r="E26" s="273">
        <v>2.0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1</v>
      </c>
      <c r="N26" s="268"/>
      <c r="O26" s="269"/>
    </row>
    <row r="27">
      <c r="A27" s="192" t="s">
        <v>439</v>
      </c>
      <c r="B27" s="191" t="s">
        <v>402</v>
      </c>
      <c r="C27" s="271" t="str">
        <f>'2ndMAY'!E27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f>'2ndMAY'!E28</f>
        <v>6</v>
      </c>
      <c r="D28" s="268"/>
      <c r="E28" s="273">
        <v>3.0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3</v>
      </c>
      <c r="N28" s="268"/>
      <c r="O28" s="269"/>
    </row>
    <row r="29">
      <c r="A29" s="204" t="s">
        <v>441</v>
      </c>
      <c r="B29" s="191" t="s">
        <v>402</v>
      </c>
      <c r="C29" s="271">
        <f>'2ndMAY'!E29</f>
        <v>14</v>
      </c>
      <c r="D29" s="268"/>
      <c r="E29" s="273">
        <v>10.0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8</v>
      </c>
      <c r="N29" s="268"/>
      <c r="O29" s="269"/>
    </row>
    <row r="30">
      <c r="A30" s="204" t="s">
        <v>442</v>
      </c>
      <c r="B30" s="191" t="s">
        <v>402</v>
      </c>
      <c r="C30" s="271">
        <f>'2ndMAY'!E30</f>
        <v>2</v>
      </c>
      <c r="D30" s="272">
        <v>8.0</v>
      </c>
      <c r="E30" s="273">
        <v>8.0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2</v>
      </c>
      <c r="N30" s="268"/>
      <c r="O30" s="269"/>
    </row>
    <row r="31">
      <c r="A31" s="204" t="s">
        <v>444</v>
      </c>
      <c r="B31" s="191" t="s">
        <v>402</v>
      </c>
      <c r="C31" s="271">
        <f>'2ndMAY'!E31</f>
        <v>4</v>
      </c>
      <c r="D31" s="268"/>
      <c r="E31" s="273">
        <v>3.0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1</v>
      </c>
      <c r="N31" s="268"/>
      <c r="O31" s="269"/>
    </row>
    <row r="32">
      <c r="A32" s="204" t="s">
        <v>445</v>
      </c>
      <c r="B32" s="191" t="s">
        <v>402</v>
      </c>
      <c r="C32" s="271">
        <f>'2ndMAY'!E32</f>
        <v>2</v>
      </c>
      <c r="D32" s="272">
        <v>4.0</v>
      </c>
      <c r="E32" s="273">
        <v>6.0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0</v>
      </c>
      <c r="N32" s="268"/>
      <c r="O32" s="269"/>
    </row>
    <row r="33">
      <c r="A33" s="192" t="s">
        <v>446</v>
      </c>
      <c r="B33" s="191" t="s">
        <v>402</v>
      </c>
      <c r="C33" s="271" t="str">
        <f>'2ndMAY'!E33</f>
        <v/>
      </c>
      <c r="D33" s="272">
        <v>1.0</v>
      </c>
      <c r="E33" s="273">
        <v>1.0</v>
      </c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192" t="s">
        <v>447</v>
      </c>
      <c r="B34" s="191" t="s">
        <v>402</v>
      </c>
      <c r="C34" s="271">
        <f>'2ndMAY'!E34</f>
        <v>3</v>
      </c>
      <c r="D34" s="272">
        <v>5.0</v>
      </c>
      <c r="E34" s="273">
        <v>4.0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4</v>
      </c>
      <c r="N34" s="268"/>
      <c r="O34" s="269"/>
    </row>
    <row r="35">
      <c r="A35" s="204" t="s">
        <v>449</v>
      </c>
      <c r="B35" s="191" t="s">
        <v>402</v>
      </c>
      <c r="C35" s="271">
        <f>'2ndMAY'!E35</f>
        <v>3</v>
      </c>
      <c r="D35" s="272"/>
      <c r="E35" s="273">
        <v>1.0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2</v>
      </c>
      <c r="N35" s="268"/>
      <c r="O35" s="269"/>
    </row>
    <row r="36">
      <c r="A36" s="192" t="s">
        <v>451</v>
      </c>
      <c r="B36" s="191" t="s">
        <v>402</v>
      </c>
      <c r="C36" s="271">
        <f>'2ndMAY'!E36</f>
        <v>6</v>
      </c>
      <c r="D36" s="272">
        <v>4.0</v>
      </c>
      <c r="E36" s="273">
        <v>7.0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6</v>
      </c>
      <c r="N36" s="268"/>
      <c r="O36" s="269"/>
    </row>
    <row r="37">
      <c r="A37" s="225" t="s">
        <v>452</v>
      </c>
      <c r="B37" s="191" t="s">
        <v>402</v>
      </c>
      <c r="C37" s="271">
        <f>'2ndMAY'!E37</f>
        <v>1</v>
      </c>
      <c r="D37" s="272">
        <v>8.0</v>
      </c>
      <c r="E37" s="273">
        <v>5.0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16</v>
      </c>
      <c r="N37" s="268"/>
      <c r="O37" s="269"/>
    </row>
    <row r="38">
      <c r="A38" s="225" t="s">
        <v>454</v>
      </c>
      <c r="B38" s="191" t="s">
        <v>402</v>
      </c>
      <c r="C38" s="271">
        <f>'2ndMAY'!E38</f>
        <v>4</v>
      </c>
      <c r="D38" s="268"/>
      <c r="E38" s="273">
        <v>4.0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23" t="s">
        <v>455</v>
      </c>
      <c r="B39" s="191" t="s">
        <v>402</v>
      </c>
      <c r="C39" s="271">
        <f>'2ndMAY'!E39</f>
        <v>3</v>
      </c>
      <c r="D39" s="268"/>
      <c r="E39" s="273">
        <v>2.0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4</v>
      </c>
      <c r="N39" s="268"/>
      <c r="O39" s="269"/>
    </row>
    <row r="40">
      <c r="A40" s="223" t="s">
        <v>456</v>
      </c>
      <c r="B40" s="191" t="s">
        <v>402</v>
      </c>
      <c r="C40" s="271">
        <f>'2ndMAY'!E40</f>
        <v>5.5</v>
      </c>
      <c r="D40" s="272"/>
      <c r="E40" s="273">
        <v>5.0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0.5</v>
      </c>
      <c r="N40" s="268"/>
      <c r="O40" s="269"/>
    </row>
    <row r="41">
      <c r="A41" s="223" t="s">
        <v>457</v>
      </c>
      <c r="B41" s="191" t="s">
        <v>402</v>
      </c>
      <c r="C41" s="271" t="str">
        <f>'2ndMAY'!E41</f>
        <v/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307" t="s">
        <v>762</v>
      </c>
      <c r="B42" s="191"/>
      <c r="C42" s="271" t="str">
        <f>'2ndMAY'!E42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'2ndMAY'!E43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'2ndMAY'!E44</f>
        <v/>
      </c>
      <c r="D44" s="227"/>
      <c r="E44" s="280"/>
      <c r="F44" s="235" t="s">
        <v>14</v>
      </c>
      <c r="G44" s="285">
        <v>1.0</v>
      </c>
      <c r="H44" s="272">
        <f>'2ndMAY'!J44</f>
        <v>1.025</v>
      </c>
      <c r="I44" s="281"/>
      <c r="J44" s="282">
        <v>1.0</v>
      </c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1.025</v>
      </c>
      <c r="N44" s="191"/>
      <c r="O44" s="247"/>
    </row>
    <row r="45">
      <c r="A45" s="12" t="s">
        <v>16</v>
      </c>
      <c r="B45" s="13" t="s">
        <v>17</v>
      </c>
      <c r="C45" s="271" t="str">
        <f>'2ndMAY'!E45</f>
        <v/>
      </c>
      <c r="D45" s="227"/>
      <c r="E45" s="280"/>
      <c r="F45" s="235" t="s">
        <v>17</v>
      </c>
      <c r="G45" s="235"/>
      <c r="H45" s="272">
        <f>'2ndMAY'!J45</f>
        <v>5</v>
      </c>
      <c r="I45" s="281"/>
      <c r="J45" s="282">
        <v>2.0</v>
      </c>
      <c r="K45" s="283"/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3</v>
      </c>
      <c r="N45" s="191"/>
      <c r="O45" s="247"/>
    </row>
    <row r="46">
      <c r="A46" s="15" t="s">
        <v>19</v>
      </c>
      <c r="B46" s="13" t="s">
        <v>17</v>
      </c>
      <c r="C46" s="271" t="str">
        <f>'2ndMAY'!E46</f>
        <v/>
      </c>
      <c r="D46" s="227"/>
      <c r="E46" s="280"/>
      <c r="F46" s="235" t="s">
        <v>17</v>
      </c>
      <c r="G46" s="235"/>
      <c r="H46" s="272">
        <f>'2ndMAY'!J46</f>
        <v>9</v>
      </c>
      <c r="I46" s="281"/>
      <c r="J46" s="282">
        <v>7.0</v>
      </c>
      <c r="K46" s="283"/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2</v>
      </c>
      <c r="N46" s="191"/>
      <c r="O46" s="247"/>
    </row>
    <row r="47">
      <c r="A47" s="12" t="s">
        <v>20</v>
      </c>
      <c r="B47" s="13" t="s">
        <v>17</v>
      </c>
      <c r="C47" s="271" t="str">
        <f>'2ndMAY'!E47</f>
        <v/>
      </c>
      <c r="D47" s="191"/>
      <c r="E47" s="280"/>
      <c r="F47" s="235" t="s">
        <v>17</v>
      </c>
      <c r="G47" s="235"/>
      <c r="H47" s="272">
        <f>'2ndMAY'!J47</f>
        <v>14</v>
      </c>
      <c r="I47" s="281"/>
      <c r="J47" s="282">
        <v>9.0</v>
      </c>
      <c r="K47" s="283"/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5</v>
      </c>
      <c r="N47" s="191"/>
      <c r="O47" s="247"/>
    </row>
    <row r="48">
      <c r="A48" s="12" t="s">
        <v>21</v>
      </c>
      <c r="B48" s="13" t="s">
        <v>17</v>
      </c>
      <c r="C48" s="271" t="str">
        <f>'2ndMAY'!E48</f>
        <v/>
      </c>
      <c r="D48" s="227">
        <v>3.0</v>
      </c>
      <c r="E48" s="280"/>
      <c r="F48" s="235" t="s">
        <v>17</v>
      </c>
      <c r="G48" s="235"/>
      <c r="H48" s="272">
        <f>'2ndMAY'!J48</f>
        <v>5</v>
      </c>
      <c r="I48" s="281"/>
      <c r="J48" s="282">
        <v>8.0</v>
      </c>
      <c r="K48" s="283"/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0</v>
      </c>
      <c r="N48" s="191"/>
      <c r="O48" s="247"/>
    </row>
    <row r="49">
      <c r="A49" s="12" t="s">
        <v>22</v>
      </c>
      <c r="B49" s="13" t="s">
        <v>17</v>
      </c>
      <c r="C49" s="271" t="str">
        <f>'2ndMAY'!E49</f>
        <v/>
      </c>
      <c r="D49" s="191"/>
      <c r="E49" s="247"/>
      <c r="F49" s="235" t="s">
        <v>17</v>
      </c>
      <c r="G49" s="235"/>
      <c r="H49" s="272" t="str">
        <f>'2ndMAY'!J49</f>
        <v/>
      </c>
      <c r="I49" s="281"/>
      <c r="J49" s="284"/>
      <c r="K49" s="283"/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'2ndMAY'!E50</f>
        <v/>
      </c>
      <c r="D50" s="227"/>
      <c r="E50" s="247"/>
      <c r="F50" s="235" t="s">
        <v>25</v>
      </c>
      <c r="G50" s="285">
        <v>1.0</v>
      </c>
      <c r="H50" s="272"/>
      <c r="I50" s="281"/>
      <c r="J50" s="282">
        <v>1.0</v>
      </c>
      <c r="K50" s="283"/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</v>
      </c>
      <c r="N50" s="191"/>
      <c r="O50" s="247"/>
    </row>
    <row r="51">
      <c r="A51" s="12" t="s">
        <v>27</v>
      </c>
      <c r="B51" s="12" t="s">
        <v>24</v>
      </c>
      <c r="C51" s="271" t="str">
        <f>'2ndMAY'!E51</f>
        <v/>
      </c>
      <c r="D51" s="191"/>
      <c r="E51" s="247"/>
      <c r="F51" s="235" t="s">
        <v>24</v>
      </c>
      <c r="G51" s="235"/>
      <c r="H51" s="272" t="str">
        <f>'2ndMAY'!J51</f>
        <v/>
      </c>
      <c r="I51" s="281"/>
      <c r="J51" s="284"/>
      <c r="K51" s="283"/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'2ndMAY'!E52</f>
        <v/>
      </c>
      <c r="D52" s="191"/>
      <c r="E52" s="280"/>
      <c r="F52" s="235" t="s">
        <v>14</v>
      </c>
      <c r="G52" s="285"/>
      <c r="H52" s="272" t="str">
        <f>'2ndMAY'!J52</f>
        <v/>
      </c>
      <c r="I52" s="281"/>
      <c r="J52" s="284"/>
      <c r="K52" s="283"/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16" t="s">
        <v>30</v>
      </c>
      <c r="B53" s="12" t="s">
        <v>24</v>
      </c>
      <c r="C53" s="271" t="str">
        <f>'2ndMAY'!E53</f>
        <v/>
      </c>
      <c r="D53" s="227"/>
      <c r="E53" s="280"/>
      <c r="F53" s="235" t="s">
        <v>35</v>
      </c>
      <c r="G53" s="235"/>
      <c r="H53" s="272">
        <f>'2ndMAY'!J53</f>
        <v>0.743</v>
      </c>
      <c r="I53" s="281"/>
      <c r="J53" s="282">
        <v>0.732</v>
      </c>
      <c r="K53" s="283"/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0.011</v>
      </c>
      <c r="N53" s="191"/>
      <c r="O53" s="247"/>
    </row>
    <row r="54">
      <c r="A54" s="12" t="s">
        <v>33</v>
      </c>
      <c r="B54" s="12" t="s">
        <v>34</v>
      </c>
      <c r="C54" s="271" t="str">
        <f>'2ndMAY'!E54</f>
        <v/>
      </c>
      <c r="D54" s="227"/>
      <c r="E54" s="247"/>
      <c r="F54" s="235" t="s">
        <v>35</v>
      </c>
      <c r="G54" s="235"/>
      <c r="H54" s="272" t="str">
        <f>'2ndMAY'!J54</f>
        <v/>
      </c>
      <c r="I54" s="281"/>
      <c r="J54" s="284"/>
      <c r="K54" s="283"/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</v>
      </c>
      <c r="N54" s="191"/>
      <c r="O54" s="247"/>
    </row>
    <row r="55">
      <c r="A55" s="12" t="s">
        <v>37</v>
      </c>
      <c r="B55" s="12" t="s">
        <v>17</v>
      </c>
      <c r="C55" s="271" t="str">
        <f>'2ndMAY'!E55</f>
        <v/>
      </c>
      <c r="D55" s="191"/>
      <c r="E55" s="247"/>
      <c r="F55" s="235" t="s">
        <v>752</v>
      </c>
      <c r="G55" s="235"/>
      <c r="H55" s="272" t="str">
        <f>'2ndMAY'!J55</f>
        <v/>
      </c>
      <c r="I55" s="281"/>
      <c r="J55" s="284"/>
      <c r="K55" s="283"/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'2ndMAY'!E56</f>
        <v/>
      </c>
      <c r="D56" s="191"/>
      <c r="E56" s="247"/>
      <c r="F56" s="235" t="s">
        <v>17</v>
      </c>
      <c r="G56" s="235"/>
      <c r="H56" s="272">
        <f>'2ndMAY'!J56</f>
        <v>50</v>
      </c>
      <c r="I56" s="281"/>
      <c r="J56" s="284"/>
      <c r="K56" s="283"/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50</v>
      </c>
      <c r="N56" s="191"/>
      <c r="O56" s="247"/>
    </row>
    <row r="57">
      <c r="A57" s="12" t="s">
        <v>42</v>
      </c>
      <c r="B57" s="12" t="s">
        <v>24</v>
      </c>
      <c r="C57" s="271" t="str">
        <f>'2ndMAY'!E57</f>
        <v/>
      </c>
      <c r="D57" s="191"/>
      <c r="E57" s="280"/>
      <c r="F57" s="235" t="s">
        <v>35</v>
      </c>
      <c r="G57" s="235"/>
      <c r="H57" s="272">
        <f>'2ndMAY'!J57</f>
        <v>0.257</v>
      </c>
      <c r="I57" s="281"/>
      <c r="J57" s="282"/>
      <c r="K57" s="283"/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0.257</v>
      </c>
      <c r="N57" s="191"/>
      <c r="O57" s="247"/>
    </row>
    <row r="58">
      <c r="A58" s="12" t="s">
        <v>44</v>
      </c>
      <c r="B58" s="12" t="s">
        <v>24</v>
      </c>
      <c r="C58" s="271">
        <f>'2ndMAY'!E58</f>
        <v>1</v>
      </c>
      <c r="D58" s="191"/>
      <c r="E58" s="247"/>
      <c r="F58" s="235" t="s">
        <v>25</v>
      </c>
      <c r="G58" s="235"/>
      <c r="H58" s="272">
        <f>'2ndMAY'!J58</f>
        <v>0.202</v>
      </c>
      <c r="I58" s="281"/>
      <c r="J58" s="282"/>
      <c r="K58" s="283"/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0.912</v>
      </c>
      <c r="N58" s="191"/>
      <c r="O58" s="247"/>
    </row>
    <row r="59">
      <c r="A59" s="12" t="s">
        <v>45</v>
      </c>
      <c r="B59" s="12" t="s">
        <v>24</v>
      </c>
      <c r="C59" s="271" t="str">
        <f>'2ndMAY'!E59</f>
        <v/>
      </c>
      <c r="D59" s="191"/>
      <c r="E59" s="247"/>
      <c r="F59" s="235" t="s">
        <v>25</v>
      </c>
      <c r="G59" s="235"/>
      <c r="H59" s="272">
        <f>'2ndMAY'!J59</f>
        <v>0.918</v>
      </c>
      <c r="I59" s="281"/>
      <c r="J59" s="282">
        <v>0.918</v>
      </c>
      <c r="K59" s="283"/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</v>
      </c>
      <c r="N59" s="191"/>
      <c r="O59" s="247"/>
    </row>
    <row r="60">
      <c r="A60" s="17" t="s">
        <v>46</v>
      </c>
      <c r="B60" s="12" t="s">
        <v>47</v>
      </c>
      <c r="C60" s="271" t="str">
        <f>'2ndMAY'!E60</f>
        <v/>
      </c>
      <c r="D60" s="191"/>
      <c r="E60" s="247"/>
      <c r="F60" s="235" t="s">
        <v>51</v>
      </c>
      <c r="G60" s="235"/>
      <c r="H60" s="272" t="str">
        <f>'2ndMAY'!J60</f>
        <v/>
      </c>
      <c r="I60" s="281"/>
      <c r="J60" s="284"/>
      <c r="K60" s="283"/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'2ndMAY'!E61</f>
        <v/>
      </c>
      <c r="D61" s="191"/>
      <c r="E61" s="247"/>
      <c r="F61" s="235" t="s">
        <v>51</v>
      </c>
      <c r="G61" s="235"/>
      <c r="H61" s="272" t="str">
        <f>'2ndMAY'!J61</f>
        <v/>
      </c>
      <c r="I61" s="281"/>
      <c r="J61" s="284"/>
      <c r="K61" s="283"/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'2ndMAY'!E62</f>
        <v/>
      </c>
      <c r="D62" s="191"/>
      <c r="E62" s="247"/>
      <c r="F62" s="235" t="s">
        <v>51</v>
      </c>
      <c r="G62" s="235"/>
      <c r="H62" s="272">
        <f>'2ndMAY'!J62</f>
        <v>0.584</v>
      </c>
      <c r="I62" s="281"/>
      <c r="J62" s="282">
        <v>0.56</v>
      </c>
      <c r="K62" s="283"/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0.024</v>
      </c>
      <c r="N62" s="191"/>
      <c r="O62" s="247"/>
    </row>
    <row r="63">
      <c r="A63" s="12" t="s">
        <v>53</v>
      </c>
      <c r="B63" s="12" t="s">
        <v>35</v>
      </c>
      <c r="C63" s="271" t="str">
        <f>'2ndMAY'!E63</f>
        <v/>
      </c>
      <c r="D63" s="191"/>
      <c r="E63" s="247"/>
      <c r="F63" s="235" t="s">
        <v>35</v>
      </c>
      <c r="G63" s="235"/>
      <c r="H63" s="272">
        <f>'2ndMAY'!J63</f>
        <v>1</v>
      </c>
      <c r="I63" s="281"/>
      <c r="J63" s="282">
        <v>1.0</v>
      </c>
      <c r="K63" s="283"/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</v>
      </c>
      <c r="N63" s="191"/>
      <c r="O63" s="247"/>
    </row>
    <row r="64">
      <c r="A64" s="11" t="s">
        <v>55</v>
      </c>
      <c r="B64" s="11" t="s">
        <v>56</v>
      </c>
      <c r="C64" s="271" t="str">
        <f>'2ndMAY'!E64</f>
        <v/>
      </c>
      <c r="D64" s="191"/>
      <c r="E64" s="247"/>
      <c r="F64" s="235" t="s">
        <v>14</v>
      </c>
      <c r="G64" s="235"/>
      <c r="H64" s="272">
        <f>'2ndMAY'!J64</f>
        <v>1.859</v>
      </c>
      <c r="I64" s="281"/>
      <c r="J64" s="282">
        <v>1.435</v>
      </c>
      <c r="K64" s="283"/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0.424</v>
      </c>
      <c r="N64" s="191"/>
      <c r="O64" s="247"/>
    </row>
    <row r="65">
      <c r="A65" s="10" t="s">
        <v>57</v>
      </c>
      <c r="B65" s="11"/>
      <c r="C65" s="271" t="str">
        <f>'2ndMAY'!E65</f>
        <v/>
      </c>
      <c r="D65" s="191"/>
      <c r="E65" s="247"/>
      <c r="F65" s="235"/>
      <c r="G65" s="235"/>
      <c r="H65" s="272" t="str">
        <f>'2ndMAY'!J65</f>
        <v/>
      </c>
      <c r="I65" s="281"/>
      <c r="J65" s="284"/>
      <c r="K65" s="283"/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'2ndMAY'!E66</f>
        <v>1</v>
      </c>
      <c r="D66" s="227">
        <v>3.0</v>
      </c>
      <c r="E66" s="280">
        <v>2.0</v>
      </c>
      <c r="F66" s="235" t="s">
        <v>35</v>
      </c>
      <c r="G66" s="235"/>
      <c r="H66" s="272" t="str">
        <f>'2ndMAY'!J66</f>
        <v/>
      </c>
      <c r="I66" s="281"/>
      <c r="J66" s="282">
        <v>1.016</v>
      </c>
      <c r="K66" s="283"/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2.984</v>
      </c>
      <c r="N66" s="191"/>
      <c r="O66" s="247"/>
    </row>
    <row r="67">
      <c r="A67" s="12" t="s">
        <v>61</v>
      </c>
      <c r="B67" s="12" t="s">
        <v>59</v>
      </c>
      <c r="C67" s="271">
        <f>'2ndMAY'!E67</f>
        <v>1</v>
      </c>
      <c r="D67" s="191"/>
      <c r="E67" s="280">
        <v>1.0</v>
      </c>
      <c r="F67" s="235" t="s">
        <v>35</v>
      </c>
      <c r="G67" s="235"/>
      <c r="H67" s="272" t="str">
        <f>'2ndMAY'!J67</f>
        <v/>
      </c>
      <c r="I67" s="281"/>
      <c r="J67" s="282"/>
      <c r="K67" s="283"/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</v>
      </c>
      <c r="N67" s="191"/>
      <c r="O67" s="247"/>
    </row>
    <row r="68">
      <c r="A68" s="12" t="s">
        <v>62</v>
      </c>
      <c r="B68" s="12" t="s">
        <v>35</v>
      </c>
      <c r="C68" s="271" t="str">
        <f>'2ndMAY'!E68</f>
        <v/>
      </c>
      <c r="D68" s="227">
        <v>5.0</v>
      </c>
      <c r="E68" s="280"/>
      <c r="F68" s="235" t="s">
        <v>35</v>
      </c>
      <c r="G68" s="235"/>
      <c r="H68" s="272">
        <f>'2ndMAY'!J68</f>
        <v>4</v>
      </c>
      <c r="I68" s="281"/>
      <c r="J68" s="282">
        <v>3.5</v>
      </c>
      <c r="K68" s="283"/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5.5</v>
      </c>
      <c r="N68" s="191"/>
      <c r="O68" s="247"/>
    </row>
    <row r="69">
      <c r="A69" s="12" t="s">
        <v>64</v>
      </c>
      <c r="B69" s="12" t="s">
        <v>59</v>
      </c>
      <c r="C69" s="271">
        <f>'2ndMAY'!E69</f>
        <v>1</v>
      </c>
      <c r="D69" s="227">
        <v>1.0</v>
      </c>
      <c r="E69" s="247"/>
      <c r="F69" s="235" t="s">
        <v>35</v>
      </c>
      <c r="G69" s="235"/>
      <c r="H69" s="272" t="str">
        <f>'2ndMAY'!J69</f>
        <v/>
      </c>
      <c r="I69" s="281"/>
      <c r="J69" s="282">
        <v>0.123</v>
      </c>
      <c r="K69" s="283"/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0.677</v>
      </c>
      <c r="N69" s="191"/>
      <c r="O69" s="247"/>
    </row>
    <row r="70">
      <c r="A70" s="10" t="s">
        <v>65</v>
      </c>
      <c r="B70" s="11"/>
      <c r="C70" s="271" t="str">
        <f>'2ndMAY'!E70</f>
        <v/>
      </c>
      <c r="D70" s="191"/>
      <c r="E70" s="247"/>
      <c r="F70" s="235"/>
      <c r="G70" s="235"/>
      <c r="H70" s="272" t="str">
        <f>'2ndMAY'!J70</f>
        <v/>
      </c>
      <c r="I70" s="281"/>
      <c r="J70" s="284"/>
      <c r="K70" s="283"/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'2ndMAY'!E71</f>
        <v/>
      </c>
      <c r="D71" s="227"/>
      <c r="E71" s="247"/>
      <c r="F71" s="235" t="s">
        <v>25</v>
      </c>
      <c r="G71" s="285">
        <v>4.0</v>
      </c>
      <c r="H71" s="272" t="str">
        <f>'2ndMAY'!J71</f>
        <v/>
      </c>
      <c r="I71" s="281"/>
      <c r="J71" s="282"/>
      <c r="K71" s="283"/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4</v>
      </c>
      <c r="N71" s="191"/>
      <c r="O71" s="247"/>
    </row>
    <row r="72">
      <c r="A72" s="12" t="s">
        <v>68</v>
      </c>
      <c r="B72" s="12" t="s">
        <v>35</v>
      </c>
      <c r="C72" s="271" t="str">
        <f>'2ndMAY'!E72</f>
        <v/>
      </c>
      <c r="D72" s="227">
        <v>0.8</v>
      </c>
      <c r="E72" s="247"/>
      <c r="F72" s="235" t="s">
        <v>35</v>
      </c>
      <c r="G72" s="235"/>
      <c r="H72" s="272" t="str">
        <f>'2ndMAY'!J72</f>
        <v/>
      </c>
      <c r="I72" s="281"/>
      <c r="J72" s="284"/>
      <c r="K72" s="283"/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0.8</v>
      </c>
      <c r="N72" s="191"/>
      <c r="O72" s="247"/>
    </row>
    <row r="73">
      <c r="A73" s="12" t="s">
        <v>70</v>
      </c>
      <c r="B73" s="12" t="s">
        <v>35</v>
      </c>
      <c r="C73" s="271" t="str">
        <f>'2ndMAY'!E73</f>
        <v/>
      </c>
      <c r="D73" s="191"/>
      <c r="E73" s="247"/>
      <c r="F73" s="235" t="s">
        <v>35</v>
      </c>
      <c r="G73" s="235"/>
      <c r="H73" s="272" t="str">
        <f>'2ndMAY'!J73</f>
        <v/>
      </c>
      <c r="I73" s="281"/>
      <c r="J73" s="284"/>
      <c r="K73" s="283"/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'2ndMAY'!E74</f>
        <v/>
      </c>
      <c r="D74" s="227">
        <v>1.0</v>
      </c>
      <c r="E74" s="247"/>
      <c r="F74" s="235" t="s">
        <v>25</v>
      </c>
      <c r="G74" s="235"/>
      <c r="H74" s="272">
        <f>'2ndMAY'!J74</f>
        <v>0.172</v>
      </c>
      <c r="I74" s="281"/>
      <c r="J74" s="282">
        <v>0.579</v>
      </c>
      <c r="K74" s="283"/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0.593</v>
      </c>
      <c r="N74" s="191"/>
      <c r="O74" s="247"/>
    </row>
    <row r="75">
      <c r="A75" s="12" t="s">
        <v>74</v>
      </c>
      <c r="B75" s="12" t="s">
        <v>17</v>
      </c>
      <c r="C75" s="271" t="str">
        <f>'2ndMAY'!E75</f>
        <v/>
      </c>
      <c r="D75" s="191"/>
      <c r="E75" s="247"/>
      <c r="F75" s="235" t="s">
        <v>25</v>
      </c>
      <c r="G75" s="235"/>
      <c r="H75" s="272">
        <f>'2ndMAY'!J75</f>
        <v>0.221</v>
      </c>
      <c r="I75" s="281"/>
      <c r="J75" s="284"/>
      <c r="K75" s="283"/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0.221</v>
      </c>
      <c r="N75" s="191"/>
      <c r="O75" s="247"/>
    </row>
    <row r="76">
      <c r="A76" s="12" t="s">
        <v>76</v>
      </c>
      <c r="B76" s="12" t="s">
        <v>72</v>
      </c>
      <c r="C76" s="271" t="str">
        <f>'2ndMAY'!E76</f>
        <v/>
      </c>
      <c r="D76" s="191"/>
      <c r="E76" s="247"/>
      <c r="F76" s="235" t="s">
        <v>35</v>
      </c>
      <c r="G76" s="235"/>
      <c r="H76" s="272">
        <f>'2ndMAY'!J76</f>
        <v>1</v>
      </c>
      <c r="I76" s="281"/>
      <c r="J76" s="282">
        <v>1.0</v>
      </c>
      <c r="K76" s="283"/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'2ndMAY'!E77</f>
        <v/>
      </c>
      <c r="D77" s="191"/>
      <c r="E77" s="247"/>
      <c r="F77" s="235" t="s">
        <v>25</v>
      </c>
      <c r="G77" s="235"/>
      <c r="H77" s="272">
        <f>'2ndMAY'!J77</f>
        <v>1.935</v>
      </c>
      <c r="I77" s="281"/>
      <c r="J77" s="282">
        <v>1.537</v>
      </c>
      <c r="K77" s="283"/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0.398</v>
      </c>
      <c r="N77" s="191"/>
      <c r="O77" s="247"/>
    </row>
    <row r="78">
      <c r="A78" s="12" t="s">
        <v>80</v>
      </c>
      <c r="B78" s="12" t="s">
        <v>56</v>
      </c>
      <c r="C78" s="271" t="str">
        <f>'2ndMAY'!E78</f>
        <v/>
      </c>
      <c r="D78" s="191"/>
      <c r="E78" s="247"/>
      <c r="F78" s="235" t="s">
        <v>35</v>
      </c>
      <c r="G78" s="235"/>
      <c r="H78" s="272" t="str">
        <f>'2ndMAY'!J78</f>
        <v/>
      </c>
      <c r="I78" s="281"/>
      <c r="J78" s="284"/>
      <c r="K78" s="283"/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'2ndMAY'!E79</f>
        <v/>
      </c>
      <c r="D79" s="191"/>
      <c r="E79" s="247"/>
      <c r="F79" s="235" t="s">
        <v>35</v>
      </c>
      <c r="G79" s="235"/>
      <c r="H79" s="272">
        <f>'2ndMAY'!J79</f>
        <v>0.346</v>
      </c>
      <c r="I79" s="281"/>
      <c r="J79" s="282">
        <v>0.045</v>
      </c>
      <c r="K79" s="283"/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0.301</v>
      </c>
      <c r="N79" s="191"/>
      <c r="O79" s="247"/>
    </row>
    <row r="80">
      <c r="A80" s="10" t="s">
        <v>85</v>
      </c>
      <c r="B80" s="11"/>
      <c r="C80" s="271" t="str">
        <f>'2ndMAY'!E80</f>
        <v/>
      </c>
      <c r="D80" s="191"/>
      <c r="E80" s="247"/>
      <c r="F80" s="235"/>
      <c r="G80" s="235"/>
      <c r="H80" s="272" t="str">
        <f>'2ndMAY'!J80</f>
        <v/>
      </c>
      <c r="I80" s="281"/>
      <c r="J80" s="284"/>
      <c r="K80" s="283"/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>
        <f>'2ndMAY'!E81</f>
        <v>1</v>
      </c>
      <c r="D81" s="227"/>
      <c r="E81" s="247"/>
      <c r="F81" s="235" t="s">
        <v>25</v>
      </c>
      <c r="G81" s="235"/>
      <c r="H81" s="272" t="str">
        <f>'2ndMAY'!J81</f>
        <v/>
      </c>
      <c r="I81" s="281"/>
      <c r="J81" s="282"/>
      <c r="K81" s="283"/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0.5</v>
      </c>
      <c r="N81" s="191"/>
      <c r="O81" s="247"/>
    </row>
    <row r="82">
      <c r="A82" s="12" t="s">
        <v>87</v>
      </c>
      <c r="B82" s="12" t="s">
        <v>83</v>
      </c>
      <c r="C82" s="271" t="str">
        <f>'2ndMAY'!E82</f>
        <v/>
      </c>
      <c r="D82" s="227">
        <v>1.0</v>
      </c>
      <c r="E82" s="280"/>
      <c r="F82" s="235" t="s">
        <v>25</v>
      </c>
      <c r="G82" s="235"/>
      <c r="H82" s="272">
        <f>'2ndMAY'!J82</f>
        <v>0.735</v>
      </c>
      <c r="I82" s="281"/>
      <c r="J82" s="282">
        <v>0.551</v>
      </c>
      <c r="K82" s="283"/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0.684</v>
      </c>
      <c r="N82" s="191"/>
      <c r="O82" s="247"/>
    </row>
    <row r="83">
      <c r="A83" s="12" t="s">
        <v>88</v>
      </c>
      <c r="B83" s="12" t="s">
        <v>83</v>
      </c>
      <c r="C83" s="271" t="str">
        <f>'2ndMAY'!E83</f>
        <v/>
      </c>
      <c r="D83" s="227">
        <v>1.0</v>
      </c>
      <c r="E83" s="247"/>
      <c r="F83" s="235" t="s">
        <v>25</v>
      </c>
      <c r="G83" s="285">
        <v>0.285</v>
      </c>
      <c r="H83" s="272" t="str">
        <f>'2ndMAY'!J83</f>
        <v/>
      </c>
      <c r="I83" s="281"/>
      <c r="J83" s="282">
        <v>1.095</v>
      </c>
      <c r="K83" s="283"/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</v>
      </c>
      <c r="N83" s="191"/>
      <c r="O83" s="247"/>
    </row>
    <row r="84">
      <c r="A84" s="12" t="s">
        <v>89</v>
      </c>
      <c r="B84" s="12" t="s">
        <v>83</v>
      </c>
      <c r="C84" s="271">
        <f>'2ndMAY'!E84</f>
        <v>1</v>
      </c>
      <c r="D84" s="227"/>
      <c r="E84" s="280">
        <v>1.0</v>
      </c>
      <c r="F84" s="235" t="s">
        <v>25</v>
      </c>
      <c r="G84" s="235"/>
      <c r="H84" s="272">
        <f>'2ndMAY'!J84</f>
        <v>0.61</v>
      </c>
      <c r="I84" s="281"/>
      <c r="J84" s="284"/>
      <c r="K84" s="283"/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0.61</v>
      </c>
      <c r="N84" s="191"/>
      <c r="O84" s="247"/>
    </row>
    <row r="85">
      <c r="A85" s="12" t="s">
        <v>90</v>
      </c>
      <c r="B85" s="12" t="s">
        <v>24</v>
      </c>
      <c r="C85" s="271" t="str">
        <f>'2ndMAY'!E85</f>
        <v/>
      </c>
      <c r="D85" s="227"/>
      <c r="E85" s="280"/>
      <c r="F85" s="235" t="s">
        <v>25</v>
      </c>
      <c r="G85" s="285">
        <v>1.0</v>
      </c>
      <c r="H85" s="272"/>
      <c r="I85" s="281"/>
      <c r="J85" s="282">
        <v>0.326</v>
      </c>
      <c r="K85" s="283"/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0.674</v>
      </c>
      <c r="N85" s="191"/>
      <c r="O85" s="247"/>
    </row>
    <row r="86">
      <c r="A86" s="12" t="s">
        <v>91</v>
      </c>
      <c r="B86" s="12" t="s">
        <v>56</v>
      </c>
      <c r="C86" s="271" t="str">
        <f>'2ndMAY'!E86</f>
        <v/>
      </c>
      <c r="D86" s="227"/>
      <c r="E86" s="280"/>
      <c r="F86" s="235" t="s">
        <v>25</v>
      </c>
      <c r="G86" s="235"/>
      <c r="H86" s="272">
        <f>'2ndMAY'!J86</f>
        <v>3.5</v>
      </c>
      <c r="I86" s="281"/>
      <c r="J86" s="282">
        <v>3.5</v>
      </c>
      <c r="K86" s="283"/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0</v>
      </c>
      <c r="N86" s="191"/>
      <c r="O86" s="247"/>
    </row>
    <row r="87">
      <c r="A87" s="12" t="s">
        <v>92</v>
      </c>
      <c r="B87" s="12" t="s">
        <v>83</v>
      </c>
      <c r="C87" s="271" t="str">
        <f>'2ndMAY'!E87</f>
        <v/>
      </c>
      <c r="D87" s="227"/>
      <c r="E87" s="247"/>
      <c r="F87" s="235" t="s">
        <v>25</v>
      </c>
      <c r="G87" s="235"/>
      <c r="H87" s="272">
        <f>'2ndMAY'!J87</f>
        <v>0.591</v>
      </c>
      <c r="I87" s="281"/>
      <c r="J87" s="282">
        <v>0.05</v>
      </c>
      <c r="K87" s="283"/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0.541</v>
      </c>
      <c r="N87" s="191"/>
      <c r="O87" s="247"/>
    </row>
    <row r="88">
      <c r="A88" s="12" t="s">
        <v>93</v>
      </c>
      <c r="B88" s="12" t="s">
        <v>83</v>
      </c>
      <c r="C88" s="271" t="str">
        <f>'2ndMAY'!E88</f>
        <v/>
      </c>
      <c r="D88" s="191"/>
      <c r="E88" s="247"/>
      <c r="F88" s="235" t="s">
        <v>25</v>
      </c>
      <c r="G88" s="235"/>
      <c r="H88" s="272">
        <f>'2ndMAY'!J88</f>
        <v>0.829</v>
      </c>
      <c r="I88" s="281"/>
      <c r="J88" s="282">
        <v>0.825</v>
      </c>
      <c r="K88" s="283"/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0.004</v>
      </c>
      <c r="N88" s="191"/>
      <c r="O88" s="247"/>
    </row>
    <row r="89">
      <c r="A89" s="12" t="s">
        <v>95</v>
      </c>
      <c r="B89" s="12" t="s">
        <v>83</v>
      </c>
      <c r="C89" s="271" t="str">
        <f>'2ndMAY'!E89</f>
        <v/>
      </c>
      <c r="D89" s="227">
        <v>1.0</v>
      </c>
      <c r="E89" s="247"/>
      <c r="F89" s="235" t="s">
        <v>25</v>
      </c>
      <c r="G89" s="235"/>
      <c r="H89" s="272">
        <v>1.145</v>
      </c>
      <c r="I89" s="281"/>
      <c r="J89" s="282">
        <v>1.145</v>
      </c>
      <c r="K89" s="283"/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0.75</v>
      </c>
      <c r="N89" s="191"/>
      <c r="O89" s="247"/>
    </row>
    <row r="90">
      <c r="A90" s="10" t="s">
        <v>96</v>
      </c>
      <c r="B90" s="11"/>
      <c r="C90" s="271" t="str">
        <f>'2ndMAY'!E90</f>
        <v/>
      </c>
      <c r="D90" s="191"/>
      <c r="E90" s="247"/>
      <c r="F90" s="235"/>
      <c r="G90" s="235"/>
      <c r="H90" s="272" t="str">
        <f>'2ndMAY'!J90</f>
        <v/>
      </c>
      <c r="I90" s="281"/>
      <c r="J90" s="284"/>
      <c r="K90" s="283"/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'2ndMAY'!E91</f>
        <v/>
      </c>
      <c r="D91" s="191"/>
      <c r="E91" s="247"/>
      <c r="F91" s="235" t="s">
        <v>35</v>
      </c>
      <c r="G91" s="235"/>
      <c r="H91" s="272">
        <f>'2ndMAY'!J91</f>
        <v>0.369</v>
      </c>
      <c r="I91" s="281"/>
      <c r="J91" s="282">
        <v>0.353</v>
      </c>
      <c r="K91" s="283"/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0.016</v>
      </c>
      <c r="N91" s="191"/>
      <c r="O91" s="247"/>
    </row>
    <row r="92">
      <c r="A92" s="12" t="s">
        <v>99</v>
      </c>
      <c r="B92" s="12" t="s">
        <v>40</v>
      </c>
      <c r="C92" s="271" t="str">
        <f>'2ndMAY'!E92</f>
        <v/>
      </c>
      <c r="D92" s="191"/>
      <c r="E92" s="247"/>
      <c r="F92" s="235" t="s">
        <v>35</v>
      </c>
      <c r="G92" s="235"/>
      <c r="H92" s="272">
        <f>'2ndMAY'!J92</f>
        <v>0.91</v>
      </c>
      <c r="I92" s="281"/>
      <c r="J92" s="282">
        <v>0.83</v>
      </c>
      <c r="K92" s="283"/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0.08</v>
      </c>
      <c r="N92" s="191"/>
      <c r="O92" s="247"/>
    </row>
    <row r="93">
      <c r="A93" s="12" t="s">
        <v>100</v>
      </c>
      <c r="B93" s="12" t="s">
        <v>40</v>
      </c>
      <c r="C93" s="271" t="str">
        <f>'2ndMAY'!E93</f>
        <v/>
      </c>
      <c r="D93" s="191"/>
      <c r="E93" s="247"/>
      <c r="F93" s="235" t="s">
        <v>35</v>
      </c>
      <c r="G93" s="235"/>
      <c r="H93" s="272">
        <f>'2ndMAY'!J93</f>
        <v>0.363</v>
      </c>
      <c r="I93" s="281"/>
      <c r="J93" s="282">
        <v>0.351</v>
      </c>
      <c r="K93" s="283"/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0.012</v>
      </c>
      <c r="N93" s="191"/>
      <c r="O93" s="247"/>
    </row>
    <row r="94">
      <c r="A94" s="12" t="s">
        <v>101</v>
      </c>
      <c r="B94" s="12" t="s">
        <v>40</v>
      </c>
      <c r="C94" s="271" t="str">
        <f>'2ndMAY'!E94</f>
        <v/>
      </c>
      <c r="D94" s="191"/>
      <c r="E94" s="247"/>
      <c r="F94" s="235" t="s">
        <v>35</v>
      </c>
      <c r="G94" s="235"/>
      <c r="H94" s="272" t="str">
        <f>'2ndMAY'!J94</f>
        <v/>
      </c>
      <c r="I94" s="281"/>
      <c r="J94" s="284"/>
      <c r="K94" s="283"/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'2ndMAY'!E95</f>
        <v/>
      </c>
      <c r="D95" s="191"/>
      <c r="E95" s="247"/>
      <c r="F95" s="235" t="s">
        <v>35</v>
      </c>
      <c r="G95" s="235"/>
      <c r="H95" s="272">
        <f>'2ndMAY'!J95</f>
        <v>0.25</v>
      </c>
      <c r="I95" s="281"/>
      <c r="J95" s="282">
        <v>0.247</v>
      </c>
      <c r="K95" s="283"/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0.003</v>
      </c>
      <c r="N95" s="191"/>
      <c r="O95" s="247"/>
    </row>
    <row r="96">
      <c r="A96" s="12" t="s">
        <v>103</v>
      </c>
      <c r="B96" s="12" t="s">
        <v>40</v>
      </c>
      <c r="C96" s="271" t="str">
        <f>'2ndMAY'!E96</f>
        <v/>
      </c>
      <c r="D96" s="191"/>
      <c r="E96" s="247"/>
      <c r="F96" s="235" t="s">
        <v>35</v>
      </c>
      <c r="G96" s="235"/>
      <c r="H96" s="272" t="str">
        <f>'2ndMAY'!J96</f>
        <v/>
      </c>
      <c r="I96" s="281"/>
      <c r="J96" s="282"/>
      <c r="K96" s="283"/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71" t="str">
        <f>'2ndMAY'!E97</f>
        <v/>
      </c>
      <c r="D97" s="191"/>
      <c r="E97" s="247"/>
      <c r="F97" s="235" t="s">
        <v>35</v>
      </c>
      <c r="G97" s="235"/>
      <c r="H97" s="272" t="str">
        <f>'2ndMAY'!J97</f>
        <v/>
      </c>
      <c r="I97" s="281"/>
      <c r="J97" s="284"/>
      <c r="K97" s="283"/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'2ndMAY'!E98</f>
        <v/>
      </c>
      <c r="D98" s="191"/>
      <c r="E98" s="247"/>
      <c r="F98" s="235" t="s">
        <v>35</v>
      </c>
      <c r="G98" s="235"/>
      <c r="H98" s="272">
        <f>'2ndMAY'!J98</f>
        <v>0.619</v>
      </c>
      <c r="I98" s="281"/>
      <c r="J98" s="282">
        <v>0.585</v>
      </c>
      <c r="K98" s="283"/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0.034</v>
      </c>
      <c r="N98" s="191"/>
      <c r="O98" s="247"/>
    </row>
    <row r="99">
      <c r="A99" s="12" t="s">
        <v>108</v>
      </c>
      <c r="B99" s="12" t="s">
        <v>40</v>
      </c>
      <c r="C99" s="271" t="str">
        <f>'2ndMAY'!E99</f>
        <v/>
      </c>
      <c r="D99" s="191"/>
      <c r="E99" s="247"/>
      <c r="F99" s="235" t="s">
        <v>35</v>
      </c>
      <c r="G99" s="235"/>
      <c r="H99" s="272">
        <f>'2ndMAY'!J99</f>
        <v>0.526</v>
      </c>
      <c r="I99" s="281"/>
      <c r="J99" s="282">
        <v>0.524</v>
      </c>
      <c r="K99" s="283"/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0.002</v>
      </c>
      <c r="N99" s="191"/>
      <c r="O99" s="247"/>
    </row>
    <row r="100">
      <c r="A100" s="12" t="s">
        <v>109</v>
      </c>
      <c r="B100" s="12" t="s">
        <v>40</v>
      </c>
      <c r="C100" s="271" t="str">
        <f>'2ndMAY'!E100</f>
        <v/>
      </c>
      <c r="D100" s="191"/>
      <c r="E100" s="247"/>
      <c r="F100" s="235" t="s">
        <v>35</v>
      </c>
      <c r="G100" s="235"/>
      <c r="H100" s="272">
        <f>'2ndMAY'!J100</f>
        <v>0.427</v>
      </c>
      <c r="I100" s="281"/>
      <c r="J100" s="282">
        <v>0.419</v>
      </c>
      <c r="K100" s="283"/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0.008</v>
      </c>
      <c r="N100" s="191"/>
      <c r="O100" s="247"/>
    </row>
    <row r="101">
      <c r="A101" s="12" t="s">
        <v>110</v>
      </c>
      <c r="B101" s="12" t="s">
        <v>40</v>
      </c>
      <c r="C101" s="271" t="str">
        <f>'2ndMAY'!E101</f>
        <v/>
      </c>
      <c r="D101" s="191"/>
      <c r="E101" s="247"/>
      <c r="F101" s="235" t="s">
        <v>35</v>
      </c>
      <c r="G101" s="235"/>
      <c r="H101" s="272">
        <f>'2ndMAY'!J101</f>
        <v>0.287</v>
      </c>
      <c r="I101" s="281"/>
      <c r="J101" s="282">
        <v>0.267</v>
      </c>
      <c r="K101" s="283"/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0.02</v>
      </c>
      <c r="N101" s="191"/>
      <c r="O101" s="247"/>
    </row>
    <row r="102">
      <c r="A102" s="12" t="s">
        <v>111</v>
      </c>
      <c r="B102" s="12" t="s">
        <v>40</v>
      </c>
      <c r="C102" s="271" t="str">
        <f>'2ndMAY'!E102</f>
        <v/>
      </c>
      <c r="D102" s="191"/>
      <c r="E102" s="247"/>
      <c r="F102" s="235" t="s">
        <v>35</v>
      </c>
      <c r="G102" s="235"/>
      <c r="H102" s="272" t="str">
        <f>'2ndMAY'!J102</f>
        <v/>
      </c>
      <c r="I102" s="281"/>
      <c r="J102" s="284"/>
      <c r="K102" s="283"/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 t="str">
        <f>'2ndMAY'!E103</f>
        <v/>
      </c>
      <c r="D103" s="227"/>
      <c r="E103" s="247"/>
      <c r="F103" s="235" t="s">
        <v>35</v>
      </c>
      <c r="G103" s="235"/>
      <c r="H103" s="272">
        <f>'2ndMAY'!J103</f>
        <v>0.187</v>
      </c>
      <c r="I103" s="281"/>
      <c r="J103" s="282">
        <v>0.187</v>
      </c>
      <c r="K103" s="283"/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</v>
      </c>
      <c r="N103" s="191"/>
      <c r="O103" s="247"/>
    </row>
    <row r="104">
      <c r="A104" s="12" t="s">
        <v>114</v>
      </c>
      <c r="B104" s="12" t="s">
        <v>40</v>
      </c>
      <c r="C104" s="271" t="str">
        <f>'2ndMAY'!E104</f>
        <v/>
      </c>
      <c r="D104" s="191"/>
      <c r="E104" s="247"/>
      <c r="F104" s="235" t="s">
        <v>35</v>
      </c>
      <c r="G104" s="285"/>
      <c r="H104" s="272">
        <f>'2ndMAY'!J104</f>
        <v>0.472</v>
      </c>
      <c r="I104" s="281"/>
      <c r="J104" s="282">
        <v>0.469</v>
      </c>
      <c r="K104" s="283"/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0.003</v>
      </c>
      <c r="N104" s="191"/>
      <c r="O104" s="247"/>
    </row>
    <row r="105">
      <c r="A105" s="12" t="s">
        <v>116</v>
      </c>
      <c r="B105" s="12" t="s">
        <v>40</v>
      </c>
      <c r="C105" s="271" t="str">
        <f>'2ndMAY'!E105</f>
        <v/>
      </c>
      <c r="D105" s="191"/>
      <c r="E105" s="247"/>
      <c r="F105" s="235" t="s">
        <v>35</v>
      </c>
      <c r="G105" s="235"/>
      <c r="H105" s="272" t="str">
        <f>'2ndMAY'!J105</f>
        <v/>
      </c>
      <c r="I105" s="281"/>
      <c r="J105" s="284"/>
      <c r="K105" s="283"/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'2ndMAY'!E106</f>
        <v/>
      </c>
      <c r="D106" s="191"/>
      <c r="E106" s="247"/>
      <c r="F106" s="235" t="s">
        <v>35</v>
      </c>
      <c r="G106" s="285"/>
      <c r="H106" s="272" t="str">
        <f>'2ndMAY'!J106</f>
        <v/>
      </c>
      <c r="I106" s="281"/>
      <c r="J106" s="282"/>
      <c r="K106" s="283"/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</v>
      </c>
      <c r="N106" s="191"/>
      <c r="O106" s="247"/>
    </row>
    <row r="107">
      <c r="A107" s="12" t="s">
        <v>118</v>
      </c>
      <c r="B107" s="12" t="s">
        <v>40</v>
      </c>
      <c r="C107" s="271" t="str">
        <f>'2ndMAY'!E107</f>
        <v/>
      </c>
      <c r="D107" s="191"/>
      <c r="E107" s="247"/>
      <c r="F107" s="235" t="s">
        <v>35</v>
      </c>
      <c r="G107" s="235"/>
      <c r="H107" s="272">
        <f>'2ndMAY'!J107</f>
        <v>0.219</v>
      </c>
      <c r="I107" s="281"/>
      <c r="J107" s="282">
        <v>0.2</v>
      </c>
      <c r="K107" s="283"/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0.019</v>
      </c>
      <c r="N107" s="191"/>
      <c r="O107" s="247"/>
    </row>
    <row r="108">
      <c r="A108" s="12" t="s">
        <v>119</v>
      </c>
      <c r="B108" s="12" t="s">
        <v>40</v>
      </c>
      <c r="C108" s="271" t="str">
        <f>'2ndMAY'!E108</f>
        <v/>
      </c>
      <c r="D108" s="191"/>
      <c r="E108" s="247"/>
      <c r="F108" s="235" t="s">
        <v>35</v>
      </c>
      <c r="G108" s="235"/>
      <c r="H108" s="272">
        <f>'2ndMAY'!J108</f>
        <v>0.75</v>
      </c>
      <c r="I108" s="281"/>
      <c r="J108" s="284">
        <f>0.248+0.5</f>
        <v>0.748</v>
      </c>
      <c r="K108" s="283"/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0.002</v>
      </c>
      <c r="N108" s="191"/>
      <c r="O108" s="247"/>
    </row>
    <row r="109">
      <c r="A109" s="12" t="s">
        <v>120</v>
      </c>
      <c r="B109" s="12" t="s">
        <v>40</v>
      </c>
      <c r="C109" s="271" t="str">
        <f>'2ndMAY'!E109</f>
        <v/>
      </c>
      <c r="D109" s="191"/>
      <c r="E109" s="247"/>
      <c r="F109" s="235" t="s">
        <v>35</v>
      </c>
      <c r="G109" s="235"/>
      <c r="H109" s="272">
        <f>'2ndMAY'!J109</f>
        <v>0.151</v>
      </c>
      <c r="I109" s="281"/>
      <c r="J109" s="282">
        <v>0.139</v>
      </c>
      <c r="K109" s="283"/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0.012</v>
      </c>
      <c r="N109" s="191"/>
      <c r="O109" s="247"/>
    </row>
    <row r="110">
      <c r="A110" s="12" t="s">
        <v>121</v>
      </c>
      <c r="B110" s="12" t="s">
        <v>40</v>
      </c>
      <c r="C110" s="271" t="str">
        <f>'2ndMAY'!E110</f>
        <v/>
      </c>
      <c r="D110" s="191"/>
      <c r="E110" s="247"/>
      <c r="F110" s="235" t="s">
        <v>35</v>
      </c>
      <c r="G110" s="235"/>
      <c r="H110" s="272">
        <f>'2ndMAY'!J110</f>
        <v>0.323</v>
      </c>
      <c r="I110" s="281"/>
      <c r="J110" s="282">
        <v>0.313</v>
      </c>
      <c r="K110" s="283"/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0.01</v>
      </c>
      <c r="N110" s="191"/>
      <c r="O110" s="247"/>
    </row>
    <row r="111">
      <c r="A111" s="12" t="s">
        <v>122</v>
      </c>
      <c r="B111" s="12" t="s">
        <v>40</v>
      </c>
      <c r="C111" s="271" t="str">
        <f>'2ndMAY'!E111</f>
        <v/>
      </c>
      <c r="D111" s="191"/>
      <c r="E111" s="247"/>
      <c r="F111" s="235" t="s">
        <v>35</v>
      </c>
      <c r="G111" s="235"/>
      <c r="H111" s="272" t="str">
        <f>'2ndMAY'!J111</f>
        <v/>
      </c>
      <c r="I111" s="281"/>
      <c r="J111" s="284"/>
      <c r="K111" s="283"/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'2ndMAY'!E112</f>
        <v/>
      </c>
      <c r="D112" s="191"/>
      <c r="E112" s="247"/>
      <c r="F112" s="235" t="s">
        <v>35</v>
      </c>
      <c r="G112" s="235"/>
      <c r="H112" s="272">
        <f>'2ndMAY'!J112</f>
        <v>0.076</v>
      </c>
      <c r="I112" s="281"/>
      <c r="J112" s="282">
        <v>0.067</v>
      </c>
      <c r="K112" s="283"/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0.009</v>
      </c>
      <c r="N112" s="191"/>
      <c r="O112" s="247"/>
    </row>
    <row r="113">
      <c r="A113" s="12" t="s">
        <v>124</v>
      </c>
      <c r="B113" s="12" t="s">
        <v>40</v>
      </c>
      <c r="C113" s="271" t="str">
        <f>'2ndMAY'!E113</f>
        <v/>
      </c>
      <c r="D113" s="191"/>
      <c r="E113" s="247"/>
      <c r="F113" s="235" t="s">
        <v>35</v>
      </c>
      <c r="G113" s="235"/>
      <c r="H113" s="272">
        <f>'2ndMAY'!J113</f>
        <v>0.132</v>
      </c>
      <c r="I113" s="281"/>
      <c r="J113" s="282">
        <v>0.123</v>
      </c>
      <c r="K113" s="283"/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0.009</v>
      </c>
      <c r="N113" s="191"/>
      <c r="O113" s="247"/>
    </row>
    <row r="114">
      <c r="A114" s="12" t="s">
        <v>125</v>
      </c>
      <c r="B114" s="12" t="s">
        <v>40</v>
      </c>
      <c r="C114" s="271" t="str">
        <f>'2ndMAY'!E114</f>
        <v/>
      </c>
      <c r="D114" s="191"/>
      <c r="E114" s="247"/>
      <c r="F114" s="235" t="s">
        <v>35</v>
      </c>
      <c r="G114" s="235"/>
      <c r="H114" s="272" t="str">
        <f>'2ndMAY'!J114</f>
        <v/>
      </c>
      <c r="I114" s="281"/>
      <c r="J114" s="284"/>
      <c r="K114" s="283"/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'2ndMAY'!E115</f>
        <v/>
      </c>
      <c r="D115" s="191"/>
      <c r="E115" s="247"/>
      <c r="F115" s="235" t="s">
        <v>35</v>
      </c>
      <c r="G115" s="235"/>
      <c r="H115" s="272">
        <f>'2ndMAY'!J115</f>
        <v>0.957</v>
      </c>
      <c r="I115" s="281"/>
      <c r="J115" s="282">
        <f>0.45+0.5</f>
        <v>0.95</v>
      </c>
      <c r="K115" s="283"/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0.007</v>
      </c>
      <c r="N115" s="191"/>
      <c r="O115" s="247"/>
    </row>
    <row r="116">
      <c r="A116" s="12" t="s">
        <v>127</v>
      </c>
      <c r="B116" s="12" t="s">
        <v>40</v>
      </c>
      <c r="C116" s="271" t="str">
        <f>'2ndMAY'!E116</f>
        <v/>
      </c>
      <c r="D116" s="191"/>
      <c r="E116" s="247"/>
      <c r="F116" s="235" t="s">
        <v>35</v>
      </c>
      <c r="G116" s="235"/>
      <c r="H116" s="272">
        <f>'2ndMAY'!J116</f>
        <v>0.083</v>
      </c>
      <c r="I116" s="281"/>
      <c r="J116" s="282">
        <v>0.082</v>
      </c>
      <c r="K116" s="283"/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0.001</v>
      </c>
      <c r="N116" s="191"/>
      <c r="O116" s="247"/>
    </row>
    <row r="117">
      <c r="A117" s="12" t="s">
        <v>128</v>
      </c>
      <c r="B117" s="12" t="s">
        <v>40</v>
      </c>
      <c r="C117" s="271" t="str">
        <f>'2ndMAY'!E117</f>
        <v/>
      </c>
      <c r="D117" s="191"/>
      <c r="E117" s="247"/>
      <c r="F117" s="235" t="s">
        <v>35</v>
      </c>
      <c r="G117" s="235"/>
      <c r="H117" s="272">
        <f>'2ndMAY'!J117</f>
        <v>0.01</v>
      </c>
      <c r="I117" s="281"/>
      <c r="J117" s="282"/>
      <c r="K117" s="283"/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0.01</v>
      </c>
      <c r="N117" s="191"/>
      <c r="O117" s="247"/>
    </row>
    <row r="118">
      <c r="A118" s="12" t="s">
        <v>129</v>
      </c>
      <c r="B118" s="12" t="s">
        <v>40</v>
      </c>
      <c r="C118" s="271" t="str">
        <f>'2ndMAY'!E118</f>
        <v/>
      </c>
      <c r="D118" s="191"/>
      <c r="E118" s="247"/>
      <c r="F118" s="235" t="s">
        <v>35</v>
      </c>
      <c r="G118" s="235"/>
      <c r="H118" s="272">
        <f>'2ndMAY'!J118</f>
        <v>1</v>
      </c>
      <c r="I118" s="281"/>
      <c r="J118" s="282">
        <v>1.0</v>
      </c>
      <c r="K118" s="283"/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71" t="str">
        <f>'2ndMAY'!E119</f>
        <v/>
      </c>
      <c r="D119" s="191"/>
      <c r="E119" s="247"/>
      <c r="F119" s="235" t="s">
        <v>35</v>
      </c>
      <c r="G119" s="235"/>
      <c r="H119" s="272">
        <f>'2ndMAY'!J119</f>
        <v>0.258</v>
      </c>
      <c r="I119" s="281"/>
      <c r="J119" s="282">
        <v>0.255</v>
      </c>
      <c r="K119" s="283"/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0.003</v>
      </c>
      <c r="N119" s="191"/>
      <c r="O119" s="247"/>
    </row>
    <row r="120">
      <c r="A120" s="12" t="s">
        <v>131</v>
      </c>
      <c r="B120" s="12" t="s">
        <v>40</v>
      </c>
      <c r="C120" s="271" t="str">
        <f>'2ndMAY'!E120</f>
        <v/>
      </c>
      <c r="D120" s="191"/>
      <c r="E120" s="247"/>
      <c r="F120" s="235" t="s">
        <v>35</v>
      </c>
      <c r="G120" s="235"/>
      <c r="H120" s="272">
        <f>'2ndMAY'!J120</f>
        <v>0.084</v>
      </c>
      <c r="I120" s="281"/>
      <c r="J120" s="282">
        <v>0.084</v>
      </c>
      <c r="K120" s="283"/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247"/>
    </row>
    <row r="121">
      <c r="A121" s="12" t="s">
        <v>132</v>
      </c>
      <c r="B121" s="12" t="s">
        <v>40</v>
      </c>
      <c r="C121" s="271" t="str">
        <f>'2ndMAY'!E121</f>
        <v/>
      </c>
      <c r="D121" s="191"/>
      <c r="E121" s="247"/>
      <c r="F121" s="235" t="s">
        <v>35</v>
      </c>
      <c r="G121" s="235"/>
      <c r="H121" s="272">
        <f>'2ndMAY'!J121</f>
        <v>0.139</v>
      </c>
      <c r="I121" s="281"/>
      <c r="J121" s="282">
        <v>0.124</v>
      </c>
      <c r="K121" s="283"/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0.015</v>
      </c>
      <c r="N121" s="191"/>
      <c r="O121" s="247"/>
    </row>
    <row r="122">
      <c r="A122" s="12" t="s">
        <v>133</v>
      </c>
      <c r="B122" s="12" t="s">
        <v>40</v>
      </c>
      <c r="C122" s="271" t="str">
        <f>'2ndMAY'!E122</f>
        <v/>
      </c>
      <c r="D122" s="191"/>
      <c r="E122" s="247"/>
      <c r="F122" s="235" t="s">
        <v>35</v>
      </c>
      <c r="G122" s="235"/>
      <c r="H122" s="272">
        <f>'2ndMAY'!J122</f>
        <v>0.01</v>
      </c>
      <c r="I122" s="281"/>
      <c r="J122" s="282">
        <v>0.01</v>
      </c>
      <c r="K122" s="283"/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</v>
      </c>
      <c r="N122" s="191"/>
      <c r="O122" s="247"/>
    </row>
    <row r="123">
      <c r="A123" s="12" t="s">
        <v>134</v>
      </c>
      <c r="B123" s="12" t="s">
        <v>40</v>
      </c>
      <c r="C123" s="271" t="str">
        <f>'2ndMAY'!E123</f>
        <v/>
      </c>
      <c r="D123" s="191"/>
      <c r="E123" s="247"/>
      <c r="F123" s="235" t="s">
        <v>35</v>
      </c>
      <c r="G123" s="235"/>
      <c r="H123" s="272" t="str">
        <f>'2ndMAY'!J123</f>
        <v/>
      </c>
      <c r="I123" s="281"/>
      <c r="J123" s="284"/>
      <c r="K123" s="283"/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'2ndMAY'!E124</f>
        <v/>
      </c>
      <c r="D124" s="191"/>
      <c r="E124" s="247"/>
      <c r="F124" s="235" t="s">
        <v>35</v>
      </c>
      <c r="G124" s="235"/>
      <c r="H124" s="272" t="str">
        <f>'2ndMAY'!J124</f>
        <v/>
      </c>
      <c r="I124" s="281"/>
      <c r="J124" s="284"/>
      <c r="K124" s="283"/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'2ndMAY'!E125</f>
        <v/>
      </c>
      <c r="D125" s="227"/>
      <c r="E125" s="247"/>
      <c r="F125" s="285" t="s">
        <v>35</v>
      </c>
      <c r="G125" s="235"/>
      <c r="H125" s="272" t="str">
        <f>'2ndMAY'!J125</f>
        <v/>
      </c>
      <c r="I125" s="281"/>
      <c r="J125" s="284"/>
      <c r="K125" s="283"/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247"/>
    </row>
    <row r="126">
      <c r="A126" s="21" t="s">
        <v>143</v>
      </c>
      <c r="B126" s="15" t="s">
        <v>40</v>
      </c>
      <c r="C126" s="271" t="str">
        <f>'2ndMAY'!E126</f>
        <v/>
      </c>
      <c r="D126" s="191"/>
      <c r="E126" s="247"/>
      <c r="F126" s="285" t="s">
        <v>35</v>
      </c>
      <c r="G126" s="235"/>
      <c r="H126" s="272">
        <f>'2ndMAY'!J126</f>
        <v>0.239</v>
      </c>
      <c r="I126" s="281"/>
      <c r="J126" s="282">
        <v>0.237</v>
      </c>
      <c r="K126" s="283"/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0.002</v>
      </c>
      <c r="N126" s="191"/>
      <c r="O126" s="247"/>
    </row>
    <row r="127">
      <c r="A127" s="10" t="s">
        <v>146</v>
      </c>
      <c r="B127" s="11"/>
      <c r="C127" s="271" t="str">
        <f>'2ndMAY'!E127</f>
        <v/>
      </c>
      <c r="D127" s="191"/>
      <c r="E127" s="247"/>
      <c r="F127" s="235"/>
      <c r="G127" s="235"/>
      <c r="H127" s="272" t="str">
        <f>'2ndMAY'!J127</f>
        <v/>
      </c>
      <c r="I127" s="281"/>
      <c r="J127" s="284"/>
      <c r="K127" s="283"/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'2ndMAY'!E128</f>
        <v/>
      </c>
      <c r="D128" s="191"/>
      <c r="E128" s="247"/>
      <c r="F128" s="235" t="s">
        <v>35</v>
      </c>
      <c r="G128" s="235"/>
      <c r="H128" s="272" t="str">
        <f>'2ndMAY'!J128</f>
        <v/>
      </c>
      <c r="I128" s="281"/>
      <c r="J128" s="284"/>
      <c r="K128" s="283"/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'2ndMAY'!E129</f>
        <v/>
      </c>
      <c r="D129" s="191"/>
      <c r="E129" s="247"/>
      <c r="F129" s="235" t="s">
        <v>35</v>
      </c>
      <c r="G129" s="235"/>
      <c r="H129" s="272">
        <f>'2ndMAY'!J129</f>
        <v>0.856</v>
      </c>
      <c r="I129" s="281"/>
      <c r="J129" s="282"/>
      <c r="K129" s="283"/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0.856</v>
      </c>
      <c r="N129" s="191"/>
      <c r="O129" s="247"/>
    </row>
    <row r="130">
      <c r="A130" s="12" t="s">
        <v>149</v>
      </c>
      <c r="B130" s="12" t="s">
        <v>40</v>
      </c>
      <c r="C130" s="271" t="str">
        <f>'2ndMAY'!E130</f>
        <v/>
      </c>
      <c r="D130" s="191"/>
      <c r="E130" s="247"/>
      <c r="F130" s="235" t="s">
        <v>35</v>
      </c>
      <c r="G130" s="235"/>
      <c r="H130" s="272">
        <f>'2ndMAY'!J130</f>
        <v>0.28</v>
      </c>
      <c r="I130" s="281"/>
      <c r="J130" s="282">
        <v>0.14</v>
      </c>
      <c r="K130" s="283"/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0.14</v>
      </c>
      <c r="N130" s="191"/>
      <c r="O130" s="247"/>
    </row>
    <row r="131">
      <c r="A131" s="12" t="s">
        <v>150</v>
      </c>
      <c r="B131" s="12" t="s">
        <v>24</v>
      </c>
      <c r="C131" s="271" t="str">
        <f>'2ndMAY'!E131</f>
        <v/>
      </c>
      <c r="D131" s="191"/>
      <c r="E131" s="247"/>
      <c r="F131" s="235" t="s">
        <v>25</v>
      </c>
      <c r="G131" s="235"/>
      <c r="H131" s="272" t="str">
        <f>'2ndMAY'!J131</f>
        <v/>
      </c>
      <c r="I131" s="281"/>
      <c r="J131" s="284"/>
      <c r="K131" s="283"/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'2ndMAY'!E132</f>
        <v/>
      </c>
      <c r="D132" s="191"/>
      <c r="E132" s="247"/>
      <c r="F132" s="235"/>
      <c r="G132" s="235"/>
      <c r="H132" s="272" t="str">
        <f>'2ndMAY'!J132</f>
        <v/>
      </c>
      <c r="I132" s="281"/>
      <c r="J132" s="284"/>
      <c r="K132" s="283"/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'2ndMAY'!E133</f>
        <v/>
      </c>
      <c r="D133" s="227">
        <v>1.0</v>
      </c>
      <c r="E133" s="247"/>
      <c r="F133" s="235" t="s">
        <v>35</v>
      </c>
      <c r="G133" s="235"/>
      <c r="H133" s="272">
        <f>'2ndMAY'!J133</f>
        <v>0.111</v>
      </c>
      <c r="I133" s="281"/>
      <c r="J133" s="284"/>
      <c r="K133" s="283"/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0.311</v>
      </c>
      <c r="N133" s="191"/>
      <c r="O133" s="247"/>
    </row>
    <row r="134">
      <c r="A134" s="12" t="s">
        <v>154</v>
      </c>
      <c r="B134" s="12" t="s">
        <v>155</v>
      </c>
      <c r="C134" s="271" t="str">
        <f>'2ndMAY'!E134</f>
        <v/>
      </c>
      <c r="D134" s="191"/>
      <c r="E134" s="247"/>
      <c r="F134" s="235" t="s">
        <v>35</v>
      </c>
      <c r="G134" s="235"/>
      <c r="H134" s="272" t="str">
        <f>'2ndMAY'!J134</f>
        <v/>
      </c>
      <c r="I134" s="281"/>
      <c r="J134" s="284"/>
      <c r="K134" s="283"/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 t="str">
        <f>'2ndMAY'!E135</f>
        <v/>
      </c>
      <c r="D135" s="227"/>
      <c r="E135" s="280">
        <v>2.0</v>
      </c>
      <c r="F135" s="235" t="s">
        <v>35</v>
      </c>
      <c r="G135" s="235"/>
      <c r="H135" s="272">
        <f>'2ndMAY'!J135</f>
        <v>0.4</v>
      </c>
      <c r="I135" s="281"/>
      <c r="J135" s="282"/>
      <c r="K135" s="283"/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-0.45</v>
      </c>
      <c r="N135" s="191"/>
      <c r="O135" s="247"/>
    </row>
    <row r="136">
      <c r="A136" s="12" t="s">
        <v>158</v>
      </c>
      <c r="B136" s="12" t="s">
        <v>34</v>
      </c>
      <c r="C136" s="271" t="str">
        <f>'2ndMAY'!E136</f>
        <v/>
      </c>
      <c r="D136" s="191"/>
      <c r="E136" s="247"/>
      <c r="F136" s="235" t="s">
        <v>35</v>
      </c>
      <c r="G136" s="285"/>
      <c r="H136" s="272">
        <f>'2ndMAY'!J136</f>
        <v>0.317</v>
      </c>
      <c r="I136" s="281"/>
      <c r="J136" s="282">
        <v>0.626</v>
      </c>
      <c r="K136" s="283"/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-0.309</v>
      </c>
      <c r="N136" s="191"/>
      <c r="O136" s="247"/>
    </row>
    <row r="137">
      <c r="A137" s="12" t="s">
        <v>159</v>
      </c>
      <c r="B137" s="12" t="s">
        <v>34</v>
      </c>
      <c r="C137" s="271" t="str">
        <f>'2ndMAY'!E137</f>
        <v/>
      </c>
      <c r="D137" s="191"/>
      <c r="E137" s="247"/>
      <c r="F137" s="235" t="s">
        <v>35</v>
      </c>
      <c r="G137" s="235"/>
      <c r="H137" s="272" t="str">
        <f>'2ndMAY'!J137</f>
        <v/>
      </c>
      <c r="I137" s="281"/>
      <c r="J137" s="284"/>
      <c r="K137" s="283"/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'2ndMAY'!E138</f>
        <v/>
      </c>
      <c r="D138" s="191"/>
      <c r="E138" s="247"/>
      <c r="F138" s="235" t="s">
        <v>35</v>
      </c>
      <c r="G138" s="285"/>
      <c r="H138" s="272">
        <f>'2ndMAY'!J138</f>
        <v>0.418</v>
      </c>
      <c r="I138" s="281"/>
      <c r="J138" s="282">
        <v>0.451</v>
      </c>
      <c r="K138" s="283"/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-0.033</v>
      </c>
      <c r="N138" s="191"/>
      <c r="O138" s="247"/>
    </row>
    <row r="139">
      <c r="A139" s="12" t="s">
        <v>161</v>
      </c>
      <c r="B139" s="12" t="s">
        <v>34</v>
      </c>
      <c r="C139" s="271" t="str">
        <f>'2ndMAY'!E139</f>
        <v/>
      </c>
      <c r="D139" s="191"/>
      <c r="E139" s="247"/>
      <c r="F139" s="235" t="s">
        <v>35</v>
      </c>
      <c r="G139" s="235"/>
      <c r="H139" s="272">
        <f>'2ndMAY'!J139</f>
        <v>0.4</v>
      </c>
      <c r="I139" s="281"/>
      <c r="J139" s="282">
        <v>0.395</v>
      </c>
      <c r="K139" s="283"/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0.005</v>
      </c>
      <c r="N139" s="191"/>
      <c r="O139" s="247"/>
    </row>
    <row r="140">
      <c r="A140" s="12" t="s">
        <v>162</v>
      </c>
      <c r="B140" s="12" t="s">
        <v>34</v>
      </c>
      <c r="C140" s="271" t="str">
        <f>'2ndMAY'!E140</f>
        <v/>
      </c>
      <c r="D140" s="191"/>
      <c r="E140" s="247"/>
      <c r="F140" s="235" t="s">
        <v>35</v>
      </c>
      <c r="G140" s="235"/>
      <c r="H140" s="272" t="str">
        <f>'2ndMAY'!J140</f>
        <v/>
      </c>
      <c r="I140" s="281"/>
      <c r="J140" s="282"/>
      <c r="K140" s="283"/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>
        <f>'2ndMAY'!E141</f>
        <v>1</v>
      </c>
      <c r="D141" s="191"/>
      <c r="E141" s="280">
        <v>1.0</v>
      </c>
      <c r="F141" s="235" t="s">
        <v>35</v>
      </c>
      <c r="G141" s="235"/>
      <c r="H141" s="272" t="str">
        <f>'2ndMAY'!J141</f>
        <v/>
      </c>
      <c r="I141" s="281"/>
      <c r="J141" s="282"/>
      <c r="K141" s="283"/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</v>
      </c>
      <c r="N141" s="191"/>
      <c r="O141" s="247"/>
    </row>
    <row r="142">
      <c r="A142" s="12" t="s">
        <v>164</v>
      </c>
      <c r="B142" s="12" t="s">
        <v>155</v>
      </c>
      <c r="C142" s="271" t="str">
        <f>'2ndMAY'!E142</f>
        <v/>
      </c>
      <c r="D142" s="191"/>
      <c r="E142" s="247"/>
      <c r="F142" s="235" t="s">
        <v>35</v>
      </c>
      <c r="G142" s="235"/>
      <c r="H142" s="272">
        <f>'2ndMAY'!J142</f>
        <v>0.31</v>
      </c>
      <c r="I142" s="281"/>
      <c r="J142" s="282">
        <v>0.211</v>
      </c>
      <c r="K142" s="283"/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0.099</v>
      </c>
      <c r="N142" s="191"/>
      <c r="O142" s="247"/>
    </row>
    <row r="143">
      <c r="A143" s="12" t="s">
        <v>165</v>
      </c>
      <c r="B143" s="12" t="s">
        <v>155</v>
      </c>
      <c r="C143" s="271" t="str">
        <f>'2ndMAY'!E143</f>
        <v/>
      </c>
      <c r="D143" s="191"/>
      <c r="E143" s="247"/>
      <c r="F143" s="235" t="s">
        <v>35</v>
      </c>
      <c r="G143" s="235"/>
      <c r="H143" s="272" t="str">
        <f>'2ndMAY'!J143</f>
        <v/>
      </c>
      <c r="I143" s="281"/>
      <c r="J143" s="284"/>
      <c r="K143" s="283"/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'2ndMAY'!E144</f>
        <v/>
      </c>
      <c r="D144" s="227">
        <v>1.0</v>
      </c>
      <c r="E144" s="247"/>
      <c r="F144" s="235" t="s">
        <v>35</v>
      </c>
      <c r="G144" s="235"/>
      <c r="H144" s="272" t="str">
        <f>'2ndMAY'!J144</f>
        <v/>
      </c>
      <c r="I144" s="281"/>
      <c r="J144" s="282">
        <v>0.421</v>
      </c>
      <c r="K144" s="283"/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3.359</v>
      </c>
      <c r="N144" s="191"/>
      <c r="O144" s="247"/>
    </row>
    <row r="145">
      <c r="A145" s="12" t="s">
        <v>167</v>
      </c>
      <c r="B145" s="12" t="s">
        <v>106</v>
      </c>
      <c r="C145" s="271" t="str">
        <f>'2ndMAY'!E145</f>
        <v/>
      </c>
      <c r="D145" s="191"/>
      <c r="E145" s="247"/>
      <c r="F145" s="235" t="s">
        <v>35</v>
      </c>
      <c r="G145" s="235"/>
      <c r="H145" s="272">
        <f>'2ndMAY'!J145</f>
        <v>0.054</v>
      </c>
      <c r="I145" s="281"/>
      <c r="J145" s="282"/>
      <c r="K145" s="283"/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0.054</v>
      </c>
      <c r="N145" s="191"/>
      <c r="O145" s="247"/>
    </row>
    <row r="146">
      <c r="A146" s="12" t="s">
        <v>168</v>
      </c>
      <c r="B146" s="12" t="s">
        <v>17</v>
      </c>
      <c r="C146" s="271" t="str">
        <f>'2ndMAY'!E146</f>
        <v/>
      </c>
      <c r="D146" s="227"/>
      <c r="E146" s="247"/>
      <c r="F146" s="235" t="s">
        <v>35</v>
      </c>
      <c r="G146" s="235"/>
      <c r="H146" s="272">
        <f>'2ndMAY'!J146</f>
        <v>0.613</v>
      </c>
      <c r="I146" s="281"/>
      <c r="J146" s="282">
        <v>0.6</v>
      </c>
      <c r="K146" s="283"/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0.013</v>
      </c>
      <c r="N146" s="191"/>
      <c r="O146" s="247"/>
    </row>
    <row r="147">
      <c r="A147" s="12" t="s">
        <v>169</v>
      </c>
      <c r="B147" s="12" t="s">
        <v>106</v>
      </c>
      <c r="C147" s="271" t="str">
        <f>'2ndMAY'!E147</f>
        <v/>
      </c>
      <c r="D147" s="191"/>
      <c r="E147" s="247"/>
      <c r="F147" s="235" t="s">
        <v>35</v>
      </c>
      <c r="G147" s="235"/>
      <c r="H147" s="272" t="str">
        <f>'2ndMAY'!J147</f>
        <v/>
      </c>
      <c r="I147" s="281"/>
      <c r="J147" s="284"/>
      <c r="K147" s="283"/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'2ndMAY'!E148</f>
        <v/>
      </c>
      <c r="D148" s="191"/>
      <c r="E148" s="247"/>
      <c r="F148" s="235" t="s">
        <v>35</v>
      </c>
      <c r="G148" s="235"/>
      <c r="H148" s="272" t="str">
        <f>'2ndMAY'!J148</f>
        <v/>
      </c>
      <c r="I148" s="281"/>
      <c r="J148" s="284"/>
      <c r="K148" s="283"/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>
        <f>'2ndMAY'!E149</f>
        <v>1</v>
      </c>
      <c r="D149" s="191"/>
      <c r="E149" s="280">
        <v>1.0</v>
      </c>
      <c r="F149" s="235" t="s">
        <v>14</v>
      </c>
      <c r="G149" s="235"/>
      <c r="H149" s="272" t="str">
        <f>'2ndMAY'!J149</f>
        <v/>
      </c>
      <c r="I149" s="281"/>
      <c r="J149" s="282"/>
      <c r="K149" s="283"/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</v>
      </c>
      <c r="N149" s="191"/>
      <c r="O149" s="247"/>
    </row>
    <row r="150">
      <c r="A150" s="11" t="s">
        <v>173</v>
      </c>
      <c r="B150" s="11" t="s">
        <v>106</v>
      </c>
      <c r="C150" s="271" t="str">
        <f>'2ndMAY'!E150</f>
        <v/>
      </c>
      <c r="D150" s="287"/>
      <c r="E150" s="288"/>
      <c r="F150" s="235" t="s">
        <v>14</v>
      </c>
      <c r="G150" s="289"/>
      <c r="H150" s="272">
        <f>'2ndMAY'!J150</f>
        <v>0.187</v>
      </c>
      <c r="I150" s="281"/>
      <c r="J150" s="291"/>
      <c r="K150" s="283"/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0.187</v>
      </c>
      <c r="N150" s="216"/>
      <c r="O150" s="292"/>
    </row>
    <row r="151">
      <c r="A151" s="22" t="s">
        <v>174</v>
      </c>
      <c r="B151" s="23" t="s">
        <v>106</v>
      </c>
      <c r="C151" s="271" t="str">
        <f>'2ndMAY'!E151</f>
        <v/>
      </c>
      <c r="D151" s="216"/>
      <c r="E151" s="288"/>
      <c r="F151" s="235" t="s">
        <v>14</v>
      </c>
      <c r="G151" s="289"/>
      <c r="H151" s="272">
        <f>'2ndMAY'!J151</f>
        <v>0.401</v>
      </c>
      <c r="I151" s="281"/>
      <c r="J151" s="301">
        <v>0.39</v>
      </c>
      <c r="K151" s="283"/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0.011</v>
      </c>
      <c r="N151" s="216"/>
      <c r="O151" s="292"/>
    </row>
    <row r="152">
      <c r="A152" s="10" t="s">
        <v>175</v>
      </c>
      <c r="B152" s="11"/>
      <c r="C152" s="271" t="str">
        <f>'2ndMAY'!E152</f>
        <v/>
      </c>
      <c r="D152" s="191"/>
      <c r="E152" s="247"/>
      <c r="F152" s="235"/>
      <c r="G152" s="235"/>
      <c r="H152" s="272" t="str">
        <f>'2ndMAY'!J152</f>
        <v/>
      </c>
      <c r="I152" s="281"/>
      <c r="J152" s="284"/>
      <c r="K152" s="283"/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'2ndMAY'!E153</f>
        <v/>
      </c>
      <c r="D153" s="227">
        <v>4.0</v>
      </c>
      <c r="E153" s="247"/>
      <c r="F153" s="235" t="s">
        <v>25</v>
      </c>
      <c r="G153" s="285"/>
      <c r="H153" s="272" t="str">
        <f>'2ndMAY'!J153</f>
        <v/>
      </c>
      <c r="I153" s="281"/>
      <c r="J153" s="284"/>
      <c r="K153" s="283"/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4</v>
      </c>
      <c r="N153" s="191"/>
      <c r="O153" s="247"/>
    </row>
    <row r="154">
      <c r="A154" s="12" t="s">
        <v>178</v>
      </c>
      <c r="B154" s="12" t="s">
        <v>35</v>
      </c>
      <c r="C154" s="271">
        <f>'2ndMAY'!E154</f>
        <v>6</v>
      </c>
      <c r="D154" s="227"/>
      <c r="E154" s="280">
        <v>6.0</v>
      </c>
      <c r="F154" s="235" t="s">
        <v>35</v>
      </c>
      <c r="G154" s="235"/>
      <c r="H154" s="272" t="str">
        <f>'2ndMAY'!J154</f>
        <v/>
      </c>
      <c r="I154" s="281"/>
      <c r="J154" s="284"/>
      <c r="K154" s="283"/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0</v>
      </c>
      <c r="N154" s="191"/>
      <c r="O154" s="247"/>
    </row>
    <row r="155">
      <c r="A155" s="12" t="s">
        <v>180</v>
      </c>
      <c r="B155" s="12" t="s">
        <v>35</v>
      </c>
      <c r="C155" s="271" t="str">
        <f>'2ndMAY'!E155</f>
        <v/>
      </c>
      <c r="D155" s="191"/>
      <c r="E155" s="247"/>
      <c r="F155" s="235" t="s">
        <v>35</v>
      </c>
      <c r="G155" s="235"/>
      <c r="H155" s="272">
        <v>0.51</v>
      </c>
      <c r="I155" s="281"/>
      <c r="J155" s="282">
        <v>0.51</v>
      </c>
      <c r="K155" s="283"/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</v>
      </c>
      <c r="N155" s="191"/>
      <c r="O155" s="247"/>
    </row>
    <row r="156">
      <c r="A156" s="12" t="s">
        <v>181</v>
      </c>
      <c r="B156" s="12" t="s">
        <v>35</v>
      </c>
      <c r="C156" s="271" t="str">
        <f>'2ndMAY'!E156</f>
        <v/>
      </c>
      <c r="D156" s="191"/>
      <c r="E156" s="280"/>
      <c r="F156" s="235" t="s">
        <v>35</v>
      </c>
      <c r="G156" s="235"/>
      <c r="H156" s="272">
        <f>'2ndMAY'!J156</f>
        <v>1.978</v>
      </c>
      <c r="I156" s="281"/>
      <c r="J156" s="282">
        <f>0.573+0.236</f>
        <v>0.809</v>
      </c>
      <c r="K156" s="283"/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1.169</v>
      </c>
      <c r="N156" s="191"/>
      <c r="O156" s="247"/>
    </row>
    <row r="157">
      <c r="A157" s="12" t="s">
        <v>182</v>
      </c>
      <c r="B157" s="12" t="s">
        <v>35</v>
      </c>
      <c r="C157" s="271" t="str">
        <f>'2ndMAY'!E157</f>
        <v/>
      </c>
      <c r="D157" s="191"/>
      <c r="E157" s="247"/>
      <c r="F157" s="235" t="s">
        <v>35</v>
      </c>
      <c r="G157" s="285"/>
      <c r="H157" s="272">
        <v>1.511</v>
      </c>
      <c r="I157" s="281"/>
      <c r="J157" s="282">
        <v>1.511</v>
      </c>
      <c r="K157" s="283"/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71" t="str">
        <f>'2ndMAY'!E158</f>
        <v/>
      </c>
      <c r="D158" s="191"/>
      <c r="E158" s="247"/>
      <c r="F158" s="235" t="s">
        <v>14</v>
      </c>
      <c r="G158" s="235"/>
      <c r="H158" s="272" t="str">
        <f>'2ndMAY'!J158</f>
        <v/>
      </c>
      <c r="I158" s="281"/>
      <c r="J158" s="284"/>
      <c r="K158" s="283"/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'2ndMAY'!E159</f>
        <v/>
      </c>
      <c r="D159" s="191"/>
      <c r="E159" s="247"/>
      <c r="F159" s="235"/>
      <c r="G159" s="235"/>
      <c r="H159" s="272" t="str">
        <f>'2ndMAY'!J159</f>
        <v/>
      </c>
      <c r="I159" s="281"/>
      <c r="J159" s="284"/>
      <c r="K159" s="283"/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'2ndMAY'!E160</f>
        <v/>
      </c>
      <c r="D160" s="227"/>
      <c r="E160" s="247"/>
      <c r="F160" s="235" t="s">
        <v>17</v>
      </c>
      <c r="G160" s="235"/>
      <c r="H160" s="272" t="str">
        <f>'2ndMAY'!J160</f>
        <v/>
      </c>
      <c r="I160" s="281"/>
      <c r="J160" s="284"/>
      <c r="K160" s="283"/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0</v>
      </c>
      <c r="N160" s="191"/>
      <c r="O160" s="247"/>
    </row>
    <row r="161">
      <c r="A161" s="12" t="s">
        <v>187</v>
      </c>
      <c r="B161" s="12" t="s">
        <v>17</v>
      </c>
      <c r="C161" s="271" t="str">
        <f>'2ndMAY'!E161</f>
        <v/>
      </c>
      <c r="D161" s="227"/>
      <c r="E161" s="247"/>
      <c r="F161" s="235" t="s">
        <v>17</v>
      </c>
      <c r="G161" s="235"/>
      <c r="H161" s="272" t="str">
        <f>'2ndMAY'!J161</f>
        <v/>
      </c>
      <c r="I161" s="281"/>
      <c r="J161" s="282"/>
      <c r="K161" s="283"/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0</v>
      </c>
      <c r="N161" s="191"/>
      <c r="O161" s="247"/>
    </row>
    <row r="162">
      <c r="A162" s="12" t="s">
        <v>188</v>
      </c>
      <c r="B162" s="12" t="s">
        <v>35</v>
      </c>
      <c r="C162" s="271" t="str">
        <f>'2ndMAY'!E162</f>
        <v/>
      </c>
      <c r="D162" s="227">
        <v>2.0</v>
      </c>
      <c r="E162" s="247"/>
      <c r="F162" s="235" t="s">
        <v>35</v>
      </c>
      <c r="G162" s="235"/>
      <c r="H162" s="272" t="str">
        <f>'2ndMAY'!J162</f>
        <v/>
      </c>
      <c r="I162" s="281"/>
      <c r="J162" s="284"/>
      <c r="K162" s="283"/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2</v>
      </c>
      <c r="N162" s="191"/>
      <c r="O162" s="247"/>
    </row>
    <row r="163">
      <c r="A163" s="12" t="s">
        <v>189</v>
      </c>
      <c r="B163" s="12" t="s">
        <v>17</v>
      </c>
      <c r="C163" s="271" t="str">
        <f>'2ndMAY'!E163</f>
        <v/>
      </c>
      <c r="D163" s="227">
        <v>2.0</v>
      </c>
      <c r="E163" s="280"/>
      <c r="F163" s="235" t="s">
        <v>17</v>
      </c>
      <c r="G163" s="235"/>
      <c r="H163" s="272">
        <v>1.0</v>
      </c>
      <c r="I163" s="281"/>
      <c r="J163" s="282">
        <v>1.0</v>
      </c>
      <c r="K163" s="283"/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2</v>
      </c>
      <c r="N163" s="191"/>
      <c r="O163" s="247"/>
    </row>
    <row r="164">
      <c r="A164" s="12" t="s">
        <v>190</v>
      </c>
      <c r="B164" s="12" t="s">
        <v>17</v>
      </c>
      <c r="C164" s="271" t="str">
        <f>'2ndMAY'!E164</f>
        <v/>
      </c>
      <c r="D164" s="191"/>
      <c r="E164" s="247"/>
      <c r="F164" s="235" t="s">
        <v>17</v>
      </c>
      <c r="G164" s="235"/>
      <c r="H164" s="272" t="str">
        <f>'2ndMAY'!J164</f>
        <v/>
      </c>
      <c r="I164" s="281"/>
      <c r="J164" s="284"/>
      <c r="K164" s="283"/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'2ndMAY'!E165</f>
        <v/>
      </c>
      <c r="D165" s="227">
        <v>1.5</v>
      </c>
      <c r="E165" s="247"/>
      <c r="F165" s="235" t="s">
        <v>35</v>
      </c>
      <c r="G165" s="235"/>
      <c r="H165" s="272">
        <f>'2ndMAY'!J165</f>
        <v>0.6</v>
      </c>
      <c r="I165" s="281"/>
      <c r="J165" s="282">
        <v>0.866</v>
      </c>
      <c r="K165" s="283"/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1.234</v>
      </c>
      <c r="N165" s="191"/>
      <c r="O165" s="247"/>
    </row>
    <row r="166">
      <c r="A166" s="12" t="s">
        <v>192</v>
      </c>
      <c r="B166" s="12" t="s">
        <v>35</v>
      </c>
      <c r="C166" s="271" t="str">
        <f>'2ndMAY'!E166</f>
        <v/>
      </c>
      <c r="D166" s="227">
        <v>1.0</v>
      </c>
      <c r="E166" s="247"/>
      <c r="F166" s="235" t="s">
        <v>35</v>
      </c>
      <c r="G166" s="285"/>
      <c r="H166" s="272" t="str">
        <f>'2ndMAY'!J166</f>
        <v/>
      </c>
      <c r="I166" s="281"/>
      <c r="J166" s="282">
        <v>0.5</v>
      </c>
      <c r="K166" s="283"/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0.5</v>
      </c>
      <c r="N166" s="191"/>
      <c r="O166" s="247"/>
    </row>
    <row r="167">
      <c r="A167" s="12" t="s">
        <v>193</v>
      </c>
      <c r="B167" s="12" t="s">
        <v>35</v>
      </c>
      <c r="C167" s="271" t="str">
        <f>'2ndMAY'!E167</f>
        <v/>
      </c>
      <c r="D167" s="227">
        <v>5.7</v>
      </c>
      <c r="E167" s="247"/>
      <c r="F167" s="235" t="s">
        <v>35</v>
      </c>
      <c r="G167" s="235"/>
      <c r="H167" s="272">
        <f>'2ndMAY'!J167</f>
        <v>1</v>
      </c>
      <c r="I167" s="281"/>
      <c r="J167" s="282">
        <v>1.0</v>
      </c>
      <c r="K167" s="283"/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5.7</v>
      </c>
      <c r="N167" s="191"/>
      <c r="O167" s="247"/>
    </row>
    <row r="168">
      <c r="A168" s="12" t="s">
        <v>194</v>
      </c>
      <c r="B168" s="12" t="s">
        <v>17</v>
      </c>
      <c r="C168" s="271" t="str">
        <f>'2ndMAY'!E168</f>
        <v/>
      </c>
      <c r="D168" s="227"/>
      <c r="E168" s="247"/>
      <c r="F168" s="235" t="s">
        <v>17</v>
      </c>
      <c r="G168" s="235"/>
      <c r="H168" s="272" t="str">
        <f>'2ndMAY'!J168</f>
        <v/>
      </c>
      <c r="I168" s="281"/>
      <c r="J168" s="284"/>
      <c r="K168" s="283"/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0</v>
      </c>
      <c r="N168" s="191"/>
      <c r="O168" s="247"/>
    </row>
    <row r="169">
      <c r="A169" s="12" t="s">
        <v>195</v>
      </c>
      <c r="B169" s="12" t="s">
        <v>35</v>
      </c>
      <c r="C169" s="271" t="str">
        <f>'2ndMAY'!E169</f>
        <v/>
      </c>
      <c r="D169" s="227">
        <v>0.4</v>
      </c>
      <c r="E169" s="247"/>
      <c r="F169" s="235" t="s">
        <v>35</v>
      </c>
      <c r="G169" s="235"/>
      <c r="H169" s="272">
        <f>'2ndMAY'!J169</f>
        <v>0.902</v>
      </c>
      <c r="I169" s="281"/>
      <c r="J169" s="282">
        <v>1.0</v>
      </c>
      <c r="K169" s="283"/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0.302</v>
      </c>
      <c r="N169" s="191"/>
      <c r="O169" s="247"/>
    </row>
    <row r="170">
      <c r="A170" s="12" t="s">
        <v>196</v>
      </c>
      <c r="B170" s="12" t="s">
        <v>35</v>
      </c>
      <c r="C170" s="271" t="str">
        <f>'2ndMAY'!E170</f>
        <v/>
      </c>
      <c r="D170" s="191"/>
      <c r="E170" s="247"/>
      <c r="F170" s="235" t="s">
        <v>35</v>
      </c>
      <c r="G170" s="235"/>
      <c r="H170" s="272">
        <f>'2ndMAY'!J170</f>
        <v>0.7</v>
      </c>
      <c r="I170" s="281"/>
      <c r="J170" s="282">
        <v>0.51</v>
      </c>
      <c r="K170" s="283"/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0.19</v>
      </c>
      <c r="N170" s="191"/>
      <c r="O170" s="247"/>
    </row>
    <row r="171">
      <c r="A171" s="12" t="s">
        <v>197</v>
      </c>
      <c r="B171" s="12" t="s">
        <v>35</v>
      </c>
      <c r="C171" s="271" t="str">
        <f>'2ndMAY'!E171</f>
        <v/>
      </c>
      <c r="D171" s="191"/>
      <c r="E171" s="247"/>
      <c r="F171" s="235" t="s">
        <v>35</v>
      </c>
      <c r="G171" s="285"/>
      <c r="H171" s="272">
        <f>'2ndMAY'!J171</f>
        <v>0.5</v>
      </c>
      <c r="I171" s="281"/>
      <c r="J171" s="282">
        <v>0.899</v>
      </c>
      <c r="K171" s="283"/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-0.399</v>
      </c>
      <c r="N171" s="191"/>
      <c r="O171" s="247"/>
    </row>
    <row r="172">
      <c r="A172" s="12" t="s">
        <v>198</v>
      </c>
      <c r="B172" s="12" t="s">
        <v>35</v>
      </c>
      <c r="C172" s="271" t="str">
        <f>'2ndMAY'!E172</f>
        <v/>
      </c>
      <c r="D172" s="227">
        <v>1.5</v>
      </c>
      <c r="E172" s="247"/>
      <c r="F172" s="235" t="s">
        <v>35</v>
      </c>
      <c r="G172" s="285"/>
      <c r="H172" s="272">
        <f>'2ndMAY'!J172</f>
        <v>1</v>
      </c>
      <c r="I172" s="281"/>
      <c r="J172" s="282">
        <v>1.264</v>
      </c>
      <c r="K172" s="283"/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1.236</v>
      </c>
      <c r="N172" s="191"/>
      <c r="O172" s="247"/>
    </row>
    <row r="173">
      <c r="A173" s="12" t="s">
        <v>199</v>
      </c>
      <c r="B173" s="12" t="s">
        <v>35</v>
      </c>
      <c r="C173" s="271" t="str">
        <f>'2ndMAY'!E173</f>
        <v/>
      </c>
      <c r="D173" s="227">
        <v>1.0</v>
      </c>
      <c r="E173" s="247"/>
      <c r="F173" s="235" t="s">
        <v>35</v>
      </c>
      <c r="G173" s="235"/>
      <c r="H173" s="272">
        <f>'2ndMAY'!J173</f>
        <v>0.302</v>
      </c>
      <c r="I173" s="281"/>
      <c r="J173" s="284"/>
      <c r="K173" s="283"/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1.302</v>
      </c>
      <c r="N173" s="191"/>
      <c r="O173" s="247"/>
    </row>
    <row r="174">
      <c r="A174" s="12" t="s">
        <v>200</v>
      </c>
      <c r="B174" s="12" t="s">
        <v>35</v>
      </c>
      <c r="C174" s="271" t="str">
        <f>'2ndMAY'!E174</f>
        <v/>
      </c>
      <c r="D174" s="227">
        <v>1.0</v>
      </c>
      <c r="E174" s="247"/>
      <c r="F174" s="235" t="s">
        <v>35</v>
      </c>
      <c r="G174" s="285"/>
      <c r="H174" s="272">
        <f>'2ndMAY'!J174</f>
        <v>0.512</v>
      </c>
      <c r="I174" s="281"/>
      <c r="J174" s="282">
        <v>0.652</v>
      </c>
      <c r="K174" s="283"/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0.86</v>
      </c>
      <c r="N174" s="191"/>
      <c r="O174" s="247"/>
    </row>
    <row r="175">
      <c r="A175" s="12" t="s">
        <v>201</v>
      </c>
      <c r="B175" s="12" t="s">
        <v>202</v>
      </c>
      <c r="C175" s="271" t="str">
        <f>'2ndMAY'!E175</f>
        <v/>
      </c>
      <c r="D175" s="191"/>
      <c r="E175" s="247"/>
      <c r="F175" s="235" t="s">
        <v>202</v>
      </c>
      <c r="G175" s="235"/>
      <c r="H175" s="272" t="str">
        <f>'2ndMAY'!J175</f>
        <v/>
      </c>
      <c r="I175" s="281"/>
      <c r="J175" s="284"/>
      <c r="K175" s="283"/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'2ndMAY'!E176</f>
        <v/>
      </c>
      <c r="D176" s="227">
        <v>1.0</v>
      </c>
      <c r="E176" s="247"/>
      <c r="F176" s="235" t="s">
        <v>202</v>
      </c>
      <c r="G176" s="235"/>
      <c r="H176" s="272">
        <f>'2ndMAY'!J176</f>
        <v>0.5</v>
      </c>
      <c r="I176" s="281"/>
      <c r="J176" s="282"/>
      <c r="K176" s="283"/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1.5</v>
      </c>
      <c r="N176" s="191"/>
      <c r="O176" s="247"/>
    </row>
    <row r="177">
      <c r="A177" s="12" t="s">
        <v>205</v>
      </c>
      <c r="B177" s="12" t="s">
        <v>202</v>
      </c>
      <c r="C177" s="271" t="str">
        <f>'2ndMAY'!E177</f>
        <v/>
      </c>
      <c r="D177" s="227"/>
      <c r="E177" s="247"/>
      <c r="F177" s="235" t="s">
        <v>202</v>
      </c>
      <c r="G177" s="235"/>
      <c r="H177" s="272" t="str">
        <f>'2ndMAY'!J177</f>
        <v/>
      </c>
      <c r="I177" s="281"/>
      <c r="J177" s="284"/>
      <c r="K177" s="283"/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0</v>
      </c>
      <c r="N177" s="191"/>
      <c r="O177" s="247"/>
    </row>
    <row r="178">
      <c r="A178" s="12" t="s">
        <v>206</v>
      </c>
      <c r="B178" s="12" t="s">
        <v>207</v>
      </c>
      <c r="C178" s="271" t="str">
        <f>'2ndMAY'!E178</f>
        <v/>
      </c>
      <c r="D178" s="227"/>
      <c r="E178" s="247"/>
      <c r="F178" s="235" t="s">
        <v>17</v>
      </c>
      <c r="G178" s="285"/>
      <c r="H178" s="272">
        <f>'2ndMAY'!J178</f>
        <v>23</v>
      </c>
      <c r="I178" s="281"/>
      <c r="J178" s="282">
        <v>2.0</v>
      </c>
      <c r="K178" s="283"/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21</v>
      </c>
      <c r="N178" s="191"/>
      <c r="O178" s="247"/>
    </row>
    <row r="179">
      <c r="A179" s="12" t="s">
        <v>209</v>
      </c>
      <c r="B179" s="12" t="s">
        <v>17</v>
      </c>
      <c r="C179" s="271" t="str">
        <f>'2ndMAY'!E179</f>
        <v/>
      </c>
      <c r="D179" s="191"/>
      <c r="E179" s="247"/>
      <c r="F179" s="235" t="s">
        <v>17</v>
      </c>
      <c r="G179" s="235"/>
      <c r="H179" s="272" t="str">
        <f>'2ndMAY'!J179</f>
        <v/>
      </c>
      <c r="I179" s="281"/>
      <c r="J179" s="284"/>
      <c r="K179" s="283"/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'2ndMAY'!E180</f>
        <v/>
      </c>
      <c r="D180" s="191"/>
      <c r="E180" s="247"/>
      <c r="F180" s="235" t="s">
        <v>202</v>
      </c>
      <c r="G180" s="285"/>
      <c r="H180" s="272" t="str">
        <f>'2ndMAY'!J180</f>
        <v/>
      </c>
      <c r="I180" s="281"/>
      <c r="J180" s="282">
        <v>0.5</v>
      </c>
      <c r="K180" s="283"/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-0.5</v>
      </c>
      <c r="N180" s="191"/>
      <c r="O180" s="247"/>
    </row>
    <row r="181">
      <c r="A181" s="12" t="s">
        <v>211</v>
      </c>
      <c r="B181" s="12" t="s">
        <v>202</v>
      </c>
      <c r="C181" s="271" t="str">
        <f>'2ndMAY'!E181</f>
        <v/>
      </c>
      <c r="D181" s="227"/>
      <c r="E181" s="247"/>
      <c r="F181" s="235" t="s">
        <v>202</v>
      </c>
      <c r="G181" s="235"/>
      <c r="H181" s="272">
        <f>'2ndMAY'!J181</f>
        <v>0.5</v>
      </c>
      <c r="I181" s="281"/>
      <c r="J181" s="282"/>
      <c r="K181" s="283"/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0.5</v>
      </c>
      <c r="N181" s="191"/>
      <c r="O181" s="247"/>
    </row>
    <row r="182">
      <c r="A182" s="12" t="s">
        <v>212</v>
      </c>
      <c r="B182" s="12" t="s">
        <v>202</v>
      </c>
      <c r="C182" s="271">
        <f>'2ndMAY'!E182</f>
        <v>1</v>
      </c>
      <c r="D182" s="191"/>
      <c r="E182" s="247"/>
      <c r="F182" s="235" t="s">
        <v>202</v>
      </c>
      <c r="G182" s="235"/>
      <c r="H182" s="272" t="str">
        <f>'2ndMAY'!J182</f>
        <v/>
      </c>
      <c r="I182" s="281"/>
      <c r="J182" s="282">
        <v>1.0</v>
      </c>
      <c r="K182" s="283"/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</v>
      </c>
      <c r="N182" s="191"/>
      <c r="O182" s="247"/>
    </row>
    <row r="183">
      <c r="A183" s="12" t="s">
        <v>213</v>
      </c>
      <c r="B183" s="12" t="s">
        <v>35</v>
      </c>
      <c r="C183" s="271" t="str">
        <f>'2ndMAY'!E183</f>
        <v/>
      </c>
      <c r="D183" s="191"/>
      <c r="E183" s="247"/>
      <c r="F183" s="235" t="s">
        <v>35</v>
      </c>
      <c r="G183" s="235"/>
      <c r="H183" s="272" t="str">
        <f>'2ndMAY'!J183</f>
        <v/>
      </c>
      <c r="I183" s="281"/>
      <c r="J183" s="284"/>
      <c r="K183" s="283"/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'2ndMAY'!E184</f>
        <v/>
      </c>
      <c r="D184" s="191"/>
      <c r="E184" s="247"/>
      <c r="F184" s="235" t="s">
        <v>35</v>
      </c>
      <c r="G184" s="235"/>
      <c r="H184" s="272">
        <f>'2ndMAY'!J184</f>
        <v>0.25</v>
      </c>
      <c r="I184" s="281"/>
      <c r="J184" s="282">
        <v>0.183</v>
      </c>
      <c r="K184" s="283"/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0.067</v>
      </c>
      <c r="N184" s="191"/>
      <c r="O184" s="247"/>
    </row>
    <row r="185">
      <c r="A185" s="12" t="s">
        <v>215</v>
      </c>
      <c r="B185" s="12" t="s">
        <v>35</v>
      </c>
      <c r="C185" s="271" t="str">
        <f>'2ndMAY'!E185</f>
        <v/>
      </c>
      <c r="D185" s="227">
        <v>0.5</v>
      </c>
      <c r="E185" s="247"/>
      <c r="F185" s="235" t="s">
        <v>35</v>
      </c>
      <c r="G185" s="235"/>
      <c r="H185" s="272">
        <f>'2ndMAY'!J185</f>
        <v>0.107</v>
      </c>
      <c r="I185" s="281"/>
      <c r="J185" s="284"/>
      <c r="K185" s="283"/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0.607</v>
      </c>
      <c r="N185" s="191"/>
      <c r="O185" s="247"/>
    </row>
    <row r="186">
      <c r="A186" s="12" t="s">
        <v>216</v>
      </c>
      <c r="B186" s="12" t="s">
        <v>17</v>
      </c>
      <c r="C186" s="271" t="str">
        <f>'2ndMAY'!E186</f>
        <v/>
      </c>
      <c r="D186" s="191"/>
      <c r="E186" s="247"/>
      <c r="F186" s="235" t="s">
        <v>17</v>
      </c>
      <c r="G186" s="235"/>
      <c r="H186" s="272">
        <f>'2ndMAY'!J186</f>
        <v>2</v>
      </c>
      <c r="I186" s="281"/>
      <c r="J186" s="282">
        <v>1.5</v>
      </c>
      <c r="K186" s="283"/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0.5</v>
      </c>
      <c r="N186" s="191"/>
      <c r="O186" s="247"/>
    </row>
    <row r="187">
      <c r="A187" s="12" t="s">
        <v>217</v>
      </c>
      <c r="B187" s="12" t="s">
        <v>35</v>
      </c>
      <c r="C187" s="271" t="str">
        <f>'2ndMAY'!E187</f>
        <v/>
      </c>
      <c r="D187" s="227">
        <v>0.6</v>
      </c>
      <c r="E187" s="247"/>
      <c r="F187" s="235" t="s">
        <v>35</v>
      </c>
      <c r="G187" s="235"/>
      <c r="H187" s="272"/>
      <c r="I187" s="281"/>
      <c r="J187" s="282">
        <v>0.5</v>
      </c>
      <c r="K187" s="283"/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0.1</v>
      </c>
      <c r="N187" s="191"/>
      <c r="O187" s="247"/>
    </row>
    <row r="188">
      <c r="A188" s="12" t="s">
        <v>218</v>
      </c>
      <c r="B188" s="12" t="s">
        <v>17</v>
      </c>
      <c r="C188" s="271" t="str">
        <f>'2ndMAY'!E188</f>
        <v/>
      </c>
      <c r="D188" s="227"/>
      <c r="E188" s="247"/>
      <c r="F188" s="235" t="s">
        <v>17</v>
      </c>
      <c r="G188" s="235"/>
      <c r="H188" s="272">
        <f>'2ndMAY'!J188</f>
        <v>2.5</v>
      </c>
      <c r="I188" s="281"/>
      <c r="J188" s="282">
        <v>1.5</v>
      </c>
      <c r="K188" s="283"/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1</v>
      </c>
      <c r="N188" s="191"/>
      <c r="O188" s="247"/>
    </row>
    <row r="189">
      <c r="A189" s="12" t="s">
        <v>220</v>
      </c>
      <c r="B189" s="12" t="s">
        <v>35</v>
      </c>
      <c r="C189" s="271" t="str">
        <f>'2ndMAY'!E189</f>
        <v/>
      </c>
      <c r="D189" s="191"/>
      <c r="E189" s="247"/>
      <c r="F189" s="235" t="s">
        <v>35</v>
      </c>
      <c r="G189" s="235"/>
      <c r="H189" s="272" t="str">
        <f>'2ndMAY'!J189</f>
        <v/>
      </c>
      <c r="I189" s="281"/>
      <c r="J189" s="284"/>
      <c r="K189" s="283"/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'2ndMAY'!E190</f>
        <v/>
      </c>
      <c r="D190" s="227">
        <v>8.0</v>
      </c>
      <c r="E190" s="247"/>
      <c r="F190" s="235" t="s">
        <v>17</v>
      </c>
      <c r="G190" s="285"/>
      <c r="H190" s="272"/>
      <c r="I190" s="281"/>
      <c r="J190" s="282">
        <v>5.0</v>
      </c>
      <c r="K190" s="283"/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3</v>
      </c>
      <c r="N190" s="191"/>
      <c r="O190" s="247"/>
    </row>
    <row r="191">
      <c r="A191" s="12" t="s">
        <v>222</v>
      </c>
      <c r="B191" s="12" t="s">
        <v>17</v>
      </c>
      <c r="C191" s="271" t="str">
        <f>'2ndMAY'!E191</f>
        <v/>
      </c>
      <c r="D191" s="191"/>
      <c r="E191" s="247"/>
      <c r="F191" s="235" t="s">
        <v>17</v>
      </c>
      <c r="G191" s="235"/>
      <c r="H191" s="272" t="str">
        <f>'2ndMAY'!J191</f>
        <v/>
      </c>
      <c r="I191" s="281"/>
      <c r="J191" s="284"/>
      <c r="K191" s="283"/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'2ndMAY'!E192</f>
        <v/>
      </c>
      <c r="D192" s="227"/>
      <c r="E192" s="247"/>
      <c r="F192" s="235" t="s">
        <v>17</v>
      </c>
      <c r="G192" s="235"/>
      <c r="H192" s="272" t="str">
        <f>'2ndMAY'!J192</f>
        <v/>
      </c>
      <c r="I192" s="281"/>
      <c r="J192" s="284"/>
      <c r="K192" s="283"/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0</v>
      </c>
      <c r="N192" s="191"/>
      <c r="O192" s="247"/>
    </row>
    <row r="193">
      <c r="A193" s="12" t="s">
        <v>224</v>
      </c>
      <c r="B193" s="12" t="s">
        <v>202</v>
      </c>
      <c r="C193" s="271" t="str">
        <f>'2ndMAY'!E193</f>
        <v/>
      </c>
      <c r="D193" s="227"/>
      <c r="E193" s="247"/>
      <c r="F193" s="235" t="s">
        <v>202</v>
      </c>
      <c r="G193" s="235"/>
      <c r="H193" s="272">
        <f>'2ndMAY'!J193</f>
        <v>1</v>
      </c>
      <c r="I193" s="281"/>
      <c r="J193" s="282">
        <v>1.0</v>
      </c>
      <c r="K193" s="283"/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</v>
      </c>
      <c r="N193" s="191"/>
      <c r="O193" s="247"/>
    </row>
    <row r="194">
      <c r="A194" s="12" t="s">
        <v>225</v>
      </c>
      <c r="B194" s="12" t="s">
        <v>35</v>
      </c>
      <c r="C194" s="271" t="str">
        <f>'2ndMAY'!E194</f>
        <v/>
      </c>
      <c r="D194" s="191"/>
      <c r="E194" s="247"/>
      <c r="F194" s="235" t="s">
        <v>35</v>
      </c>
      <c r="G194" s="235"/>
      <c r="H194" s="272">
        <f>'2ndMAY'!J194</f>
        <v>1</v>
      </c>
      <c r="I194" s="281"/>
      <c r="J194" s="282">
        <v>1.0</v>
      </c>
      <c r="K194" s="283"/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</v>
      </c>
      <c r="N194" s="191"/>
      <c r="O194" s="247"/>
    </row>
    <row r="195">
      <c r="A195" s="12" t="s">
        <v>227</v>
      </c>
      <c r="B195" s="12" t="s">
        <v>35</v>
      </c>
      <c r="C195" s="271" t="str">
        <f>'2ndMAY'!E195</f>
        <v/>
      </c>
      <c r="D195" s="191"/>
      <c r="E195" s="247"/>
      <c r="F195" s="235" t="s">
        <v>35</v>
      </c>
      <c r="G195" s="285"/>
      <c r="H195" s="272">
        <f>'2ndMAY'!J195</f>
        <v>0.009</v>
      </c>
      <c r="I195" s="281"/>
      <c r="J195" s="282">
        <v>0.526</v>
      </c>
      <c r="K195" s="283"/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-0.517</v>
      </c>
      <c r="N195" s="191"/>
      <c r="O195" s="247"/>
    </row>
    <row r="196">
      <c r="A196" s="12" t="s">
        <v>228</v>
      </c>
      <c r="B196" s="12" t="s">
        <v>155</v>
      </c>
      <c r="C196" s="271">
        <f>'2ndMAY'!E196</f>
        <v>1</v>
      </c>
      <c r="D196" s="191"/>
      <c r="E196" s="247"/>
      <c r="F196" s="235" t="s">
        <v>35</v>
      </c>
      <c r="G196" s="235"/>
      <c r="H196" s="272">
        <f>'2ndMAY'!J196</f>
        <v>0.25</v>
      </c>
      <c r="I196" s="281"/>
      <c r="J196" s="282">
        <v>0.149</v>
      </c>
      <c r="K196" s="283"/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0.601</v>
      </c>
      <c r="N196" s="191"/>
      <c r="O196" s="247"/>
    </row>
    <row r="197">
      <c r="A197" s="12" t="s">
        <v>229</v>
      </c>
      <c r="B197" s="12" t="s">
        <v>17</v>
      </c>
      <c r="C197" s="271" t="str">
        <f>'2ndMAY'!E197</f>
        <v/>
      </c>
      <c r="D197" s="227">
        <v>0.5</v>
      </c>
      <c r="E197" s="247"/>
      <c r="F197" s="235" t="s">
        <v>17</v>
      </c>
      <c r="G197" s="235"/>
      <c r="H197" s="272" t="str">
        <f>'2ndMAY'!J197</f>
        <v/>
      </c>
      <c r="I197" s="281"/>
      <c r="J197" s="282"/>
      <c r="K197" s="283"/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0.5</v>
      </c>
      <c r="N197" s="191"/>
      <c r="O197" s="247"/>
    </row>
    <row r="198">
      <c r="A198" s="12" t="s">
        <v>231</v>
      </c>
      <c r="B198" s="12" t="s">
        <v>35</v>
      </c>
      <c r="C198" s="271" t="str">
        <f>'2ndMAY'!E198</f>
        <v/>
      </c>
      <c r="D198" s="227">
        <v>1.0</v>
      </c>
      <c r="E198" s="247"/>
      <c r="F198" s="235" t="s">
        <v>35</v>
      </c>
      <c r="G198" s="285">
        <v>0.513</v>
      </c>
      <c r="H198" s="272" t="str">
        <f>'2ndMAY'!J198</f>
        <v/>
      </c>
      <c r="I198" s="281"/>
      <c r="J198" s="282">
        <v>1.513</v>
      </c>
      <c r="K198" s="283"/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</v>
      </c>
      <c r="N198" s="191"/>
      <c r="O198" s="247"/>
    </row>
    <row r="199">
      <c r="A199" s="12" t="s">
        <v>232</v>
      </c>
      <c r="B199" s="12" t="s">
        <v>202</v>
      </c>
      <c r="C199" s="271" t="str">
        <f>'2ndMAY'!E199</f>
        <v/>
      </c>
      <c r="D199" s="191"/>
      <c r="E199" s="247"/>
      <c r="F199" s="235" t="s">
        <v>202</v>
      </c>
      <c r="G199" s="285"/>
      <c r="H199" s="272">
        <f>'2ndMAY'!J199</f>
        <v>1</v>
      </c>
      <c r="I199" s="281"/>
      <c r="J199" s="282">
        <v>1.0</v>
      </c>
      <c r="K199" s="283"/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</v>
      </c>
      <c r="N199" s="191"/>
      <c r="O199" s="247"/>
    </row>
    <row r="200">
      <c r="A200" s="12" t="s">
        <v>233</v>
      </c>
      <c r="B200" s="12" t="s">
        <v>17</v>
      </c>
      <c r="C200" s="271" t="str">
        <f>'2ndMAY'!E200</f>
        <v/>
      </c>
      <c r="D200" s="227">
        <v>2.0</v>
      </c>
      <c r="E200" s="280"/>
      <c r="F200" s="235" t="s">
        <v>234</v>
      </c>
      <c r="G200" s="285"/>
      <c r="H200" s="272" t="str">
        <f>'2ndMAY'!J200</f>
        <v/>
      </c>
      <c r="I200" s="281"/>
      <c r="J200" s="282">
        <v>1.0</v>
      </c>
      <c r="K200" s="283"/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1</v>
      </c>
      <c r="N200" s="191"/>
      <c r="O200" s="247"/>
    </row>
    <row r="201">
      <c r="A201" s="25" t="s">
        <v>235</v>
      </c>
      <c r="B201" s="26" t="s">
        <v>202</v>
      </c>
      <c r="C201" s="271" t="str">
        <f>'2ndMAY'!E201</f>
        <v/>
      </c>
      <c r="D201" s="227"/>
      <c r="E201" s="247"/>
      <c r="F201" s="235" t="s">
        <v>202</v>
      </c>
      <c r="G201" s="235"/>
      <c r="H201" s="272" t="str">
        <f>'2ndMAY'!J201</f>
        <v/>
      </c>
      <c r="I201" s="281"/>
      <c r="J201" s="284"/>
      <c r="K201" s="283"/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</v>
      </c>
      <c r="N201" s="191"/>
      <c r="O201" s="247"/>
    </row>
    <row r="202">
      <c r="A202" s="25" t="s">
        <v>236</v>
      </c>
      <c r="B202" s="26" t="s">
        <v>237</v>
      </c>
      <c r="C202" s="271" t="str">
        <f>'2ndMAY'!E202</f>
        <v/>
      </c>
      <c r="D202" s="227"/>
      <c r="E202" s="247"/>
      <c r="F202" s="235" t="s">
        <v>35</v>
      </c>
      <c r="G202" s="235"/>
      <c r="H202" s="272">
        <f>'2ndMAY'!J202</f>
        <v>0.491</v>
      </c>
      <c r="I202" s="281"/>
      <c r="J202" s="282">
        <v>0.3</v>
      </c>
      <c r="K202" s="283"/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0.191</v>
      </c>
      <c r="N202" s="191"/>
      <c r="O202" s="247"/>
    </row>
    <row r="203">
      <c r="A203" s="25" t="s">
        <v>238</v>
      </c>
      <c r="B203" s="26" t="s">
        <v>202</v>
      </c>
      <c r="C203" s="271" t="str">
        <f>'2ndMAY'!E203</f>
        <v/>
      </c>
      <c r="D203" s="227"/>
      <c r="E203" s="247"/>
      <c r="F203" s="235" t="s">
        <v>202</v>
      </c>
      <c r="G203" s="235"/>
      <c r="H203" s="272">
        <f>'2ndMAY'!J203</f>
        <v>1</v>
      </c>
      <c r="I203" s="281"/>
      <c r="J203" s="282">
        <v>1.0</v>
      </c>
      <c r="K203" s="283"/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71" t="str">
        <f>'2ndMAY'!E204</f>
        <v/>
      </c>
      <c r="D204" s="191"/>
      <c r="E204" s="247"/>
      <c r="F204" s="235" t="s">
        <v>35</v>
      </c>
      <c r="G204" s="235"/>
      <c r="H204" s="272" t="str">
        <f>'2ndMAY'!J204</f>
        <v/>
      </c>
      <c r="I204" s="281"/>
      <c r="J204" s="284"/>
      <c r="K204" s="283"/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'2ndMAY'!E205</f>
        <v/>
      </c>
      <c r="D205" s="227"/>
      <c r="E205" s="247"/>
      <c r="F205" s="235" t="s">
        <v>17</v>
      </c>
      <c r="G205" s="235"/>
      <c r="H205" s="272">
        <f>'2ndMAY'!J205</f>
        <v>3</v>
      </c>
      <c r="I205" s="281"/>
      <c r="J205" s="282"/>
      <c r="K205" s="283"/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3</v>
      </c>
      <c r="N205" s="191"/>
      <c r="O205" s="247"/>
    </row>
    <row r="206">
      <c r="A206" s="12" t="s">
        <v>242</v>
      </c>
      <c r="B206" s="12" t="s">
        <v>35</v>
      </c>
      <c r="C206" s="271" t="str">
        <f>'2ndMAY'!E206</f>
        <v/>
      </c>
      <c r="D206" s="227"/>
      <c r="E206" s="247"/>
      <c r="F206" s="235" t="s">
        <v>35</v>
      </c>
      <c r="G206" s="235"/>
      <c r="H206" s="272">
        <f>'2ndMAY'!J206</f>
        <v>208.5</v>
      </c>
      <c r="I206" s="281"/>
      <c r="J206" s="282">
        <v>150.0</v>
      </c>
      <c r="K206" s="283"/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58.5</v>
      </c>
      <c r="N206" s="191"/>
      <c r="O206" s="247"/>
    </row>
    <row r="207">
      <c r="A207" s="12" t="s">
        <v>243</v>
      </c>
      <c r="B207" s="12" t="s">
        <v>241</v>
      </c>
      <c r="C207" s="271">
        <f>'2ndMAY'!E207</f>
        <v>4</v>
      </c>
      <c r="D207" s="227">
        <v>8.0</v>
      </c>
      <c r="E207" s="280">
        <v>5.0</v>
      </c>
      <c r="F207" s="235" t="s">
        <v>17</v>
      </c>
      <c r="G207" s="285"/>
      <c r="H207" s="272" t="str">
        <f>'2ndMAY'!J207</f>
        <v/>
      </c>
      <c r="I207" s="281"/>
      <c r="J207" s="282"/>
      <c r="K207" s="283"/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7</v>
      </c>
      <c r="N207" s="191"/>
      <c r="O207" s="247"/>
    </row>
    <row r="208">
      <c r="A208" s="10" t="s">
        <v>245</v>
      </c>
      <c r="B208" s="11"/>
      <c r="C208" s="271" t="str">
        <f>'2ndMAY'!E208</f>
        <v/>
      </c>
      <c r="D208" s="191"/>
      <c r="E208" s="247"/>
      <c r="F208" s="235"/>
      <c r="G208" s="235"/>
      <c r="H208" s="272" t="str">
        <f>'2ndMAY'!J208</f>
        <v/>
      </c>
      <c r="I208" s="281"/>
      <c r="J208" s="284"/>
      <c r="K208" s="283"/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'2ndMAY'!E209</f>
        <v/>
      </c>
      <c r="D209" s="227">
        <v>3.0</v>
      </c>
      <c r="E209" s="247"/>
      <c r="F209" s="235" t="s">
        <v>155</v>
      </c>
      <c r="G209" s="285"/>
      <c r="H209" s="272" t="str">
        <f>'2ndMAY'!J209</f>
        <v/>
      </c>
      <c r="I209" s="281"/>
      <c r="J209" s="282"/>
      <c r="K209" s="283"/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1.5</v>
      </c>
      <c r="N209" s="191"/>
      <c r="O209" s="247"/>
    </row>
    <row r="210">
      <c r="A210" s="12" t="s">
        <v>247</v>
      </c>
      <c r="B210" s="13" t="s">
        <v>59</v>
      </c>
      <c r="C210" s="271">
        <f>'2ndMAY'!E210</f>
        <v>1</v>
      </c>
      <c r="D210" s="227">
        <v>1.0</v>
      </c>
      <c r="E210" s="280">
        <v>1.0</v>
      </c>
      <c r="F210" s="235" t="s">
        <v>35</v>
      </c>
      <c r="G210" s="235"/>
      <c r="H210" s="272" t="str">
        <f>'2ndMAY'!J210</f>
        <v/>
      </c>
      <c r="I210" s="281"/>
      <c r="J210" s="282"/>
      <c r="K210" s="283"/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0.5</v>
      </c>
      <c r="N210" s="191"/>
      <c r="O210" s="247"/>
    </row>
    <row r="211">
      <c r="A211" s="12" t="s">
        <v>248</v>
      </c>
      <c r="B211" s="13" t="s">
        <v>59</v>
      </c>
      <c r="C211" s="271">
        <f>'2ndMAY'!E211</f>
        <v>1</v>
      </c>
      <c r="D211" s="191"/>
      <c r="E211" s="280">
        <v>1.0</v>
      </c>
      <c r="F211" s="235" t="s">
        <v>35</v>
      </c>
      <c r="G211" s="235"/>
      <c r="H211" s="272">
        <f>'2ndMAY'!J211</f>
        <v>1</v>
      </c>
      <c r="I211" s="281"/>
      <c r="J211" s="282">
        <v>0.45</v>
      </c>
      <c r="K211" s="283"/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0.55</v>
      </c>
      <c r="N211" s="191"/>
      <c r="O211" s="247"/>
    </row>
    <row r="212">
      <c r="A212" s="12" t="s">
        <v>250</v>
      </c>
      <c r="B212" s="13" t="s">
        <v>59</v>
      </c>
      <c r="C212" s="271" t="str">
        <f>'2ndMAY'!E212</f>
        <v/>
      </c>
      <c r="D212" s="191"/>
      <c r="E212" s="280"/>
      <c r="F212" s="235" t="s">
        <v>35</v>
      </c>
      <c r="G212" s="235"/>
      <c r="H212" s="272">
        <f>'2ndMAY'!J212</f>
        <v>0.198</v>
      </c>
      <c r="I212" s="281"/>
      <c r="J212" s="282">
        <v>0.198</v>
      </c>
      <c r="K212" s="283"/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</v>
      </c>
      <c r="N212" s="191"/>
      <c r="O212" s="247"/>
    </row>
    <row r="213">
      <c r="A213" s="12" t="s">
        <v>251</v>
      </c>
      <c r="B213" s="13" t="s">
        <v>34</v>
      </c>
      <c r="C213" s="271" t="str">
        <f>'2ndMAY'!E213</f>
        <v/>
      </c>
      <c r="D213" s="191"/>
      <c r="E213" s="247"/>
      <c r="F213" s="235" t="s">
        <v>35</v>
      </c>
      <c r="G213" s="235"/>
      <c r="H213" s="272" t="str">
        <f>'2ndMAY'!J213</f>
        <v/>
      </c>
      <c r="I213" s="281"/>
      <c r="J213" s="284"/>
      <c r="K213" s="283"/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'2ndMAY'!E214</f>
        <v/>
      </c>
      <c r="D214" s="191"/>
      <c r="E214" s="247"/>
      <c r="F214" s="235"/>
      <c r="G214" s="235"/>
      <c r="H214" s="272" t="str">
        <f>'2ndMAY'!J214</f>
        <v/>
      </c>
      <c r="I214" s="281"/>
      <c r="J214" s="284"/>
      <c r="K214" s="283"/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'2ndMAY'!E215</f>
        <v/>
      </c>
      <c r="D215" s="191"/>
      <c r="E215" s="247"/>
      <c r="F215" s="235" t="s">
        <v>254</v>
      </c>
      <c r="G215" s="235"/>
      <c r="H215" s="272" t="str">
        <f>'2ndMAY'!J215</f>
        <v/>
      </c>
      <c r="I215" s="281"/>
      <c r="J215" s="284"/>
      <c r="K215" s="283"/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'2ndMAY'!E216</f>
        <v/>
      </c>
      <c r="D216" s="191"/>
      <c r="E216" s="247"/>
      <c r="F216" s="235" t="s">
        <v>234</v>
      </c>
      <c r="G216" s="235"/>
      <c r="H216" s="272" t="str">
        <f>'2ndMAY'!J216</f>
        <v/>
      </c>
      <c r="I216" s="281"/>
      <c r="J216" s="284"/>
      <c r="K216" s="283"/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'2ndMAY'!E217</f>
        <v/>
      </c>
      <c r="D217" s="227"/>
      <c r="E217" s="247"/>
      <c r="F217" s="235" t="s">
        <v>17</v>
      </c>
      <c r="G217" s="235"/>
      <c r="H217" s="272">
        <f>'2ndMAY'!J217</f>
        <v>12</v>
      </c>
      <c r="I217" s="281"/>
      <c r="J217" s="282">
        <v>12.0</v>
      </c>
      <c r="K217" s="283"/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0</v>
      </c>
      <c r="N217" s="191"/>
      <c r="O217" s="247"/>
    </row>
    <row r="218">
      <c r="A218" s="12" t="s">
        <v>260</v>
      </c>
      <c r="B218" s="12" t="s">
        <v>261</v>
      </c>
      <c r="C218" s="271" t="str">
        <f>'2ndMAY'!E218</f>
        <v/>
      </c>
      <c r="D218" s="227"/>
      <c r="E218" s="247"/>
      <c r="F218" s="235" t="s">
        <v>35</v>
      </c>
      <c r="G218" s="235"/>
      <c r="H218" s="272">
        <f>'2ndMAY'!J218</f>
        <v>1.815</v>
      </c>
      <c r="I218" s="281"/>
      <c r="J218" s="282">
        <v>1.381</v>
      </c>
      <c r="K218" s="283"/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0.434</v>
      </c>
      <c r="N218" s="191"/>
      <c r="O218" s="247"/>
    </row>
    <row r="219">
      <c r="A219" s="12" t="s">
        <v>263</v>
      </c>
      <c r="B219" s="12" t="s">
        <v>17</v>
      </c>
      <c r="C219" s="271" t="str">
        <f>'2ndMAY'!E219</f>
        <v/>
      </c>
      <c r="D219" s="227">
        <v>50.0</v>
      </c>
      <c r="E219" s="247"/>
      <c r="F219" s="235" t="s">
        <v>17</v>
      </c>
      <c r="G219" s="285"/>
      <c r="H219" s="272">
        <f>'2ndMAY'!J219</f>
        <v>43</v>
      </c>
      <c r="I219" s="281"/>
      <c r="J219" s="282">
        <v>49.0</v>
      </c>
      <c r="K219" s="283"/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44</v>
      </c>
      <c r="N219" s="191"/>
      <c r="O219" s="247"/>
    </row>
    <row r="220">
      <c r="A220" s="12" t="s">
        <v>264</v>
      </c>
      <c r="B220" s="12" t="s">
        <v>261</v>
      </c>
      <c r="C220" s="271" t="str">
        <f>'2ndMAY'!E220</f>
        <v/>
      </c>
      <c r="D220" s="191"/>
      <c r="E220" s="247"/>
      <c r="F220" s="235" t="s">
        <v>35</v>
      </c>
      <c r="G220" s="235"/>
      <c r="H220" s="272">
        <f>'2ndMAY'!J220</f>
        <v>0.816</v>
      </c>
      <c r="I220" s="281"/>
      <c r="J220" s="282">
        <v>0.721</v>
      </c>
      <c r="K220" s="283"/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0.095</v>
      </c>
      <c r="N220" s="191"/>
      <c r="O220" s="247"/>
    </row>
    <row r="221">
      <c r="A221" s="12" t="s">
        <v>265</v>
      </c>
      <c r="B221" s="12" t="s">
        <v>40</v>
      </c>
      <c r="C221" s="271" t="str">
        <f>'2ndMAY'!E221</f>
        <v/>
      </c>
      <c r="D221" s="227"/>
      <c r="E221" s="247"/>
      <c r="F221" s="235" t="s">
        <v>17</v>
      </c>
      <c r="G221" s="235"/>
      <c r="H221" s="272">
        <f>'2ndMAY'!J221</f>
        <v>59</v>
      </c>
      <c r="I221" s="281"/>
      <c r="J221" s="282">
        <v>22.0</v>
      </c>
      <c r="K221" s="283"/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37</v>
      </c>
      <c r="N221" s="191"/>
      <c r="O221" s="247"/>
    </row>
    <row r="222">
      <c r="A222" s="12" t="s">
        <v>266</v>
      </c>
      <c r="B222" s="12" t="s">
        <v>267</v>
      </c>
      <c r="C222" s="271" t="str">
        <f>'2ndMAY'!E222</f>
        <v/>
      </c>
      <c r="D222" s="191"/>
      <c r="E222" s="247"/>
      <c r="F222" s="235" t="s">
        <v>17</v>
      </c>
      <c r="G222" s="235"/>
      <c r="H222" s="272">
        <f>'2ndMAY'!J222</f>
        <v>59</v>
      </c>
      <c r="I222" s="281"/>
      <c r="J222" s="282">
        <v>46.0</v>
      </c>
      <c r="K222" s="283"/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13</v>
      </c>
      <c r="N222" s="191"/>
      <c r="O222" s="247"/>
    </row>
    <row r="223">
      <c r="A223" s="12" t="s">
        <v>268</v>
      </c>
      <c r="B223" s="12" t="s">
        <v>40</v>
      </c>
      <c r="C223" s="271" t="str">
        <f>'2ndMAY'!E223</f>
        <v/>
      </c>
      <c r="D223" s="227"/>
      <c r="E223" s="247"/>
      <c r="F223" s="235" t="s">
        <v>17</v>
      </c>
      <c r="G223" s="235"/>
      <c r="H223" s="272">
        <f>'2ndMAY'!J223</f>
        <v>15</v>
      </c>
      <c r="I223" s="281"/>
      <c r="J223" s="282">
        <v>9.0</v>
      </c>
      <c r="K223" s="283"/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6</v>
      </c>
      <c r="N223" s="191"/>
      <c r="O223" s="247"/>
    </row>
    <row r="224">
      <c r="A224" s="12" t="s">
        <v>269</v>
      </c>
      <c r="B224" s="294" t="s">
        <v>40</v>
      </c>
      <c r="C224" s="271" t="str">
        <f>'2ndMAY'!E224</f>
        <v/>
      </c>
      <c r="D224" s="191"/>
      <c r="E224" s="191"/>
      <c r="F224" s="191" t="s">
        <v>17</v>
      </c>
      <c r="G224" s="191"/>
      <c r="H224" s="272">
        <f>'2ndMAY'!J224</f>
        <v>61</v>
      </c>
      <c r="I224" s="281"/>
      <c r="J224" s="227">
        <v>56.0</v>
      </c>
      <c r="K224" s="283"/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5</v>
      </c>
      <c r="N224" s="191"/>
      <c r="O224" s="247"/>
    </row>
    <row r="225">
      <c r="A225" s="12" t="s">
        <v>270</v>
      </c>
      <c r="B225" s="294" t="s">
        <v>40</v>
      </c>
      <c r="C225" s="271" t="str">
        <f>'2ndMAY'!E225</f>
        <v/>
      </c>
      <c r="D225" s="191"/>
      <c r="E225" s="191"/>
      <c r="F225" s="191" t="s">
        <v>17</v>
      </c>
      <c r="G225" s="227"/>
      <c r="H225" s="272">
        <f>'2ndMAY'!J225</f>
        <v>24</v>
      </c>
      <c r="I225" s="281"/>
      <c r="J225" s="227">
        <v>29.0</v>
      </c>
      <c r="K225" s="283"/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-5</v>
      </c>
      <c r="N225" s="191"/>
      <c r="O225" s="247"/>
    </row>
    <row r="226">
      <c r="A226" s="12" t="s">
        <v>271</v>
      </c>
      <c r="B226" s="294" t="s">
        <v>40</v>
      </c>
      <c r="C226" s="271" t="str">
        <f>'2ndMAY'!E226</f>
        <v/>
      </c>
      <c r="D226" s="227">
        <v>2.0</v>
      </c>
      <c r="E226" s="191"/>
      <c r="F226" s="191" t="s">
        <v>17</v>
      </c>
      <c r="G226" s="227"/>
      <c r="H226" s="272">
        <f>'2ndMAY'!J226</f>
        <v>4</v>
      </c>
      <c r="I226" s="281"/>
      <c r="J226" s="227">
        <v>67.0</v>
      </c>
      <c r="K226" s="283"/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37</v>
      </c>
      <c r="N226" s="191"/>
      <c r="O226" s="247"/>
    </row>
    <row r="227">
      <c r="A227" s="12" t="s">
        <v>272</v>
      </c>
      <c r="B227" s="294" t="s">
        <v>40</v>
      </c>
      <c r="C227" s="271" t="str">
        <f>'2ndMAY'!E227</f>
        <v/>
      </c>
      <c r="D227" s="297"/>
      <c r="E227" s="296"/>
      <c r="F227" s="296" t="s">
        <v>17</v>
      </c>
      <c r="G227" s="296"/>
      <c r="H227" s="272">
        <f>'2ndMAY'!J227</f>
        <v>11</v>
      </c>
      <c r="I227" s="281"/>
      <c r="J227" s="297">
        <v>9.0</v>
      </c>
      <c r="K227" s="283"/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2</v>
      </c>
      <c r="N227" s="296"/>
      <c r="O227" s="299"/>
    </row>
    <row r="228">
      <c r="A228" s="23"/>
      <c r="B228" s="11"/>
      <c r="C228" s="271" t="str">
        <f>'2ndMAY'!E228</f>
        <v/>
      </c>
      <c r="D228" s="11"/>
      <c r="E228" s="11"/>
      <c r="F228" s="11"/>
      <c r="G228" s="11"/>
      <c r="H228" s="272" t="str">
        <f>'2ndMAY'!J228</f>
        <v/>
      </c>
      <c r="I228" s="1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'2ndMAY'!E229</f>
        <v/>
      </c>
      <c r="D229" s="11"/>
      <c r="E229" s="11"/>
      <c r="F229" s="11"/>
      <c r="G229" s="11"/>
      <c r="H229" s="272" t="str">
        <f>'2ndMAY'!J229</f>
        <v/>
      </c>
      <c r="I229" s="11"/>
      <c r="J229" s="11"/>
      <c r="K229" s="11"/>
      <c r="L229" s="11"/>
      <c r="M229" s="11"/>
      <c r="N229" s="11"/>
      <c r="O229" s="11"/>
    </row>
    <row r="230">
      <c r="A230" s="11"/>
      <c r="B230" s="11"/>
      <c r="C230" s="271" t="str">
        <f>'2ndMAY'!E230</f>
        <v/>
      </c>
      <c r="D230" s="11"/>
      <c r="E230" s="11"/>
      <c r="F230" s="11"/>
      <c r="G230" s="11"/>
      <c r="H230" s="272" t="str">
        <f>'2ndMAY'!J230</f>
        <v/>
      </c>
      <c r="I230" s="11"/>
      <c r="J230" s="11"/>
      <c r="K230" s="11"/>
      <c r="L230" s="11"/>
      <c r="M230" s="11"/>
      <c r="N230" s="11"/>
      <c r="O230" s="11"/>
    </row>
    <row r="231">
      <c r="A231" s="11"/>
      <c r="B231" s="11"/>
      <c r="C231" s="271" t="str">
        <f>'2ndMAY'!E231</f>
        <v/>
      </c>
      <c r="D231" s="11"/>
      <c r="E231" s="11"/>
      <c r="F231" s="11"/>
      <c r="G231" s="11"/>
      <c r="H231" s="272" t="str">
        <f>'2ndMAY'!J231</f>
        <v/>
      </c>
      <c r="I231" s="23"/>
      <c r="J231" s="11"/>
      <c r="K231" s="11"/>
      <c r="L231" s="11"/>
      <c r="M231" s="11"/>
      <c r="N231" s="11"/>
      <c r="O231" s="11"/>
    </row>
    <row r="232">
      <c r="A232" s="11"/>
      <c r="B232" s="11"/>
      <c r="C232" s="271" t="str">
        <f>'2ndMAY'!E232</f>
        <v/>
      </c>
      <c r="D232" s="11"/>
      <c r="E232" s="11"/>
      <c r="F232" s="11"/>
      <c r="G232" s="11"/>
      <c r="H232" s="272" t="str">
        <f>'2ndMAY'!J232</f>
        <v/>
      </c>
      <c r="I232" s="11"/>
      <c r="J232" s="11"/>
      <c r="K232" s="11"/>
      <c r="L232" s="11"/>
      <c r="M232" s="11"/>
      <c r="N232" s="11"/>
      <c r="O232" s="11"/>
    </row>
    <row r="233">
      <c r="A233" s="11"/>
      <c r="B233" s="11"/>
      <c r="C233" s="271" t="str">
        <f>'2ndMAY'!E233</f>
        <v/>
      </c>
      <c r="D233" s="11"/>
      <c r="E233" s="11"/>
      <c r="F233" s="11"/>
      <c r="G233" s="11"/>
      <c r="H233" s="272" t="str">
        <f>'2ndMAY'!J233</f>
        <v/>
      </c>
      <c r="I233" s="11"/>
      <c r="J233" s="11"/>
      <c r="K233" s="11"/>
      <c r="L233" s="11"/>
      <c r="M233" s="11"/>
      <c r="N233" s="11"/>
      <c r="O233" s="11"/>
    </row>
    <row r="234">
      <c r="A234" s="11"/>
      <c r="B234" s="11"/>
      <c r="C234" s="271" t="str">
        <f>'2ndMAY'!E234</f>
        <v/>
      </c>
      <c r="D234" s="11"/>
      <c r="E234" s="11"/>
      <c r="F234" s="11"/>
      <c r="G234" s="11"/>
      <c r="H234" s="272" t="str">
        <f>'2ndMAY'!J234</f>
        <v/>
      </c>
      <c r="I234" s="11"/>
      <c r="J234" s="11"/>
      <c r="K234" s="11"/>
      <c r="L234" s="11"/>
      <c r="M234" s="11"/>
      <c r="N234" s="11"/>
      <c r="O234" s="11"/>
    </row>
    <row r="235">
      <c r="A235" s="11"/>
      <c r="B235" s="11"/>
      <c r="C235" s="271" t="str">
        <f>'2ndMAY'!E235</f>
        <v/>
      </c>
      <c r="D235" s="11"/>
      <c r="E235" s="11"/>
      <c r="F235" s="11"/>
      <c r="G235" s="11"/>
      <c r="H235" s="272" t="str">
        <f>'2ndMAY'!J235</f>
        <v/>
      </c>
      <c r="I235" s="11"/>
      <c r="J235" s="11"/>
      <c r="K235" s="11"/>
      <c r="L235" s="11"/>
      <c r="M235" s="11"/>
      <c r="N235" s="11"/>
      <c r="O235" s="11"/>
    </row>
    <row r="236">
      <c r="A236" s="11"/>
      <c r="B236" s="11"/>
      <c r="C236" s="271" t="str">
        <f>'2ndMAY'!E236</f>
        <v/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>
      <c r="A237" s="11"/>
      <c r="B237" s="11"/>
      <c r="C237" s="271" t="str">
        <f>'2ndMAY'!E237</f>
        <v/>
      </c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>
      <c r="A238" s="11"/>
      <c r="B238" s="11"/>
      <c r="C238" s="271" t="str">
        <f>'2ndMAY'!E238</f>
        <v/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271" t="str">
        <f>'2ndMAY'!E239</f>
        <v/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271" t="str">
        <f>'2ndMAY'!E240</f>
        <v/>
      </c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271" t="str">
        <f>'2ndMAY'!E241</f>
        <v/>
      </c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271" t="str">
        <f>'2ndMAY'!E242</f>
        <v/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271" t="str">
        <f>'2ndMAY'!E243</f>
        <v/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271" t="str">
        <f>'2ndMAY'!E244</f>
        <v/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271" t="str">
        <f>'2ndMAY'!E245</f>
        <v/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271" t="str">
        <f>'2ndMAY'!E246</f>
        <v/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271" t="str">
        <f>'2ndMAY'!E247</f>
        <v/>
      </c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271" t="str">
        <f>'2ndMAY'!E248</f>
        <v/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271" t="str">
        <f>'2ndMAY'!E249</f>
        <v/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271" t="str">
        <f>'2ndMAY'!E250</f>
        <v/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271" t="str">
        <f>'2ndMAY'!E251</f>
        <v/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271" t="str">
        <f>'2ndMAY'!E252</f>
        <v/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271" t="str">
        <f>'2ndMAY'!E253</f>
        <v/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271" t="str">
        <f>'2ndMAY'!E254</f>
        <v/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271" t="str">
        <f>'2ndMAY'!E255</f>
        <v/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271" t="str">
        <f>'2ndMAY'!E256</f>
        <v/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271" t="str">
        <f>'2ndMAY'!E257</f>
        <v/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271" t="str">
        <f>'2ndMAY'!E258</f>
        <v/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19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</sheetData>
  <mergeCells count="4">
    <mergeCell ref="A1:O1"/>
    <mergeCell ref="B2:E2"/>
    <mergeCell ref="F2:K2"/>
    <mergeCell ref="L2:O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1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f>'1stMay-30thApril'!E5</f>
        <v>3</v>
      </c>
      <c r="D5" s="272">
        <v>19.0</v>
      </c>
      <c r="E5" s="273">
        <v>17.0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15</v>
      </c>
      <c r="N5" s="268"/>
      <c r="O5" s="269"/>
    </row>
    <row r="6">
      <c r="A6" s="192" t="s">
        <v>401</v>
      </c>
      <c r="B6" s="191" t="s">
        <v>402</v>
      </c>
      <c r="C6" s="271">
        <f>'1stMay-30thApril'!E6</f>
        <v>4</v>
      </c>
      <c r="D6" s="272">
        <v>5.0</v>
      </c>
      <c r="E6" s="273">
        <v>8.0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2</v>
      </c>
      <c r="N6" s="268"/>
      <c r="O6" s="269"/>
    </row>
    <row r="7">
      <c r="A7" s="192" t="s">
        <v>404</v>
      </c>
      <c r="B7" s="191" t="s">
        <v>402</v>
      </c>
      <c r="C7" s="271">
        <f>'1stMay-30thApril'!E7</f>
        <v>8</v>
      </c>
      <c r="D7" s="272">
        <v>2.0</v>
      </c>
      <c r="E7" s="273">
        <v>9.0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5</v>
      </c>
      <c r="N7" s="268"/>
      <c r="O7" s="269"/>
    </row>
    <row r="8">
      <c r="A8" s="192" t="s">
        <v>406</v>
      </c>
      <c r="B8" s="191" t="s">
        <v>402</v>
      </c>
      <c r="C8" s="271">
        <f>'1stMay-30thApril'!E8</f>
        <v>9</v>
      </c>
      <c r="D8" s="272">
        <v>5.0</v>
      </c>
      <c r="E8" s="273">
        <v>6.0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8</v>
      </c>
      <c r="N8" s="268"/>
      <c r="O8" s="269"/>
    </row>
    <row r="9">
      <c r="A9" s="192" t="s">
        <v>409</v>
      </c>
      <c r="B9" s="191" t="s">
        <v>402</v>
      </c>
      <c r="C9" s="271" t="str">
        <f>'1stMay-30thApril'!E9</f>
        <v/>
      </c>
      <c r="D9" s="272">
        <v>1.0</v>
      </c>
      <c r="E9" s="273">
        <v>1.0</v>
      </c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192" t="s">
        <v>411</v>
      </c>
      <c r="B10" s="191" t="s">
        <v>402</v>
      </c>
      <c r="C10" s="271">
        <f>'1stMay-30thApril'!E10</f>
        <v>1</v>
      </c>
      <c r="D10" s="272">
        <v>4.0</v>
      </c>
      <c r="E10" s="273">
        <v>2.0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24</v>
      </c>
      <c r="N10" s="268"/>
      <c r="O10" s="269"/>
    </row>
    <row r="11">
      <c r="A11" s="204" t="s">
        <v>413</v>
      </c>
      <c r="B11" s="191" t="s">
        <v>402</v>
      </c>
      <c r="C11" s="271">
        <f>'1stMay-30thApril'!E11</f>
        <v>4</v>
      </c>
      <c r="D11" s="272">
        <v>20.0</v>
      </c>
      <c r="E11" s="273">
        <v>13.0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11</v>
      </c>
      <c r="N11" s="268"/>
      <c r="O11" s="269"/>
    </row>
    <row r="12">
      <c r="A12" s="192" t="s">
        <v>414</v>
      </c>
      <c r="B12" s="191" t="s">
        <v>402</v>
      </c>
      <c r="C12" s="271" t="str">
        <f>'1stMay-30thApril'!E12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>
        <f>'1stMay-30thApril'!E13</f>
        <v>1</v>
      </c>
      <c r="D13" s="272">
        <v>7.0</v>
      </c>
      <c r="E13" s="273">
        <v>1.0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63</v>
      </c>
      <c r="N13" s="268"/>
      <c r="O13" s="269"/>
    </row>
    <row r="14">
      <c r="A14" s="204" t="s">
        <v>418</v>
      </c>
      <c r="B14" s="191" t="s">
        <v>402</v>
      </c>
      <c r="C14" s="271" t="str">
        <f>'1stMay-30thApril'!E14</f>
        <v/>
      </c>
      <c r="D14" s="272">
        <v>16.0</v>
      </c>
      <c r="E14" s="273">
        <v>1.0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15</v>
      </c>
      <c r="N14" s="268"/>
      <c r="O14" s="269"/>
    </row>
    <row r="15">
      <c r="A15" s="204" t="s">
        <v>420</v>
      </c>
      <c r="B15" s="191" t="s">
        <v>402</v>
      </c>
      <c r="C15" s="271">
        <f>'1stMay-30thApril'!E15</f>
        <v>7</v>
      </c>
      <c r="D15" s="268"/>
      <c r="E15" s="273">
        <v>6.0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4</v>
      </c>
      <c r="N15" s="268"/>
      <c r="O15" s="269"/>
    </row>
    <row r="16">
      <c r="A16" s="192" t="s">
        <v>422</v>
      </c>
      <c r="B16" s="191" t="s">
        <v>402</v>
      </c>
      <c r="C16" s="271">
        <f>'1stMay-30thApril'!E16</f>
        <v>5</v>
      </c>
      <c r="D16" s="272"/>
      <c r="E16" s="273"/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20</v>
      </c>
      <c r="N16" s="268"/>
      <c r="O16" s="269"/>
    </row>
    <row r="17">
      <c r="A17" s="192" t="s">
        <v>423</v>
      </c>
      <c r="B17" s="191" t="s">
        <v>402</v>
      </c>
      <c r="C17" s="271">
        <f>'1stMay-30thApril'!E17</f>
        <v>3</v>
      </c>
      <c r="D17" s="272">
        <v>8.0</v>
      </c>
      <c r="E17" s="273">
        <v>4.0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14</v>
      </c>
      <c r="N17" s="268"/>
      <c r="O17" s="269"/>
    </row>
    <row r="18">
      <c r="A18" s="192" t="s">
        <v>425</v>
      </c>
      <c r="B18" s="191" t="s">
        <v>402</v>
      </c>
      <c r="C18" s="271">
        <f>'1stMay-30thApril'!E18</f>
        <v>2</v>
      </c>
      <c r="D18" s="272">
        <v>4.0</v>
      </c>
      <c r="E18" s="273">
        <v>5.0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2</v>
      </c>
      <c r="N18" s="268"/>
      <c r="O18" s="269"/>
    </row>
    <row r="19">
      <c r="A19" s="192" t="s">
        <v>426</v>
      </c>
      <c r="B19" s="191" t="s">
        <v>402</v>
      </c>
      <c r="C19" s="271">
        <f>'1stMay-30thApril'!E19</f>
        <v>3</v>
      </c>
      <c r="D19" s="272">
        <v>5.0</v>
      </c>
      <c r="E19" s="273">
        <v>6.0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2</v>
      </c>
      <c r="N19" s="268"/>
      <c r="O19" s="269"/>
    </row>
    <row r="20">
      <c r="A20" s="192" t="s">
        <v>428</v>
      </c>
      <c r="B20" s="191" t="s">
        <v>402</v>
      </c>
      <c r="C20" s="271">
        <f>'1stMay-30thApril'!E20</f>
        <v>5</v>
      </c>
      <c r="D20" s="268"/>
      <c r="E20" s="273">
        <v>5.0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0</v>
      </c>
      <c r="N20" s="268"/>
      <c r="O20" s="269"/>
    </row>
    <row r="21">
      <c r="A21" s="204" t="s">
        <v>429</v>
      </c>
      <c r="B21" s="191" t="s">
        <v>402</v>
      </c>
      <c r="C21" s="271">
        <f>'1stMay-30thApril'!E21</f>
        <v>3</v>
      </c>
      <c r="D21" s="272">
        <v>10.0</v>
      </c>
      <c r="E21" s="273">
        <v>4.0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36</v>
      </c>
      <c r="N21" s="268"/>
      <c r="O21" s="269"/>
    </row>
    <row r="22">
      <c r="A22" s="204" t="s">
        <v>431</v>
      </c>
      <c r="B22" s="191" t="s">
        <v>402</v>
      </c>
      <c r="C22" s="271" t="str">
        <f>'1stMay-30thApril'!E22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>
        <f>'1stMay-30thApril'!E23</f>
        <v>3</v>
      </c>
      <c r="D23" s="272">
        <v>4.0</v>
      </c>
      <c r="E23" s="273">
        <v>2.5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9</v>
      </c>
      <c r="N23" s="268"/>
      <c r="O23" s="269"/>
    </row>
    <row r="24">
      <c r="A24" s="192" t="s">
        <v>433</v>
      </c>
      <c r="B24" s="191" t="s">
        <v>402</v>
      </c>
      <c r="C24" s="271">
        <f>'1stMay-30thApril'!E24</f>
        <v>9</v>
      </c>
      <c r="D24" s="272">
        <v>10.0</v>
      </c>
      <c r="E24" s="273">
        <v>11.0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8</v>
      </c>
      <c r="N24" s="268"/>
      <c r="O24" s="269"/>
    </row>
    <row r="25">
      <c r="A25" s="204" t="s">
        <v>435</v>
      </c>
      <c r="B25" s="191" t="s">
        <v>402</v>
      </c>
      <c r="C25" s="271">
        <f>'1stMay-30thApril'!E25</f>
        <v>3</v>
      </c>
      <c r="D25" s="272">
        <v>7.0</v>
      </c>
      <c r="E25" s="273">
        <v>7.0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3</v>
      </c>
      <c r="N25" s="268"/>
      <c r="O25" s="269"/>
    </row>
    <row r="26">
      <c r="A26" s="192" t="s">
        <v>438</v>
      </c>
      <c r="B26" s="191" t="s">
        <v>402</v>
      </c>
      <c r="C26" s="271">
        <f>'1stMay-30thApril'!E26</f>
        <v>8</v>
      </c>
      <c r="D26" s="268"/>
      <c r="E26" s="273">
        <v>3.0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5</v>
      </c>
      <c r="N26" s="268"/>
      <c r="O26" s="269"/>
    </row>
    <row r="27">
      <c r="A27" s="192" t="s">
        <v>439</v>
      </c>
      <c r="B27" s="191" t="s">
        <v>402</v>
      </c>
      <c r="C27" s="271" t="str">
        <f>'1stMay-30thApril'!E27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f>'1stMay-30thApril'!E28</f>
        <v>9</v>
      </c>
      <c r="D28" s="268"/>
      <c r="E28" s="273">
        <v>6.0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3</v>
      </c>
      <c r="N28" s="268"/>
      <c r="O28" s="269"/>
    </row>
    <row r="29">
      <c r="A29" s="204" t="s">
        <v>441</v>
      </c>
      <c r="B29" s="191" t="s">
        <v>402</v>
      </c>
      <c r="C29" s="271">
        <f>'1stMay-30thApril'!E29</f>
        <v>5</v>
      </c>
      <c r="D29" s="272">
        <v>11.0</v>
      </c>
      <c r="E29" s="273">
        <v>14.0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4</v>
      </c>
      <c r="N29" s="268"/>
      <c r="O29" s="269"/>
    </row>
    <row r="30">
      <c r="A30" s="204" t="s">
        <v>442</v>
      </c>
      <c r="B30" s="191" t="s">
        <v>402</v>
      </c>
      <c r="C30" s="271" t="str">
        <f>'1stMay-30thApril'!E30</f>
        <v/>
      </c>
      <c r="D30" s="272">
        <v>2.0</v>
      </c>
      <c r="E30" s="273">
        <v>2.0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0</v>
      </c>
      <c r="N30" s="268"/>
      <c r="O30" s="269"/>
    </row>
    <row r="31">
      <c r="A31" s="204" t="s">
        <v>444</v>
      </c>
      <c r="B31" s="191" t="s">
        <v>402</v>
      </c>
      <c r="C31" s="271">
        <f>'1stMay-30thApril'!E31</f>
        <v>5</v>
      </c>
      <c r="D31" s="268"/>
      <c r="E31" s="273">
        <v>4.0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1</v>
      </c>
      <c r="N31" s="268"/>
      <c r="O31" s="269"/>
    </row>
    <row r="32">
      <c r="A32" s="204" t="s">
        <v>445</v>
      </c>
      <c r="B32" s="191" t="s">
        <v>402</v>
      </c>
      <c r="C32" s="271">
        <f>'1stMay-30thApril'!E32</f>
        <v>5</v>
      </c>
      <c r="D32" s="268"/>
      <c r="E32" s="273">
        <v>2.0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12</v>
      </c>
      <c r="N32" s="268"/>
      <c r="O32" s="269"/>
    </row>
    <row r="33">
      <c r="A33" s="192" t="s">
        <v>446</v>
      </c>
      <c r="B33" s="191" t="s">
        <v>402</v>
      </c>
      <c r="C33" s="271" t="str">
        <f>'1stMay-30thApril'!E33</f>
        <v/>
      </c>
      <c r="D33" s="268"/>
      <c r="E33" s="273"/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192" t="s">
        <v>447</v>
      </c>
      <c r="B34" s="191" t="s">
        <v>402</v>
      </c>
      <c r="C34" s="271">
        <f>'1stMay-30thApril'!E34</f>
        <v>7</v>
      </c>
      <c r="D34" s="272"/>
      <c r="E34" s="273">
        <v>3.0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4</v>
      </c>
      <c r="N34" s="268"/>
      <c r="O34" s="269"/>
    </row>
    <row r="35">
      <c r="A35" s="204" t="s">
        <v>449</v>
      </c>
      <c r="B35" s="191" t="s">
        <v>402</v>
      </c>
      <c r="C35" s="271">
        <f>'1stMay-30thApril'!E35</f>
        <v>3</v>
      </c>
      <c r="D35" s="272"/>
      <c r="E35" s="273">
        <v>3.0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268"/>
      <c r="O35" s="269"/>
    </row>
    <row r="36">
      <c r="A36" s="192" t="s">
        <v>451</v>
      </c>
      <c r="B36" s="191" t="s">
        <v>402</v>
      </c>
      <c r="C36" s="271">
        <f>'1stMay-30thApril'!E36</f>
        <v>1</v>
      </c>
      <c r="D36" s="272">
        <v>13.0</v>
      </c>
      <c r="E36" s="273">
        <v>6.0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16</v>
      </c>
      <c r="N36" s="268"/>
      <c r="O36" s="269"/>
    </row>
    <row r="37">
      <c r="A37" s="225" t="s">
        <v>452</v>
      </c>
      <c r="B37" s="191" t="s">
        <v>402</v>
      </c>
      <c r="C37" s="271" t="str">
        <f>'1stMay-30thApril'!E37</f>
        <v/>
      </c>
      <c r="D37" s="272">
        <v>6.0</v>
      </c>
      <c r="E37" s="273">
        <v>1.0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20</v>
      </c>
      <c r="N37" s="268"/>
      <c r="O37" s="269"/>
    </row>
    <row r="38">
      <c r="A38" s="225" t="s">
        <v>454</v>
      </c>
      <c r="B38" s="191" t="s">
        <v>402</v>
      </c>
      <c r="C38" s="271">
        <f>'1stMay-30thApril'!E38</f>
        <v>4</v>
      </c>
      <c r="D38" s="268"/>
      <c r="E38" s="273">
        <v>4.0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23" t="s">
        <v>455</v>
      </c>
      <c r="B39" s="191" t="s">
        <v>402</v>
      </c>
      <c r="C39" s="271">
        <f>'1stMay-30thApril'!E39</f>
        <v>4</v>
      </c>
      <c r="D39" s="268"/>
      <c r="E39" s="273">
        <v>3.0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4</v>
      </c>
      <c r="N39" s="268"/>
      <c r="O39" s="269"/>
    </row>
    <row r="40">
      <c r="A40" s="223" t="s">
        <v>456</v>
      </c>
      <c r="B40" s="191" t="s">
        <v>402</v>
      </c>
      <c r="C40" s="271">
        <f>'1stMay-30thApril'!E40</f>
        <v>6</v>
      </c>
      <c r="D40" s="272"/>
      <c r="E40" s="273">
        <v>5.5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0.5</v>
      </c>
      <c r="N40" s="268"/>
      <c r="O40" s="269"/>
    </row>
    <row r="41">
      <c r="A41" s="223" t="s">
        <v>457</v>
      </c>
      <c r="B41" s="191" t="s">
        <v>402</v>
      </c>
      <c r="C41" s="271" t="str">
        <f>'1stMay-30thApril'!E41</f>
        <v/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307" t="s">
        <v>762</v>
      </c>
      <c r="B42" s="191"/>
      <c r="C42" s="271" t="str">
        <f>'1stMay-30thApril'!E42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'1stMay-30thApril'!E43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 t="str">
        <f>'1stMay-30thApril'!E44</f>
        <v/>
      </c>
      <c r="D44" s="227">
        <v>2.0</v>
      </c>
      <c r="E44" s="280"/>
      <c r="F44" s="235" t="s">
        <v>14</v>
      </c>
      <c r="G44" s="235"/>
      <c r="H44" s="272" t="str">
        <f>'1stMay-30thApril'!J44</f>
        <v/>
      </c>
      <c r="I44" s="281">
        <v>1.0</v>
      </c>
      <c r="J44" s="282">
        <v>1.025</v>
      </c>
      <c r="K44" s="283">
        <v>1.0</v>
      </c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0.975</v>
      </c>
      <c r="N44" s="191"/>
      <c r="O44" s="247"/>
    </row>
    <row r="45">
      <c r="A45" s="12" t="s">
        <v>16</v>
      </c>
      <c r="B45" s="13" t="s">
        <v>17</v>
      </c>
      <c r="C45" s="271" t="str">
        <f>'1stMay-30thApril'!E45</f>
        <v/>
      </c>
      <c r="D45" s="227"/>
      <c r="E45" s="280"/>
      <c r="F45" s="235" t="s">
        <v>17</v>
      </c>
      <c r="G45" s="235"/>
      <c r="H45" s="272">
        <f>'1stMay-30thApril'!J45</f>
        <v>12</v>
      </c>
      <c r="I45" s="281">
        <v>1.0</v>
      </c>
      <c r="J45" s="282">
        <v>5.0</v>
      </c>
      <c r="K45" s="283">
        <v>1.0</v>
      </c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7</v>
      </c>
      <c r="N45" s="191"/>
      <c r="O45" s="247"/>
    </row>
    <row r="46">
      <c r="A46" s="15" t="s">
        <v>19</v>
      </c>
      <c r="B46" s="13" t="s">
        <v>17</v>
      </c>
      <c r="C46" s="271" t="str">
        <f>'1stMay-30thApril'!E46</f>
        <v/>
      </c>
      <c r="D46" s="227">
        <v>5.0</v>
      </c>
      <c r="E46" s="280"/>
      <c r="F46" s="235" t="s">
        <v>17</v>
      </c>
      <c r="G46" s="235"/>
      <c r="H46" s="272">
        <f>'1stMay-30thApril'!J46</f>
        <v>5</v>
      </c>
      <c r="I46" s="281">
        <v>1.0</v>
      </c>
      <c r="J46" s="282">
        <v>9.0</v>
      </c>
      <c r="K46" s="283">
        <v>1.0</v>
      </c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1</v>
      </c>
      <c r="N46" s="191"/>
      <c r="O46" s="247"/>
    </row>
    <row r="47">
      <c r="A47" s="12" t="s">
        <v>20</v>
      </c>
      <c r="B47" s="13" t="s">
        <v>17</v>
      </c>
      <c r="C47" s="271" t="str">
        <f>'1stMay-30thApril'!E47</f>
        <v/>
      </c>
      <c r="D47" s="227">
        <v>10.0</v>
      </c>
      <c r="E47" s="280"/>
      <c r="F47" s="235" t="s">
        <v>17</v>
      </c>
      <c r="G47" s="235"/>
      <c r="H47" s="272">
        <f>'1stMay-30thApril'!J47</f>
        <v>10</v>
      </c>
      <c r="I47" s="281">
        <v>1.0</v>
      </c>
      <c r="J47" s="282">
        <v>14.0</v>
      </c>
      <c r="K47" s="283">
        <v>1.0</v>
      </c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6</v>
      </c>
      <c r="N47" s="191"/>
      <c r="O47" s="247"/>
    </row>
    <row r="48">
      <c r="A48" s="12" t="s">
        <v>21</v>
      </c>
      <c r="B48" s="13" t="s">
        <v>17</v>
      </c>
      <c r="C48" s="271" t="str">
        <f>'1stMay-30thApril'!E48</f>
        <v/>
      </c>
      <c r="D48" s="227">
        <v>3.0</v>
      </c>
      <c r="E48" s="280"/>
      <c r="F48" s="235" t="s">
        <v>17</v>
      </c>
      <c r="G48" s="235"/>
      <c r="H48" s="272">
        <f>'1stMay-30thApril'!J48</f>
        <v>4.5</v>
      </c>
      <c r="I48" s="281">
        <v>1.0</v>
      </c>
      <c r="J48" s="282">
        <v>5.0</v>
      </c>
      <c r="K48" s="283">
        <v>1.0</v>
      </c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2.5</v>
      </c>
      <c r="N48" s="191"/>
      <c r="O48" s="247"/>
    </row>
    <row r="49">
      <c r="A49" s="12" t="s">
        <v>22</v>
      </c>
      <c r="B49" s="13" t="s">
        <v>17</v>
      </c>
      <c r="C49" s="271" t="str">
        <f>'1stMay-30thApril'!E49</f>
        <v/>
      </c>
      <c r="D49" s="191"/>
      <c r="E49" s="247"/>
      <c r="F49" s="235" t="s">
        <v>17</v>
      </c>
      <c r="G49" s="235"/>
      <c r="H49" s="272" t="str">
        <f>'1stMay-30thApril'!J49</f>
        <v/>
      </c>
      <c r="I49" s="281">
        <v>1.0</v>
      </c>
      <c r="J49" s="284"/>
      <c r="K49" s="283">
        <v>1.0</v>
      </c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'1stMay-30thApril'!E50</f>
        <v/>
      </c>
      <c r="D50" s="227"/>
      <c r="E50" s="247"/>
      <c r="F50" s="235" t="s">
        <v>25</v>
      </c>
      <c r="G50" s="235"/>
      <c r="H50" s="272">
        <f>'1stMay-30thApril'!J50</f>
        <v>1.43</v>
      </c>
      <c r="I50" s="281">
        <v>1.0</v>
      </c>
      <c r="J50" s="282">
        <v>1.0</v>
      </c>
      <c r="K50" s="283">
        <v>1.0</v>
      </c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0.43</v>
      </c>
      <c r="N50" s="191"/>
      <c r="O50" s="247"/>
    </row>
    <row r="51">
      <c r="A51" s="12" t="s">
        <v>27</v>
      </c>
      <c r="B51" s="12" t="s">
        <v>24</v>
      </c>
      <c r="C51" s="271" t="str">
        <f>'1stMay-30thApril'!E51</f>
        <v/>
      </c>
      <c r="D51" s="191"/>
      <c r="E51" s="247"/>
      <c r="F51" s="235" t="s">
        <v>24</v>
      </c>
      <c r="G51" s="235"/>
      <c r="H51" s="272" t="str">
        <f>'1stMay-30thApril'!J51</f>
        <v/>
      </c>
      <c r="I51" s="281">
        <v>1.0</v>
      </c>
      <c r="J51" s="284"/>
      <c r="K51" s="283">
        <v>1.0</v>
      </c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 t="str">
        <f>'1stMay-30thApril'!E52</f>
        <v/>
      </c>
      <c r="D52" s="191"/>
      <c r="E52" s="280"/>
      <c r="F52" s="235" t="s">
        <v>14</v>
      </c>
      <c r="G52" s="285"/>
      <c r="H52" s="272" t="str">
        <f>'1stMay-30thApril'!J52</f>
        <v/>
      </c>
      <c r="I52" s="281">
        <v>1.0</v>
      </c>
      <c r="J52" s="284"/>
      <c r="K52" s="283">
        <v>1.0</v>
      </c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16" t="s">
        <v>30</v>
      </c>
      <c r="B53" s="12" t="s">
        <v>24</v>
      </c>
      <c r="C53" s="271" t="str">
        <f>'1stMay-30thApril'!E53</f>
        <v/>
      </c>
      <c r="D53" s="227"/>
      <c r="E53" s="280"/>
      <c r="F53" s="235" t="s">
        <v>35</v>
      </c>
      <c r="G53" s="235"/>
      <c r="H53" s="272">
        <f>'1stMay-30thApril'!J53</f>
        <v>0.75</v>
      </c>
      <c r="I53" s="281">
        <v>1.0</v>
      </c>
      <c r="J53" s="282">
        <v>0.743</v>
      </c>
      <c r="K53" s="283">
        <v>1.0</v>
      </c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0.007</v>
      </c>
      <c r="N53" s="191"/>
      <c r="O53" s="247"/>
    </row>
    <row r="54">
      <c r="A54" s="12" t="s">
        <v>33</v>
      </c>
      <c r="B54" s="12" t="s">
        <v>34</v>
      </c>
      <c r="C54" s="271" t="str">
        <f>'1stMay-30thApril'!E54</f>
        <v/>
      </c>
      <c r="D54" s="227">
        <v>1.0</v>
      </c>
      <c r="E54" s="247"/>
      <c r="F54" s="235" t="s">
        <v>35</v>
      </c>
      <c r="G54" s="235"/>
      <c r="H54" s="272" t="str">
        <f>'1stMay-30thApril'!J54</f>
        <v/>
      </c>
      <c r="I54" s="281">
        <v>1.0</v>
      </c>
      <c r="J54" s="284"/>
      <c r="K54" s="283">
        <v>1.0</v>
      </c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0.4</v>
      </c>
      <c r="N54" s="191"/>
      <c r="O54" s="247"/>
    </row>
    <row r="55">
      <c r="A55" s="12" t="s">
        <v>37</v>
      </c>
      <c r="B55" s="12" t="s">
        <v>17</v>
      </c>
      <c r="C55" s="271" t="str">
        <f>'1stMay-30thApril'!E55</f>
        <v/>
      </c>
      <c r="D55" s="191"/>
      <c r="E55" s="247"/>
      <c r="F55" s="235" t="s">
        <v>752</v>
      </c>
      <c r="G55" s="235"/>
      <c r="H55" s="272" t="str">
        <f>'1stMay-30thApril'!J55</f>
        <v/>
      </c>
      <c r="I55" s="281">
        <v>1.0</v>
      </c>
      <c r="J55" s="284"/>
      <c r="K55" s="283">
        <v>1.0</v>
      </c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'1stMay-30thApril'!E56</f>
        <v/>
      </c>
      <c r="D56" s="227">
        <v>1.0</v>
      </c>
      <c r="E56" s="247"/>
      <c r="F56" s="235" t="s">
        <v>17</v>
      </c>
      <c r="G56" s="235"/>
      <c r="H56" s="272" t="str">
        <f>'1stMay-30thApril'!J56</f>
        <v/>
      </c>
      <c r="I56" s="281">
        <v>1.0</v>
      </c>
      <c r="J56" s="282">
        <v>50.0</v>
      </c>
      <c r="K56" s="283">
        <v>1.0</v>
      </c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50</v>
      </c>
      <c r="N56" s="191"/>
      <c r="O56" s="247"/>
    </row>
    <row r="57">
      <c r="A57" s="12" t="s">
        <v>42</v>
      </c>
      <c r="B57" s="12" t="s">
        <v>24</v>
      </c>
      <c r="C57" s="271" t="str">
        <f>'1stMay-30thApril'!E57</f>
        <v/>
      </c>
      <c r="D57" s="227">
        <v>1.0</v>
      </c>
      <c r="E57" s="280"/>
      <c r="F57" s="235" t="s">
        <v>35</v>
      </c>
      <c r="G57" s="235"/>
      <c r="H57" s="272" t="str">
        <f>'1stMay-30thApril'!J57</f>
        <v/>
      </c>
      <c r="I57" s="281">
        <v>1.0</v>
      </c>
      <c r="J57" s="282">
        <v>0.257</v>
      </c>
      <c r="K57" s="283">
        <v>1.0</v>
      </c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0.172</v>
      </c>
      <c r="N57" s="191"/>
      <c r="O57" s="247"/>
    </row>
    <row r="58">
      <c r="A58" s="12" t="s">
        <v>44</v>
      </c>
      <c r="B58" s="12" t="s">
        <v>24</v>
      </c>
      <c r="C58" s="271" t="str">
        <f>'1stMay-30thApril'!E58</f>
        <v/>
      </c>
      <c r="D58" s="191"/>
      <c r="E58" s="280">
        <v>1.0</v>
      </c>
      <c r="F58" s="235" t="s">
        <v>25</v>
      </c>
      <c r="G58" s="235"/>
      <c r="H58" s="272">
        <f>'1stMay-30thApril'!J58</f>
        <v>0.931</v>
      </c>
      <c r="I58" s="281">
        <v>1.0</v>
      </c>
      <c r="J58" s="282">
        <v>0.202</v>
      </c>
      <c r="K58" s="283">
        <v>1.0</v>
      </c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0.019</v>
      </c>
      <c r="N58" s="191"/>
      <c r="O58" s="247"/>
    </row>
    <row r="59">
      <c r="A59" s="12" t="s">
        <v>45</v>
      </c>
      <c r="B59" s="12" t="s">
        <v>24</v>
      </c>
      <c r="C59" s="271" t="str">
        <f>'1stMay-30thApril'!E59</f>
        <v/>
      </c>
      <c r="D59" s="191"/>
      <c r="E59" s="247"/>
      <c r="F59" s="235" t="s">
        <v>25</v>
      </c>
      <c r="G59" s="235"/>
      <c r="H59" s="272">
        <f>'1stMay-30thApril'!J59</f>
        <v>0.919</v>
      </c>
      <c r="I59" s="281">
        <v>1.0</v>
      </c>
      <c r="J59" s="282">
        <v>0.918</v>
      </c>
      <c r="K59" s="283">
        <v>1.0</v>
      </c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0.001</v>
      </c>
      <c r="N59" s="191"/>
      <c r="O59" s="247"/>
    </row>
    <row r="60">
      <c r="A60" s="17" t="s">
        <v>46</v>
      </c>
      <c r="B60" s="12" t="s">
        <v>47</v>
      </c>
      <c r="C60" s="271" t="str">
        <f>'1stMay-30thApril'!E60</f>
        <v/>
      </c>
      <c r="D60" s="191"/>
      <c r="E60" s="247"/>
      <c r="F60" s="235" t="s">
        <v>51</v>
      </c>
      <c r="G60" s="235"/>
      <c r="H60" s="272" t="str">
        <f>'1stMay-30thApril'!J60</f>
        <v/>
      </c>
      <c r="I60" s="281">
        <v>1.0</v>
      </c>
      <c r="J60" s="284"/>
      <c r="K60" s="283">
        <v>1.0</v>
      </c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'1stMay-30thApril'!E61</f>
        <v/>
      </c>
      <c r="D61" s="191"/>
      <c r="E61" s="247"/>
      <c r="F61" s="235" t="s">
        <v>51</v>
      </c>
      <c r="G61" s="235"/>
      <c r="H61" s="272" t="str">
        <f>'1stMay-30thApril'!J61</f>
        <v/>
      </c>
      <c r="I61" s="281">
        <v>1.0</v>
      </c>
      <c r="J61" s="284"/>
      <c r="K61" s="283">
        <v>1.0</v>
      </c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'1stMay-30thApril'!E62</f>
        <v/>
      </c>
      <c r="D62" s="191"/>
      <c r="E62" s="247"/>
      <c r="F62" s="235" t="s">
        <v>51</v>
      </c>
      <c r="G62" s="235"/>
      <c r="H62" s="272">
        <f>'1stMay-30thApril'!J62</f>
        <v>0.597</v>
      </c>
      <c r="I62" s="281">
        <v>1.0</v>
      </c>
      <c r="J62" s="282">
        <v>0.584</v>
      </c>
      <c r="K62" s="283">
        <v>1.0</v>
      </c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0.013</v>
      </c>
      <c r="N62" s="191"/>
      <c r="O62" s="247"/>
    </row>
    <row r="63">
      <c r="A63" s="12" t="s">
        <v>53</v>
      </c>
      <c r="B63" s="12" t="s">
        <v>35</v>
      </c>
      <c r="C63" s="271" t="str">
        <f>'1stMay-30thApril'!E63</f>
        <v/>
      </c>
      <c r="D63" s="227">
        <v>1.0</v>
      </c>
      <c r="E63" s="247"/>
      <c r="F63" s="235" t="s">
        <v>35</v>
      </c>
      <c r="G63" s="235"/>
      <c r="H63" s="272">
        <f>'1stMay-30thApril'!J63</f>
        <v>0.455</v>
      </c>
      <c r="I63" s="281">
        <v>1.0</v>
      </c>
      <c r="J63" s="282">
        <v>1.0</v>
      </c>
      <c r="K63" s="283">
        <v>1.0</v>
      </c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0.455</v>
      </c>
      <c r="N63" s="191"/>
      <c r="O63" s="247"/>
    </row>
    <row r="64">
      <c r="A64" s="11" t="s">
        <v>55</v>
      </c>
      <c r="B64" s="11" t="s">
        <v>56</v>
      </c>
      <c r="C64" s="271" t="str">
        <f>'1stMay-30thApril'!E64</f>
        <v/>
      </c>
      <c r="D64" s="191"/>
      <c r="E64" s="247"/>
      <c r="F64" s="235" t="s">
        <v>14</v>
      </c>
      <c r="G64" s="235"/>
      <c r="H64" s="272">
        <f>'1stMay-30thApril'!J64</f>
        <v>2.215</v>
      </c>
      <c r="I64" s="281">
        <v>1.0</v>
      </c>
      <c r="J64" s="282">
        <v>1.859</v>
      </c>
      <c r="K64" s="283">
        <v>1.0</v>
      </c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0.356</v>
      </c>
      <c r="N64" s="191"/>
      <c r="O64" s="247"/>
    </row>
    <row r="65">
      <c r="A65" s="10" t="s">
        <v>57</v>
      </c>
      <c r="B65" s="11"/>
      <c r="C65" s="271" t="str">
        <f>'1stMay-30thApril'!E65</f>
        <v/>
      </c>
      <c r="D65" s="191"/>
      <c r="E65" s="247"/>
      <c r="F65" s="235"/>
      <c r="G65" s="235"/>
      <c r="H65" s="272" t="str">
        <f>'1stMay-30thApril'!J65</f>
        <v/>
      </c>
      <c r="I65" s="281">
        <v>1.0</v>
      </c>
      <c r="J65" s="284"/>
      <c r="K65" s="283">
        <v>1.0</v>
      </c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 t="str">
        <f>'1stMay-30thApril'!E66</f>
        <v/>
      </c>
      <c r="D66" s="227">
        <v>5.0</v>
      </c>
      <c r="E66" s="280">
        <v>1.0</v>
      </c>
      <c r="F66" s="235" t="s">
        <v>35</v>
      </c>
      <c r="G66" s="235"/>
      <c r="H66" s="272" t="str">
        <f>'1stMay-30thApril'!J66</f>
        <v/>
      </c>
      <c r="I66" s="281">
        <v>1.0</v>
      </c>
      <c r="J66" s="282"/>
      <c r="K66" s="283">
        <v>1.0</v>
      </c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8</v>
      </c>
      <c r="N66" s="191"/>
      <c r="O66" s="247"/>
    </row>
    <row r="67">
      <c r="A67" s="12" t="s">
        <v>61</v>
      </c>
      <c r="B67" s="12" t="s">
        <v>59</v>
      </c>
      <c r="C67" s="271">
        <f>'1stMay-30thApril'!E67</f>
        <v>1</v>
      </c>
      <c r="D67" s="191"/>
      <c r="E67" s="280">
        <v>1.0</v>
      </c>
      <c r="F67" s="235" t="s">
        <v>35</v>
      </c>
      <c r="G67" s="235"/>
      <c r="H67" s="272" t="str">
        <f>'1stMay-30thApril'!J67</f>
        <v/>
      </c>
      <c r="I67" s="281">
        <v>1.0</v>
      </c>
      <c r="J67" s="282"/>
      <c r="K67" s="283">
        <v>1.0</v>
      </c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</v>
      </c>
      <c r="N67" s="191"/>
      <c r="O67" s="247"/>
    </row>
    <row r="68">
      <c r="A68" s="12" t="s">
        <v>62</v>
      </c>
      <c r="B68" s="12" t="s">
        <v>35</v>
      </c>
      <c r="C68" s="271" t="str">
        <f>'1stMay-30thApril'!E68</f>
        <v/>
      </c>
      <c r="D68" s="227">
        <v>5.0</v>
      </c>
      <c r="E68" s="280"/>
      <c r="F68" s="235" t="s">
        <v>35</v>
      </c>
      <c r="G68" s="235"/>
      <c r="H68" s="272">
        <f>'1stMay-30thApril'!J68</f>
        <v>4</v>
      </c>
      <c r="I68" s="281">
        <v>1.0</v>
      </c>
      <c r="J68" s="282">
        <v>4.0</v>
      </c>
      <c r="K68" s="283">
        <v>1.0</v>
      </c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5</v>
      </c>
      <c r="N68" s="191"/>
      <c r="O68" s="247"/>
    </row>
    <row r="69">
      <c r="A69" s="12" t="s">
        <v>64</v>
      </c>
      <c r="B69" s="12" t="s">
        <v>59</v>
      </c>
      <c r="C69" s="271" t="str">
        <f>'1stMay-30thApril'!E69</f>
        <v/>
      </c>
      <c r="D69" s="227">
        <v>1.0</v>
      </c>
      <c r="E69" s="280">
        <v>1.0</v>
      </c>
      <c r="F69" s="235" t="s">
        <v>35</v>
      </c>
      <c r="G69" s="235"/>
      <c r="H69" s="272">
        <f>'1stMay-30thApril'!J69</f>
        <v>0.236</v>
      </c>
      <c r="I69" s="281">
        <v>1.0</v>
      </c>
      <c r="J69" s="282"/>
      <c r="K69" s="283">
        <v>1.0</v>
      </c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0.186</v>
      </c>
      <c r="N69" s="191"/>
      <c r="O69" s="247"/>
    </row>
    <row r="70">
      <c r="A70" s="10" t="s">
        <v>65</v>
      </c>
      <c r="B70" s="11"/>
      <c r="C70" s="271" t="str">
        <f>'1stMay-30thApril'!E70</f>
        <v/>
      </c>
      <c r="D70" s="191"/>
      <c r="E70" s="247"/>
      <c r="F70" s="235"/>
      <c r="G70" s="235"/>
      <c r="H70" s="272" t="str">
        <f>'1stMay-30thApril'!J70</f>
        <v/>
      </c>
      <c r="I70" s="281">
        <v>1.0</v>
      </c>
      <c r="J70" s="284"/>
      <c r="K70" s="283">
        <v>1.0</v>
      </c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'1stMay-30thApril'!E71</f>
        <v/>
      </c>
      <c r="D71" s="227">
        <v>1.0</v>
      </c>
      <c r="E71" s="247"/>
      <c r="F71" s="235" t="s">
        <v>25</v>
      </c>
      <c r="G71" s="285">
        <v>3.5</v>
      </c>
      <c r="H71" s="272" t="str">
        <f>'1stMay-30thApril'!J71</f>
        <v/>
      </c>
      <c r="I71" s="281">
        <v>1.0</v>
      </c>
      <c r="J71" s="282"/>
      <c r="K71" s="283">
        <v>1.0</v>
      </c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21.9</v>
      </c>
      <c r="N71" s="191"/>
      <c r="O71" s="247"/>
    </row>
    <row r="72">
      <c r="A72" s="12" t="s">
        <v>68</v>
      </c>
      <c r="B72" s="12" t="s">
        <v>35</v>
      </c>
      <c r="C72" s="271" t="str">
        <f>'1stMay-30thApril'!E72</f>
        <v/>
      </c>
      <c r="D72" s="227">
        <v>0.8</v>
      </c>
      <c r="E72" s="247"/>
      <c r="F72" s="235" t="s">
        <v>35</v>
      </c>
      <c r="G72" s="235"/>
      <c r="H72" s="272" t="str">
        <f>'1stMay-30thApril'!J72</f>
        <v/>
      </c>
      <c r="I72" s="281">
        <v>1.0</v>
      </c>
      <c r="J72" s="284"/>
      <c r="K72" s="283">
        <v>1.0</v>
      </c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0.8</v>
      </c>
      <c r="N72" s="191"/>
      <c r="O72" s="247"/>
    </row>
    <row r="73">
      <c r="A73" s="12" t="s">
        <v>70</v>
      </c>
      <c r="B73" s="12" t="s">
        <v>35</v>
      </c>
      <c r="C73" s="271" t="str">
        <f>'1stMay-30thApril'!E73</f>
        <v/>
      </c>
      <c r="D73" s="191"/>
      <c r="E73" s="247"/>
      <c r="F73" s="235" t="s">
        <v>35</v>
      </c>
      <c r="G73" s="235"/>
      <c r="H73" s="272" t="str">
        <f>'1stMay-30thApril'!J73</f>
        <v/>
      </c>
      <c r="I73" s="281">
        <v>1.0</v>
      </c>
      <c r="J73" s="284"/>
      <c r="K73" s="283">
        <v>1.0</v>
      </c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'1stMay-30thApril'!E74</f>
        <v/>
      </c>
      <c r="D74" s="227">
        <v>1.0</v>
      </c>
      <c r="E74" s="247"/>
      <c r="F74" s="235" t="s">
        <v>25</v>
      </c>
      <c r="G74" s="235"/>
      <c r="H74" s="272" t="str">
        <f>'1stMay-30thApril'!J74</f>
        <v/>
      </c>
      <c r="I74" s="281">
        <v>1.0</v>
      </c>
      <c r="J74" s="282">
        <v>0.172</v>
      </c>
      <c r="K74" s="283">
        <v>1.0</v>
      </c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0.89</v>
      </c>
      <c r="N74" s="191"/>
      <c r="O74" s="247"/>
    </row>
    <row r="75">
      <c r="A75" s="12" t="s">
        <v>74</v>
      </c>
      <c r="B75" s="12" t="s">
        <v>17</v>
      </c>
      <c r="C75" s="271" t="str">
        <f>'1stMay-30thApril'!E75</f>
        <v/>
      </c>
      <c r="D75" s="191"/>
      <c r="E75" s="247"/>
      <c r="F75" s="235" t="s">
        <v>25</v>
      </c>
      <c r="G75" s="235"/>
      <c r="H75" s="272">
        <f>'1stMay-30thApril'!J75</f>
        <v>0.309</v>
      </c>
      <c r="I75" s="281">
        <v>1.0</v>
      </c>
      <c r="J75" s="282">
        <v>0.221</v>
      </c>
      <c r="K75" s="283">
        <v>1.0</v>
      </c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0.088</v>
      </c>
      <c r="N75" s="191"/>
      <c r="O75" s="247"/>
    </row>
    <row r="76">
      <c r="A76" s="12" t="s">
        <v>76</v>
      </c>
      <c r="B76" s="12" t="s">
        <v>72</v>
      </c>
      <c r="C76" s="271" t="str">
        <f>'1stMay-30thApril'!E76</f>
        <v/>
      </c>
      <c r="D76" s="191"/>
      <c r="E76" s="247"/>
      <c r="F76" s="235" t="s">
        <v>35</v>
      </c>
      <c r="G76" s="235"/>
      <c r="H76" s="272">
        <f>'1stMay-30thApril'!J76</f>
        <v>1</v>
      </c>
      <c r="I76" s="281">
        <v>1.0</v>
      </c>
      <c r="J76" s="282">
        <v>1.0</v>
      </c>
      <c r="K76" s="283">
        <v>1.0</v>
      </c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'1stMay-30thApril'!E77</f>
        <v/>
      </c>
      <c r="D77" s="191"/>
      <c r="E77" s="247"/>
      <c r="F77" s="235" t="s">
        <v>25</v>
      </c>
      <c r="G77" s="285">
        <v>2.0</v>
      </c>
      <c r="H77" s="272" t="str">
        <f>'1stMay-30thApril'!J77</f>
        <v/>
      </c>
      <c r="I77" s="281">
        <v>1.0</v>
      </c>
      <c r="J77" s="282">
        <v>1.935</v>
      </c>
      <c r="K77" s="283">
        <v>1.0</v>
      </c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0.145</v>
      </c>
      <c r="N77" s="191"/>
      <c r="O77" s="247"/>
    </row>
    <row r="78">
      <c r="A78" s="12" t="s">
        <v>80</v>
      </c>
      <c r="B78" s="12" t="s">
        <v>56</v>
      </c>
      <c r="C78" s="271" t="str">
        <f>'1stMay-30thApril'!E78</f>
        <v/>
      </c>
      <c r="D78" s="191"/>
      <c r="E78" s="247"/>
      <c r="F78" s="235" t="s">
        <v>35</v>
      </c>
      <c r="G78" s="235"/>
      <c r="H78" s="272" t="str">
        <f>'1stMay-30thApril'!J78</f>
        <v/>
      </c>
      <c r="I78" s="281">
        <v>1.0</v>
      </c>
      <c r="J78" s="284"/>
      <c r="K78" s="283">
        <v>1.0</v>
      </c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'1stMay-30thApril'!E79</f>
        <v/>
      </c>
      <c r="D79" s="227">
        <v>1.0</v>
      </c>
      <c r="E79" s="247"/>
      <c r="F79" s="235" t="s">
        <v>35</v>
      </c>
      <c r="G79" s="235"/>
      <c r="H79" s="272">
        <f>'1stMay-30thApril'!J79</f>
        <v>0.399</v>
      </c>
      <c r="I79" s="281">
        <v>1.0</v>
      </c>
      <c r="J79" s="282">
        <v>0.346</v>
      </c>
      <c r="K79" s="283">
        <v>1.0</v>
      </c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0.553</v>
      </c>
      <c r="N79" s="191"/>
      <c r="O79" s="247"/>
    </row>
    <row r="80">
      <c r="A80" s="10" t="s">
        <v>85</v>
      </c>
      <c r="B80" s="11"/>
      <c r="C80" s="271" t="str">
        <f>'1stMay-30thApril'!E80</f>
        <v/>
      </c>
      <c r="D80" s="191"/>
      <c r="E80" s="247"/>
      <c r="F80" s="235"/>
      <c r="G80" s="235"/>
      <c r="H80" s="272" t="str">
        <f>'1stMay-30thApril'!J80</f>
        <v/>
      </c>
      <c r="I80" s="281">
        <v>1.0</v>
      </c>
      <c r="J80" s="284"/>
      <c r="K80" s="283">
        <v>1.0</v>
      </c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'1stMay-30thApril'!E81</f>
        <v/>
      </c>
      <c r="D81" s="227">
        <v>1.0</v>
      </c>
      <c r="E81" s="280">
        <v>1.0</v>
      </c>
      <c r="F81" s="235" t="s">
        <v>25</v>
      </c>
      <c r="G81" s="235"/>
      <c r="H81" s="272">
        <f>'1stMay-30thApril'!J81</f>
        <v>0.486</v>
      </c>
      <c r="I81" s="281">
        <v>1.0</v>
      </c>
      <c r="J81" s="282"/>
      <c r="K81" s="283">
        <v>1.0</v>
      </c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0.074</v>
      </c>
      <c r="N81" s="191"/>
      <c r="O81" s="247"/>
    </row>
    <row r="82">
      <c r="A82" s="12" t="s">
        <v>87</v>
      </c>
      <c r="B82" s="12" t="s">
        <v>83</v>
      </c>
      <c r="C82" s="271" t="str">
        <f>'1stMay-30thApril'!E82</f>
        <v/>
      </c>
      <c r="D82" s="227"/>
      <c r="E82" s="280"/>
      <c r="F82" s="235" t="s">
        <v>25</v>
      </c>
      <c r="G82" s="235"/>
      <c r="H82" s="272">
        <f>'1stMay-30thApril'!J82</f>
        <v>0.85</v>
      </c>
      <c r="I82" s="281">
        <v>1.0</v>
      </c>
      <c r="J82" s="282">
        <v>0.735</v>
      </c>
      <c r="K82" s="283">
        <v>1.0</v>
      </c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0.115</v>
      </c>
      <c r="N82" s="191"/>
      <c r="O82" s="247"/>
    </row>
    <row r="83">
      <c r="A83" s="12" t="s">
        <v>88</v>
      </c>
      <c r="B83" s="12" t="s">
        <v>83</v>
      </c>
      <c r="C83" s="271" t="str">
        <f>'1stMay-30thApril'!E83</f>
        <v/>
      </c>
      <c r="D83" s="191"/>
      <c r="E83" s="247"/>
      <c r="F83" s="235" t="s">
        <v>25</v>
      </c>
      <c r="G83" s="235"/>
      <c r="H83" s="272">
        <f>'1stMay-30thApril'!J83</f>
        <v>1.011</v>
      </c>
      <c r="I83" s="281">
        <v>1.0</v>
      </c>
      <c r="J83" s="282"/>
      <c r="K83" s="283">
        <v>1.0</v>
      </c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0.511</v>
      </c>
      <c r="N83" s="191"/>
      <c r="O83" s="247"/>
    </row>
    <row r="84">
      <c r="A84" s="12" t="s">
        <v>89</v>
      </c>
      <c r="B84" s="12" t="s">
        <v>83</v>
      </c>
      <c r="C84" s="271" t="str">
        <f>'1stMay-30thApril'!E84</f>
        <v/>
      </c>
      <c r="D84" s="227">
        <v>1.0</v>
      </c>
      <c r="E84" s="280">
        <v>1.0</v>
      </c>
      <c r="F84" s="235" t="s">
        <v>25</v>
      </c>
      <c r="G84" s="235"/>
      <c r="H84" s="272">
        <f>'1stMay-30thApril'!J84</f>
        <v>0.809</v>
      </c>
      <c r="I84" s="281">
        <v>1.0</v>
      </c>
      <c r="J84" s="282">
        <v>0.61</v>
      </c>
      <c r="K84" s="283">
        <v>1.0</v>
      </c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0.199</v>
      </c>
      <c r="N84" s="191"/>
      <c r="O84" s="247"/>
    </row>
    <row r="85">
      <c r="A85" s="12" t="s">
        <v>90</v>
      </c>
      <c r="B85" s="12" t="s">
        <v>24</v>
      </c>
      <c r="C85" s="271" t="str">
        <f>'1stMay-30thApril'!E85</f>
        <v/>
      </c>
      <c r="D85" s="191"/>
      <c r="E85" s="280"/>
      <c r="F85" s="235" t="s">
        <v>25</v>
      </c>
      <c r="G85" s="235"/>
      <c r="H85" s="272">
        <f>'1stMay-30thApril'!J85</f>
        <v>0.073</v>
      </c>
      <c r="I85" s="281">
        <v>1.0</v>
      </c>
      <c r="J85" s="284"/>
      <c r="K85" s="283">
        <v>1.0</v>
      </c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0.011</v>
      </c>
      <c r="N85" s="191"/>
      <c r="O85" s="247"/>
    </row>
    <row r="86">
      <c r="A86" s="12" t="s">
        <v>91</v>
      </c>
      <c r="B86" s="12" t="s">
        <v>56</v>
      </c>
      <c r="C86" s="271" t="str">
        <f>'1stMay-30thApril'!E86</f>
        <v/>
      </c>
      <c r="D86" s="227"/>
      <c r="E86" s="280"/>
      <c r="F86" s="235" t="s">
        <v>25</v>
      </c>
      <c r="G86" s="235"/>
      <c r="H86" s="272">
        <v>3.5</v>
      </c>
      <c r="I86" s="281">
        <v>1.0</v>
      </c>
      <c r="J86" s="282">
        <v>3.5</v>
      </c>
      <c r="K86" s="283">
        <v>1.0</v>
      </c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0</v>
      </c>
      <c r="N86" s="191"/>
      <c r="O86" s="247"/>
    </row>
    <row r="87">
      <c r="A87" s="12" t="s">
        <v>92</v>
      </c>
      <c r="B87" s="12" t="s">
        <v>83</v>
      </c>
      <c r="C87" s="271" t="str">
        <f>'1stMay-30thApril'!E87</f>
        <v/>
      </c>
      <c r="D87" s="191"/>
      <c r="E87" s="247"/>
      <c r="F87" s="235" t="s">
        <v>25</v>
      </c>
      <c r="G87" s="235"/>
      <c r="H87" s="272">
        <f>'1stMay-30thApril'!J87</f>
        <v>0.72</v>
      </c>
      <c r="I87" s="281">
        <v>1.0</v>
      </c>
      <c r="J87" s="282">
        <v>0.591</v>
      </c>
      <c r="K87" s="283">
        <v>1.0</v>
      </c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0.129</v>
      </c>
      <c r="N87" s="191"/>
      <c r="O87" s="247"/>
    </row>
    <row r="88">
      <c r="A88" s="12" t="s">
        <v>93</v>
      </c>
      <c r="B88" s="12" t="s">
        <v>83</v>
      </c>
      <c r="C88" s="271" t="str">
        <f>'1stMay-30thApril'!E88</f>
        <v/>
      </c>
      <c r="D88" s="191"/>
      <c r="E88" s="247"/>
      <c r="F88" s="235" t="s">
        <v>25</v>
      </c>
      <c r="G88" s="235"/>
      <c r="H88" s="272">
        <f>'1stMay-30thApril'!J88</f>
        <v>0.85</v>
      </c>
      <c r="I88" s="281">
        <v>1.0</v>
      </c>
      <c r="J88" s="282">
        <v>0.829</v>
      </c>
      <c r="K88" s="283">
        <v>1.0</v>
      </c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0.021</v>
      </c>
      <c r="N88" s="191"/>
      <c r="O88" s="247"/>
    </row>
    <row r="89">
      <c r="A89" s="12" t="s">
        <v>95</v>
      </c>
      <c r="B89" s="12" t="s">
        <v>83</v>
      </c>
      <c r="C89" s="271" t="str">
        <f>'1stMay-30thApril'!E89</f>
        <v/>
      </c>
      <c r="D89" s="191"/>
      <c r="E89" s="247"/>
      <c r="F89" s="235" t="s">
        <v>25</v>
      </c>
      <c r="G89" s="235"/>
      <c r="H89" s="272" t="str">
        <f>'1stMay-30thApril'!J89</f>
        <v/>
      </c>
      <c r="I89" s="281">
        <v>1.0</v>
      </c>
      <c r="J89" s="284"/>
      <c r="K89" s="283">
        <v>1.0</v>
      </c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</v>
      </c>
      <c r="N89" s="191"/>
      <c r="O89" s="247"/>
    </row>
    <row r="90">
      <c r="A90" s="10" t="s">
        <v>96</v>
      </c>
      <c r="B90" s="11"/>
      <c r="C90" s="271" t="str">
        <f>'1stMay-30thApril'!E90</f>
        <v/>
      </c>
      <c r="D90" s="191"/>
      <c r="E90" s="247"/>
      <c r="F90" s="235"/>
      <c r="G90" s="235"/>
      <c r="H90" s="272" t="str">
        <f>'1stMay-30thApril'!J90</f>
        <v/>
      </c>
      <c r="I90" s="281">
        <v>1.0</v>
      </c>
      <c r="J90" s="284"/>
      <c r="K90" s="283">
        <v>1.0</v>
      </c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'1stMay-30thApril'!E91</f>
        <v/>
      </c>
      <c r="D91" s="191"/>
      <c r="E91" s="247"/>
      <c r="F91" s="235" t="s">
        <v>35</v>
      </c>
      <c r="G91" s="235"/>
      <c r="H91" s="272">
        <f>'1stMay-30thApril'!J91</f>
        <v>0.402</v>
      </c>
      <c r="I91" s="281">
        <v>1.0</v>
      </c>
      <c r="J91" s="282">
        <v>0.369</v>
      </c>
      <c r="K91" s="283">
        <v>1.0</v>
      </c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0.033</v>
      </c>
      <c r="N91" s="191"/>
      <c r="O91" s="247"/>
    </row>
    <row r="92">
      <c r="A92" s="12" t="s">
        <v>99</v>
      </c>
      <c r="B92" s="12" t="s">
        <v>40</v>
      </c>
      <c r="C92" s="271" t="str">
        <f>'1stMay-30thApril'!E92</f>
        <v/>
      </c>
      <c r="D92" s="191"/>
      <c r="E92" s="247"/>
      <c r="F92" s="235" t="s">
        <v>35</v>
      </c>
      <c r="G92" s="235"/>
      <c r="H92" s="272">
        <f>'1stMay-30thApril'!J92</f>
        <v>1</v>
      </c>
      <c r="I92" s="281">
        <v>1.0</v>
      </c>
      <c r="J92" s="282">
        <f>0.146+0.764</f>
        <v>0.91</v>
      </c>
      <c r="K92" s="283">
        <v>1.0</v>
      </c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0.09</v>
      </c>
      <c r="N92" s="191"/>
      <c r="O92" s="247"/>
    </row>
    <row r="93">
      <c r="A93" s="12" t="s">
        <v>100</v>
      </c>
      <c r="B93" s="12" t="s">
        <v>40</v>
      </c>
      <c r="C93" s="271" t="str">
        <f>'1stMay-30thApril'!E93</f>
        <v/>
      </c>
      <c r="D93" s="191"/>
      <c r="E93" s="247"/>
      <c r="F93" s="235" t="s">
        <v>35</v>
      </c>
      <c r="G93" s="235"/>
      <c r="H93" s="272">
        <f>'1stMay-30thApril'!J93</f>
        <v>0.4</v>
      </c>
      <c r="I93" s="281">
        <v>1.0</v>
      </c>
      <c r="J93" s="282">
        <v>0.363</v>
      </c>
      <c r="K93" s="283">
        <v>1.0</v>
      </c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0.037</v>
      </c>
      <c r="N93" s="191"/>
      <c r="O93" s="247"/>
    </row>
    <row r="94">
      <c r="A94" s="12" t="s">
        <v>101</v>
      </c>
      <c r="B94" s="12" t="s">
        <v>40</v>
      </c>
      <c r="C94" s="271" t="str">
        <f>'1stMay-30thApril'!E94</f>
        <v/>
      </c>
      <c r="D94" s="191"/>
      <c r="E94" s="247"/>
      <c r="F94" s="235" t="s">
        <v>35</v>
      </c>
      <c r="G94" s="235"/>
      <c r="H94" s="272" t="str">
        <f>'1stMay-30thApril'!J94</f>
        <v/>
      </c>
      <c r="I94" s="281">
        <v>1.0</v>
      </c>
      <c r="J94" s="284"/>
      <c r="K94" s="283">
        <v>1.0</v>
      </c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'1stMay-30thApril'!E95</f>
        <v/>
      </c>
      <c r="D95" s="191"/>
      <c r="E95" s="247"/>
      <c r="F95" s="235" t="s">
        <v>35</v>
      </c>
      <c r="G95" s="235"/>
      <c r="H95" s="272">
        <f>'1stMay-30thApril'!J95</f>
        <v>0.293</v>
      </c>
      <c r="I95" s="281">
        <v>1.0</v>
      </c>
      <c r="J95" s="282">
        <v>0.25</v>
      </c>
      <c r="K95" s="283">
        <v>1.0</v>
      </c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0.043</v>
      </c>
      <c r="N95" s="191"/>
      <c r="O95" s="247"/>
    </row>
    <row r="96">
      <c r="A96" s="12" t="s">
        <v>103</v>
      </c>
      <c r="B96" s="12" t="s">
        <v>40</v>
      </c>
      <c r="C96" s="271" t="str">
        <f>'1stMay-30thApril'!E96</f>
        <v/>
      </c>
      <c r="D96" s="191"/>
      <c r="E96" s="247"/>
      <c r="F96" s="235" t="s">
        <v>35</v>
      </c>
      <c r="G96" s="235"/>
      <c r="H96" s="272" t="str">
        <f>'1stMay-30thApril'!J96</f>
        <v/>
      </c>
      <c r="I96" s="281">
        <v>1.0</v>
      </c>
      <c r="J96" s="282"/>
      <c r="K96" s="283">
        <v>1.0</v>
      </c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71" t="str">
        <f>'1stMay-30thApril'!E97</f>
        <v/>
      </c>
      <c r="D97" s="191"/>
      <c r="E97" s="247"/>
      <c r="F97" s="235" t="s">
        <v>35</v>
      </c>
      <c r="G97" s="235"/>
      <c r="H97" s="272" t="str">
        <f>'1stMay-30thApril'!J97</f>
        <v/>
      </c>
      <c r="I97" s="281">
        <v>1.0</v>
      </c>
      <c r="J97" s="284"/>
      <c r="K97" s="283">
        <v>1.0</v>
      </c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71" t="str">
        <f>'1stMay-30thApril'!E98</f>
        <v/>
      </c>
      <c r="D98" s="191"/>
      <c r="E98" s="247"/>
      <c r="F98" s="235" t="s">
        <v>35</v>
      </c>
      <c r="G98" s="285">
        <v>0.619</v>
      </c>
      <c r="H98" s="272">
        <f>'1stMay-30thApril'!J98</f>
        <v>0.152</v>
      </c>
      <c r="I98" s="281">
        <v>1.0</v>
      </c>
      <c r="J98" s="282">
        <v>0.619</v>
      </c>
      <c r="K98" s="283">
        <v>1.0</v>
      </c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0.152</v>
      </c>
      <c r="N98" s="191"/>
      <c r="O98" s="247"/>
    </row>
    <row r="99">
      <c r="A99" s="12" t="s">
        <v>108</v>
      </c>
      <c r="B99" s="12" t="s">
        <v>40</v>
      </c>
      <c r="C99" s="271" t="str">
        <f>'1stMay-30thApril'!E99</f>
        <v/>
      </c>
      <c r="D99" s="191"/>
      <c r="E99" s="247"/>
      <c r="F99" s="235" t="s">
        <v>35</v>
      </c>
      <c r="G99" s="235"/>
      <c r="H99" s="272">
        <f>'1stMay-30thApril'!J99</f>
        <v>0.525</v>
      </c>
      <c r="I99" s="281">
        <v>1.0</v>
      </c>
      <c r="J99" s="282">
        <v>0.526</v>
      </c>
      <c r="K99" s="283">
        <v>1.0</v>
      </c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-0.001</v>
      </c>
      <c r="N99" s="191"/>
      <c r="O99" s="247"/>
    </row>
    <row r="100">
      <c r="A100" s="12" t="s">
        <v>109</v>
      </c>
      <c r="B100" s="12" t="s">
        <v>40</v>
      </c>
      <c r="C100" s="271" t="str">
        <f>'1stMay-30thApril'!E100</f>
        <v/>
      </c>
      <c r="D100" s="191"/>
      <c r="E100" s="247"/>
      <c r="F100" s="235" t="s">
        <v>35</v>
      </c>
      <c r="G100" s="235"/>
      <c r="H100" s="272">
        <f>'1stMay-30thApril'!J100</f>
        <v>0.436</v>
      </c>
      <c r="I100" s="281">
        <v>1.0</v>
      </c>
      <c r="J100" s="282">
        <v>0.427</v>
      </c>
      <c r="K100" s="283">
        <v>1.0</v>
      </c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0.009</v>
      </c>
      <c r="N100" s="191"/>
      <c r="O100" s="247"/>
    </row>
    <row r="101">
      <c r="A101" s="12" t="s">
        <v>110</v>
      </c>
      <c r="B101" s="12" t="s">
        <v>40</v>
      </c>
      <c r="C101" s="271" t="str">
        <f>'1stMay-30thApril'!E101</f>
        <v/>
      </c>
      <c r="D101" s="191"/>
      <c r="E101" s="247"/>
      <c r="F101" s="235" t="s">
        <v>35</v>
      </c>
      <c r="G101" s="235"/>
      <c r="H101" s="272">
        <f>'1stMay-30thApril'!J101</f>
        <v>0.309</v>
      </c>
      <c r="I101" s="281">
        <v>1.0</v>
      </c>
      <c r="J101" s="282">
        <v>0.287</v>
      </c>
      <c r="K101" s="283">
        <v>1.0</v>
      </c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0.022</v>
      </c>
      <c r="N101" s="191"/>
      <c r="O101" s="247"/>
    </row>
    <row r="102">
      <c r="A102" s="12" t="s">
        <v>111</v>
      </c>
      <c r="B102" s="12" t="s">
        <v>40</v>
      </c>
      <c r="C102" s="271" t="str">
        <f>'1stMay-30thApril'!E102</f>
        <v/>
      </c>
      <c r="D102" s="191"/>
      <c r="E102" s="247"/>
      <c r="F102" s="235" t="s">
        <v>35</v>
      </c>
      <c r="G102" s="235"/>
      <c r="H102" s="272" t="str">
        <f>'1stMay-30thApril'!J102</f>
        <v/>
      </c>
      <c r="I102" s="281">
        <v>1.0</v>
      </c>
      <c r="J102" s="284"/>
      <c r="K102" s="283">
        <v>1.0</v>
      </c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 t="str">
        <f>'1stMay-30thApril'!E103</f>
        <v/>
      </c>
      <c r="D103" s="191"/>
      <c r="E103" s="247"/>
      <c r="F103" s="235" t="s">
        <v>35</v>
      </c>
      <c r="G103" s="235"/>
      <c r="H103" s="272">
        <f>'1stMay-30thApril'!J103</f>
        <v>0.246</v>
      </c>
      <c r="I103" s="281">
        <v>1.0</v>
      </c>
      <c r="J103" s="282">
        <v>0.187</v>
      </c>
      <c r="K103" s="283">
        <v>1.0</v>
      </c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0.059</v>
      </c>
      <c r="N103" s="191"/>
      <c r="O103" s="247"/>
    </row>
    <row r="104">
      <c r="A104" s="12" t="s">
        <v>114</v>
      </c>
      <c r="B104" s="12" t="s">
        <v>40</v>
      </c>
      <c r="C104" s="271" t="str">
        <f>'1stMay-30thApril'!E104</f>
        <v/>
      </c>
      <c r="D104" s="191"/>
      <c r="E104" s="247"/>
      <c r="F104" s="235" t="s">
        <v>35</v>
      </c>
      <c r="G104" s="285"/>
      <c r="H104" s="272">
        <f>'1stMay-30thApril'!J104</f>
        <v>0.49</v>
      </c>
      <c r="I104" s="281">
        <v>1.0</v>
      </c>
      <c r="J104" s="282">
        <v>0.472</v>
      </c>
      <c r="K104" s="283">
        <v>1.0</v>
      </c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0.018</v>
      </c>
      <c r="N104" s="191"/>
      <c r="O104" s="247"/>
    </row>
    <row r="105">
      <c r="A105" s="12" t="s">
        <v>116</v>
      </c>
      <c r="B105" s="12" t="s">
        <v>40</v>
      </c>
      <c r="C105" s="271" t="str">
        <f>'1stMay-30thApril'!E105</f>
        <v/>
      </c>
      <c r="D105" s="191"/>
      <c r="E105" s="247"/>
      <c r="F105" s="235" t="s">
        <v>35</v>
      </c>
      <c r="G105" s="235"/>
      <c r="H105" s="272" t="str">
        <f>'1stMay-30thApril'!J105</f>
        <v/>
      </c>
      <c r="I105" s="281">
        <v>1.0</v>
      </c>
      <c r="J105" s="284"/>
      <c r="K105" s="283">
        <v>1.0</v>
      </c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'1stMay-30thApril'!E106</f>
        <v/>
      </c>
      <c r="D106" s="191"/>
      <c r="E106" s="247"/>
      <c r="F106" s="235" t="s">
        <v>35</v>
      </c>
      <c r="G106" s="285"/>
      <c r="H106" s="272" t="str">
        <f>'1stMay-30thApril'!J106</f>
        <v/>
      </c>
      <c r="I106" s="281">
        <v>1.0</v>
      </c>
      <c r="J106" s="282"/>
      <c r="K106" s="283">
        <v>1.0</v>
      </c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</v>
      </c>
      <c r="N106" s="191"/>
      <c r="O106" s="247"/>
    </row>
    <row r="107">
      <c r="A107" s="12" t="s">
        <v>118</v>
      </c>
      <c r="B107" s="12" t="s">
        <v>40</v>
      </c>
      <c r="C107" s="271" t="str">
        <f>'1stMay-30thApril'!E107</f>
        <v/>
      </c>
      <c r="D107" s="191"/>
      <c r="E107" s="247"/>
      <c r="F107" s="235" t="s">
        <v>35</v>
      </c>
      <c r="G107" s="235"/>
      <c r="H107" s="272">
        <f>'1stMay-30thApril'!J107</f>
        <v>0.225</v>
      </c>
      <c r="I107" s="281">
        <v>1.0</v>
      </c>
      <c r="J107" s="282">
        <v>0.219</v>
      </c>
      <c r="K107" s="283">
        <v>1.0</v>
      </c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0.006</v>
      </c>
      <c r="N107" s="191"/>
      <c r="O107" s="247"/>
    </row>
    <row r="108">
      <c r="A108" s="12" t="s">
        <v>119</v>
      </c>
      <c r="B108" s="12" t="s">
        <v>40</v>
      </c>
      <c r="C108" s="271" t="str">
        <f>'1stMay-30thApril'!E108</f>
        <v/>
      </c>
      <c r="D108" s="191"/>
      <c r="E108" s="247"/>
      <c r="F108" s="235" t="s">
        <v>35</v>
      </c>
      <c r="G108" s="235"/>
      <c r="H108" s="272">
        <f>'1stMay-30thApril'!J108</f>
        <v>0.75</v>
      </c>
      <c r="I108" s="281">
        <v>1.0</v>
      </c>
      <c r="J108" s="284">
        <f>0.249+0.501</f>
        <v>0.75</v>
      </c>
      <c r="K108" s="283">
        <v>1.0</v>
      </c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</v>
      </c>
      <c r="N108" s="191"/>
      <c r="O108" s="247"/>
    </row>
    <row r="109">
      <c r="A109" s="12" t="s">
        <v>120</v>
      </c>
      <c r="B109" s="12" t="s">
        <v>40</v>
      </c>
      <c r="C109" s="271" t="str">
        <f>'1stMay-30thApril'!E109</f>
        <v/>
      </c>
      <c r="D109" s="191"/>
      <c r="E109" s="247"/>
      <c r="F109" s="235" t="s">
        <v>35</v>
      </c>
      <c r="G109" s="235"/>
      <c r="H109" s="272">
        <f>'1stMay-30thApril'!J109</f>
        <v>0.156</v>
      </c>
      <c r="I109" s="281">
        <v>1.0</v>
      </c>
      <c r="J109" s="282">
        <v>0.151</v>
      </c>
      <c r="K109" s="283">
        <v>1.0</v>
      </c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0.005</v>
      </c>
      <c r="N109" s="191"/>
      <c r="O109" s="247"/>
    </row>
    <row r="110">
      <c r="A110" s="12" t="s">
        <v>121</v>
      </c>
      <c r="B110" s="12" t="s">
        <v>40</v>
      </c>
      <c r="C110" s="271" t="str">
        <f>'1stMay-30thApril'!E110</f>
        <v/>
      </c>
      <c r="D110" s="191"/>
      <c r="E110" s="247"/>
      <c r="F110" s="235" t="s">
        <v>35</v>
      </c>
      <c r="G110" s="235"/>
      <c r="H110" s="272">
        <v>0.323</v>
      </c>
      <c r="I110" s="281">
        <v>1.0</v>
      </c>
      <c r="J110" s="282">
        <v>0.323</v>
      </c>
      <c r="K110" s="283">
        <v>1.0</v>
      </c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</v>
      </c>
      <c r="N110" s="191"/>
      <c r="O110" s="247"/>
    </row>
    <row r="111">
      <c r="A111" s="12" t="s">
        <v>122</v>
      </c>
      <c r="B111" s="12" t="s">
        <v>40</v>
      </c>
      <c r="C111" s="271" t="str">
        <f>'1stMay-30thApril'!E111</f>
        <v/>
      </c>
      <c r="D111" s="191"/>
      <c r="E111" s="247"/>
      <c r="F111" s="235" t="s">
        <v>35</v>
      </c>
      <c r="G111" s="235"/>
      <c r="H111" s="272" t="str">
        <f>'1stMay-30thApril'!J111</f>
        <v/>
      </c>
      <c r="I111" s="281">
        <v>1.0</v>
      </c>
      <c r="J111" s="284"/>
      <c r="K111" s="283">
        <v>1.0</v>
      </c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'1stMay-30thApril'!E112</f>
        <v/>
      </c>
      <c r="D112" s="191"/>
      <c r="E112" s="247"/>
      <c r="F112" s="235" t="s">
        <v>35</v>
      </c>
      <c r="G112" s="235"/>
      <c r="H112" s="272">
        <f>'1stMay-30thApril'!J112</f>
        <v>0.086</v>
      </c>
      <c r="I112" s="281">
        <v>1.0</v>
      </c>
      <c r="J112" s="282">
        <v>0.076</v>
      </c>
      <c r="K112" s="283">
        <v>1.0</v>
      </c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0.01</v>
      </c>
      <c r="N112" s="191"/>
      <c r="O112" s="247"/>
    </row>
    <row r="113">
      <c r="A113" s="12" t="s">
        <v>124</v>
      </c>
      <c r="B113" s="12" t="s">
        <v>40</v>
      </c>
      <c r="C113" s="271" t="str">
        <f>'1stMay-30thApril'!E113</f>
        <v/>
      </c>
      <c r="D113" s="191"/>
      <c r="E113" s="247"/>
      <c r="F113" s="235" t="s">
        <v>35</v>
      </c>
      <c r="G113" s="235"/>
      <c r="H113" s="272">
        <f>'1stMay-30thApril'!J113</f>
        <v>0.144</v>
      </c>
      <c r="I113" s="281">
        <v>1.0</v>
      </c>
      <c r="J113" s="282">
        <v>0.132</v>
      </c>
      <c r="K113" s="283">
        <v>1.0</v>
      </c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0.012</v>
      </c>
      <c r="N113" s="191"/>
      <c r="O113" s="247"/>
    </row>
    <row r="114">
      <c r="A114" s="12" t="s">
        <v>125</v>
      </c>
      <c r="B114" s="12" t="s">
        <v>40</v>
      </c>
      <c r="C114" s="271" t="str">
        <f>'1stMay-30thApril'!E114</f>
        <v/>
      </c>
      <c r="D114" s="191"/>
      <c r="E114" s="247"/>
      <c r="F114" s="235" t="s">
        <v>35</v>
      </c>
      <c r="G114" s="235"/>
      <c r="H114" s="272" t="str">
        <f>'1stMay-30thApril'!J114</f>
        <v/>
      </c>
      <c r="I114" s="281">
        <v>1.0</v>
      </c>
      <c r="J114" s="284"/>
      <c r="K114" s="283">
        <v>1.0</v>
      </c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'1stMay-30thApril'!E115</f>
        <v/>
      </c>
      <c r="D115" s="191"/>
      <c r="E115" s="247"/>
      <c r="F115" s="235" t="s">
        <v>35</v>
      </c>
      <c r="G115" s="235"/>
      <c r="H115" s="272">
        <f>'1stMay-30thApril'!J115</f>
        <v>0.978</v>
      </c>
      <c r="I115" s="281">
        <v>1.0</v>
      </c>
      <c r="J115" s="282">
        <f>0.469+0.488</f>
        <v>0.957</v>
      </c>
      <c r="K115" s="283">
        <v>1.0</v>
      </c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0.021</v>
      </c>
      <c r="N115" s="191"/>
      <c r="O115" s="247"/>
    </row>
    <row r="116">
      <c r="A116" s="12" t="s">
        <v>127</v>
      </c>
      <c r="B116" s="12" t="s">
        <v>40</v>
      </c>
      <c r="C116" s="271" t="str">
        <f>'1stMay-30thApril'!E116</f>
        <v/>
      </c>
      <c r="D116" s="191"/>
      <c r="E116" s="247"/>
      <c r="F116" s="235" t="s">
        <v>35</v>
      </c>
      <c r="G116" s="235"/>
      <c r="H116" s="272">
        <f>'1stMay-30thApril'!J116</f>
        <v>0.087</v>
      </c>
      <c r="I116" s="281">
        <v>1.0</v>
      </c>
      <c r="J116" s="282">
        <v>0.083</v>
      </c>
      <c r="K116" s="283">
        <v>1.0</v>
      </c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0.004</v>
      </c>
      <c r="N116" s="191"/>
      <c r="O116" s="247"/>
    </row>
    <row r="117">
      <c r="A117" s="12" t="s">
        <v>128</v>
      </c>
      <c r="B117" s="12" t="s">
        <v>40</v>
      </c>
      <c r="C117" s="271" t="str">
        <f>'1stMay-30thApril'!E117</f>
        <v/>
      </c>
      <c r="D117" s="191"/>
      <c r="E117" s="247"/>
      <c r="F117" s="235" t="s">
        <v>35</v>
      </c>
      <c r="G117" s="235"/>
      <c r="H117" s="272">
        <f>'1stMay-30thApril'!J117</f>
        <v>0.01</v>
      </c>
      <c r="I117" s="281">
        <v>1.0</v>
      </c>
      <c r="J117" s="282">
        <v>0.01</v>
      </c>
      <c r="K117" s="283">
        <v>1.0</v>
      </c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</v>
      </c>
      <c r="N117" s="191"/>
      <c r="O117" s="247"/>
    </row>
    <row r="118">
      <c r="A118" s="12" t="s">
        <v>129</v>
      </c>
      <c r="B118" s="12" t="s">
        <v>40</v>
      </c>
      <c r="C118" s="271" t="str">
        <f>'1stMay-30thApril'!E118</f>
        <v/>
      </c>
      <c r="D118" s="191"/>
      <c r="E118" s="247"/>
      <c r="F118" s="235" t="s">
        <v>35</v>
      </c>
      <c r="G118" s="235"/>
      <c r="H118" s="272">
        <f>'1stMay-30thApril'!J118</f>
        <v>1</v>
      </c>
      <c r="I118" s="281">
        <v>1.0</v>
      </c>
      <c r="J118" s="282">
        <v>1.0</v>
      </c>
      <c r="K118" s="283">
        <v>1.0</v>
      </c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71" t="str">
        <f>'1stMay-30thApril'!E119</f>
        <v/>
      </c>
      <c r="D119" s="191"/>
      <c r="E119" s="247"/>
      <c r="F119" s="235" t="s">
        <v>35</v>
      </c>
      <c r="G119" s="235"/>
      <c r="H119" s="272">
        <f>'1stMay-30thApril'!J119</f>
        <v>0.263</v>
      </c>
      <c r="I119" s="281">
        <v>1.0</v>
      </c>
      <c r="J119" s="282">
        <v>0.258</v>
      </c>
      <c r="K119" s="283">
        <v>1.0</v>
      </c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0.005</v>
      </c>
      <c r="N119" s="191"/>
      <c r="O119" s="247"/>
    </row>
    <row r="120">
      <c r="A120" s="12" t="s">
        <v>131</v>
      </c>
      <c r="B120" s="12" t="s">
        <v>40</v>
      </c>
      <c r="C120" s="271" t="str">
        <f>'1stMay-30thApril'!E120</f>
        <v/>
      </c>
      <c r="D120" s="191"/>
      <c r="E120" s="247"/>
      <c r="F120" s="235" t="s">
        <v>35</v>
      </c>
      <c r="G120" s="235"/>
      <c r="H120" s="272">
        <f>'1stMay-30thApril'!J120</f>
        <v>0.093</v>
      </c>
      <c r="I120" s="281">
        <v>1.0</v>
      </c>
      <c r="J120" s="282">
        <v>0.084</v>
      </c>
      <c r="K120" s="283">
        <v>1.0</v>
      </c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0.009</v>
      </c>
      <c r="N120" s="191"/>
      <c r="O120" s="247"/>
    </row>
    <row r="121">
      <c r="A121" s="12" t="s">
        <v>132</v>
      </c>
      <c r="B121" s="12" t="s">
        <v>40</v>
      </c>
      <c r="C121" s="271" t="str">
        <f>'1stMay-30thApril'!E121</f>
        <v/>
      </c>
      <c r="D121" s="191"/>
      <c r="E121" s="247"/>
      <c r="F121" s="235" t="s">
        <v>35</v>
      </c>
      <c r="G121" s="235"/>
      <c r="H121" s="272">
        <f>'1stMay-30thApril'!J121</f>
        <v>0.141</v>
      </c>
      <c r="I121" s="281">
        <v>1.0</v>
      </c>
      <c r="J121" s="282">
        <v>0.139</v>
      </c>
      <c r="K121" s="283">
        <v>1.0</v>
      </c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0.002</v>
      </c>
      <c r="N121" s="191"/>
      <c r="O121" s="247"/>
    </row>
    <row r="122">
      <c r="A122" s="12" t="s">
        <v>133</v>
      </c>
      <c r="B122" s="12" t="s">
        <v>40</v>
      </c>
      <c r="C122" s="271" t="str">
        <f>'1stMay-30thApril'!E122</f>
        <v/>
      </c>
      <c r="D122" s="191"/>
      <c r="E122" s="247"/>
      <c r="F122" s="235" t="s">
        <v>35</v>
      </c>
      <c r="G122" s="235"/>
      <c r="H122" s="272">
        <f>'1stMay-30thApril'!J122</f>
        <v>0.083</v>
      </c>
      <c r="I122" s="281">
        <v>1.0</v>
      </c>
      <c r="J122" s="282">
        <v>0.01</v>
      </c>
      <c r="K122" s="283">
        <v>1.0</v>
      </c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0.073</v>
      </c>
      <c r="N122" s="191"/>
      <c r="O122" s="247"/>
    </row>
    <row r="123">
      <c r="A123" s="12" t="s">
        <v>134</v>
      </c>
      <c r="B123" s="12" t="s">
        <v>40</v>
      </c>
      <c r="C123" s="271" t="str">
        <f>'1stMay-30thApril'!E123</f>
        <v/>
      </c>
      <c r="D123" s="191"/>
      <c r="E123" s="247"/>
      <c r="F123" s="235" t="s">
        <v>35</v>
      </c>
      <c r="G123" s="235"/>
      <c r="H123" s="272" t="str">
        <f>'1stMay-30thApril'!J123</f>
        <v/>
      </c>
      <c r="I123" s="281">
        <v>1.0</v>
      </c>
      <c r="J123" s="284"/>
      <c r="K123" s="283">
        <v>1.0</v>
      </c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'1stMay-30thApril'!E124</f>
        <v/>
      </c>
      <c r="D124" s="191"/>
      <c r="E124" s="247"/>
      <c r="F124" s="235" t="s">
        <v>35</v>
      </c>
      <c r="G124" s="235"/>
      <c r="H124" s="272" t="str">
        <f>'1stMay-30thApril'!J124</f>
        <v/>
      </c>
      <c r="I124" s="281">
        <v>1.0</v>
      </c>
      <c r="J124" s="284"/>
      <c r="K124" s="283">
        <v>1.0</v>
      </c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'1stMay-30thApril'!E125</f>
        <v/>
      </c>
      <c r="D125" s="191"/>
      <c r="E125" s="247"/>
      <c r="F125" s="285" t="s">
        <v>35</v>
      </c>
      <c r="G125" s="235"/>
      <c r="H125" s="272" t="str">
        <f>'1stMay-30thApril'!J125</f>
        <v/>
      </c>
      <c r="I125" s="281">
        <v>1.0</v>
      </c>
      <c r="J125" s="284"/>
      <c r="K125" s="283">
        <v>1.0</v>
      </c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247"/>
    </row>
    <row r="126">
      <c r="A126" s="21" t="s">
        <v>143</v>
      </c>
      <c r="B126" s="15" t="s">
        <v>40</v>
      </c>
      <c r="C126" s="271" t="str">
        <f>'1stMay-30thApril'!E126</f>
        <v/>
      </c>
      <c r="D126" s="191"/>
      <c r="E126" s="247"/>
      <c r="F126" s="285" t="s">
        <v>35</v>
      </c>
      <c r="G126" s="235"/>
      <c r="H126" s="272">
        <f>'1stMay-30thApril'!J126</f>
        <v>0.24</v>
      </c>
      <c r="I126" s="281">
        <v>1.0</v>
      </c>
      <c r="J126" s="282">
        <v>0.239</v>
      </c>
      <c r="K126" s="283">
        <v>1.0</v>
      </c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0.001</v>
      </c>
      <c r="N126" s="191"/>
      <c r="O126" s="247"/>
    </row>
    <row r="127">
      <c r="A127" s="10" t="s">
        <v>146</v>
      </c>
      <c r="B127" s="11"/>
      <c r="C127" s="271" t="str">
        <f>'1stMay-30thApril'!E127</f>
        <v/>
      </c>
      <c r="D127" s="191"/>
      <c r="E127" s="247"/>
      <c r="F127" s="235"/>
      <c r="G127" s="235"/>
      <c r="H127" s="272" t="str">
        <f>'1stMay-30thApril'!J127</f>
        <v/>
      </c>
      <c r="I127" s="281">
        <v>1.0</v>
      </c>
      <c r="J127" s="284"/>
      <c r="K127" s="283">
        <v>1.0</v>
      </c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'1stMay-30thApril'!E128</f>
        <v/>
      </c>
      <c r="D128" s="191"/>
      <c r="E128" s="247"/>
      <c r="F128" s="235" t="s">
        <v>35</v>
      </c>
      <c r="G128" s="235"/>
      <c r="H128" s="272" t="str">
        <f>'1stMay-30thApril'!J128</f>
        <v/>
      </c>
      <c r="I128" s="281">
        <v>1.0</v>
      </c>
      <c r="J128" s="284"/>
      <c r="K128" s="283">
        <v>1.0</v>
      </c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'1stMay-30thApril'!E129</f>
        <v/>
      </c>
      <c r="D129" s="191"/>
      <c r="E129" s="247"/>
      <c r="F129" s="235" t="s">
        <v>35</v>
      </c>
      <c r="G129" s="235"/>
      <c r="H129" s="272">
        <f>'1stMay-30thApril'!J129</f>
        <v>1.75</v>
      </c>
      <c r="I129" s="281">
        <v>1.0</v>
      </c>
      <c r="J129" s="282">
        <v>0.856</v>
      </c>
      <c r="K129" s="283">
        <v>1.0</v>
      </c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0.894</v>
      </c>
      <c r="N129" s="191"/>
      <c r="O129" s="247"/>
    </row>
    <row r="130">
      <c r="A130" s="12" t="s">
        <v>149</v>
      </c>
      <c r="B130" s="12" t="s">
        <v>40</v>
      </c>
      <c r="C130" s="271" t="str">
        <f>'1stMay-30thApril'!E130</f>
        <v/>
      </c>
      <c r="D130" s="191"/>
      <c r="E130" s="247"/>
      <c r="F130" s="235" t="s">
        <v>35</v>
      </c>
      <c r="G130" s="235"/>
      <c r="H130" s="272">
        <v>0.28</v>
      </c>
      <c r="I130" s="281">
        <v>1.0</v>
      </c>
      <c r="J130" s="282">
        <v>0.28</v>
      </c>
      <c r="K130" s="283">
        <v>1.0</v>
      </c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</v>
      </c>
      <c r="N130" s="191"/>
      <c r="O130" s="247"/>
    </row>
    <row r="131">
      <c r="A131" s="12" t="s">
        <v>150</v>
      </c>
      <c r="B131" s="12" t="s">
        <v>24</v>
      </c>
      <c r="C131" s="271" t="str">
        <f>'1stMay-30thApril'!E131</f>
        <v/>
      </c>
      <c r="D131" s="191"/>
      <c r="E131" s="247"/>
      <c r="F131" s="235" t="s">
        <v>25</v>
      </c>
      <c r="G131" s="235"/>
      <c r="H131" s="272" t="str">
        <f>'1stMay-30thApril'!J131</f>
        <v/>
      </c>
      <c r="I131" s="281">
        <v>1.0</v>
      </c>
      <c r="J131" s="284"/>
      <c r="K131" s="283">
        <v>1.0</v>
      </c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'1stMay-30thApril'!E132</f>
        <v/>
      </c>
      <c r="D132" s="191"/>
      <c r="E132" s="247"/>
      <c r="F132" s="235"/>
      <c r="G132" s="235"/>
      <c r="H132" s="272" t="str">
        <f>'1stMay-30thApril'!J132</f>
        <v/>
      </c>
      <c r="I132" s="281">
        <v>1.0</v>
      </c>
      <c r="J132" s="284"/>
      <c r="K132" s="283">
        <v>1.0</v>
      </c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'1stMay-30thApril'!E133</f>
        <v/>
      </c>
      <c r="D133" s="227">
        <v>1.0</v>
      </c>
      <c r="E133" s="247"/>
      <c r="F133" s="235" t="s">
        <v>35</v>
      </c>
      <c r="G133" s="235"/>
      <c r="H133" s="272" t="str">
        <f>'1stMay-30thApril'!J133</f>
        <v/>
      </c>
      <c r="I133" s="281">
        <v>1.0</v>
      </c>
      <c r="J133" s="282">
        <v>0.111</v>
      </c>
      <c r="K133" s="283">
        <v>1.0</v>
      </c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0.125</v>
      </c>
      <c r="N133" s="191"/>
      <c r="O133" s="247"/>
    </row>
    <row r="134">
      <c r="A134" s="12" t="s">
        <v>154</v>
      </c>
      <c r="B134" s="12" t="s">
        <v>155</v>
      </c>
      <c r="C134" s="271" t="str">
        <f>'1stMay-30thApril'!E134</f>
        <v/>
      </c>
      <c r="D134" s="227">
        <v>2.0</v>
      </c>
      <c r="E134" s="247"/>
      <c r="F134" s="235" t="s">
        <v>35</v>
      </c>
      <c r="G134" s="235"/>
      <c r="H134" s="272" t="str">
        <f>'1stMay-30thApril'!J134</f>
        <v/>
      </c>
      <c r="I134" s="281">
        <v>1.0</v>
      </c>
      <c r="J134" s="284"/>
      <c r="K134" s="283">
        <v>1.0</v>
      </c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1</v>
      </c>
      <c r="N134" s="191"/>
      <c r="O134" s="247"/>
    </row>
    <row r="135">
      <c r="A135" s="12" t="s">
        <v>157</v>
      </c>
      <c r="B135" s="12" t="s">
        <v>34</v>
      </c>
      <c r="C135" s="271" t="str">
        <f>'1stMay-30thApril'!E135</f>
        <v/>
      </c>
      <c r="D135" s="227">
        <v>1.0</v>
      </c>
      <c r="E135" s="280"/>
      <c r="F135" s="235" t="s">
        <v>35</v>
      </c>
      <c r="G135" s="235"/>
      <c r="H135" s="272">
        <f>'1stMay-30thApril'!J135</f>
        <v>0.251</v>
      </c>
      <c r="I135" s="281">
        <v>1.0</v>
      </c>
      <c r="J135" s="282">
        <f>0.4</f>
        <v>0.4</v>
      </c>
      <c r="K135" s="283">
        <v>1.0</v>
      </c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0.276</v>
      </c>
      <c r="N135" s="191"/>
      <c r="O135" s="247"/>
    </row>
    <row r="136">
      <c r="A136" s="12" t="s">
        <v>158</v>
      </c>
      <c r="B136" s="12" t="s">
        <v>34</v>
      </c>
      <c r="C136" s="271" t="str">
        <f>'1stMay-30thApril'!E136</f>
        <v/>
      </c>
      <c r="D136" s="191"/>
      <c r="E136" s="247"/>
      <c r="F136" s="235" t="s">
        <v>35</v>
      </c>
      <c r="G136" s="235"/>
      <c r="H136" s="272">
        <f>'1stMay-30thApril'!J136</f>
        <v>0.318</v>
      </c>
      <c r="I136" s="281">
        <v>1.0</v>
      </c>
      <c r="J136" s="282">
        <v>0.317</v>
      </c>
      <c r="K136" s="283">
        <v>1.0</v>
      </c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0.001</v>
      </c>
      <c r="N136" s="191"/>
      <c r="O136" s="247"/>
    </row>
    <row r="137">
      <c r="A137" s="12" t="s">
        <v>159</v>
      </c>
      <c r="B137" s="12" t="s">
        <v>34</v>
      </c>
      <c r="C137" s="271" t="str">
        <f>'1stMay-30thApril'!E137</f>
        <v/>
      </c>
      <c r="D137" s="191"/>
      <c r="E137" s="247"/>
      <c r="F137" s="235" t="s">
        <v>35</v>
      </c>
      <c r="G137" s="235"/>
      <c r="H137" s="272" t="str">
        <f>'1stMay-30thApril'!J137</f>
        <v/>
      </c>
      <c r="I137" s="281">
        <v>1.0</v>
      </c>
      <c r="J137" s="284"/>
      <c r="K137" s="283">
        <v>1.0</v>
      </c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'1stMay-30thApril'!E138</f>
        <v/>
      </c>
      <c r="D138" s="191"/>
      <c r="E138" s="247"/>
      <c r="F138" s="235" t="s">
        <v>35</v>
      </c>
      <c r="G138" s="235"/>
      <c r="H138" s="272">
        <f>'1stMay-30thApril'!J138</f>
        <v>0.456</v>
      </c>
      <c r="I138" s="281">
        <v>1.0</v>
      </c>
      <c r="J138" s="282">
        <v>0.418</v>
      </c>
      <c r="K138" s="283">
        <v>1.0</v>
      </c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0.038</v>
      </c>
      <c r="N138" s="191"/>
      <c r="O138" s="247"/>
    </row>
    <row r="139">
      <c r="A139" s="12" t="s">
        <v>161</v>
      </c>
      <c r="B139" s="12" t="s">
        <v>34</v>
      </c>
      <c r="C139" s="271" t="str">
        <f>'1stMay-30thApril'!E139</f>
        <v/>
      </c>
      <c r="D139" s="191"/>
      <c r="E139" s="247"/>
      <c r="F139" s="235" t="s">
        <v>35</v>
      </c>
      <c r="G139" s="285">
        <v>0.082</v>
      </c>
      <c r="H139" s="272">
        <f>'1stMay-30thApril'!J139</f>
        <v>0.318</v>
      </c>
      <c r="I139" s="281">
        <v>1.0</v>
      </c>
      <c r="J139" s="282">
        <v>0.4</v>
      </c>
      <c r="K139" s="283">
        <v>1.0</v>
      </c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</v>
      </c>
      <c r="N139" s="191"/>
      <c r="O139" s="247"/>
    </row>
    <row r="140">
      <c r="A140" s="12" t="s">
        <v>162</v>
      </c>
      <c r="B140" s="12" t="s">
        <v>34</v>
      </c>
      <c r="C140" s="271" t="str">
        <f>'1stMay-30thApril'!E140</f>
        <v/>
      </c>
      <c r="D140" s="191"/>
      <c r="E140" s="247"/>
      <c r="F140" s="235" t="s">
        <v>35</v>
      </c>
      <c r="G140" s="235"/>
      <c r="H140" s="272" t="str">
        <f>'1stMay-30thApril'!J140</f>
        <v/>
      </c>
      <c r="I140" s="281">
        <v>1.0</v>
      </c>
      <c r="J140" s="282"/>
      <c r="K140" s="283">
        <v>1.0</v>
      </c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71" t="str">
        <f>'1stMay-30thApril'!E141</f>
        <v/>
      </c>
      <c r="D141" s="227">
        <v>1.0</v>
      </c>
      <c r="E141" s="280">
        <v>1.0</v>
      </c>
      <c r="F141" s="235" t="s">
        <v>35</v>
      </c>
      <c r="G141" s="285"/>
      <c r="H141" s="272">
        <f>'1stMay-30thApril'!J141</f>
        <v>0.038</v>
      </c>
      <c r="I141" s="281">
        <v>1.0</v>
      </c>
      <c r="J141" s="282"/>
      <c r="K141" s="283">
        <v>1.0</v>
      </c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-0.272</v>
      </c>
      <c r="N141" s="191"/>
      <c r="O141" s="247"/>
    </row>
    <row r="142">
      <c r="A142" s="12" t="s">
        <v>164</v>
      </c>
      <c r="B142" s="12" t="s">
        <v>155</v>
      </c>
      <c r="C142" s="271" t="str">
        <f>'1stMay-30thApril'!E142</f>
        <v/>
      </c>
      <c r="D142" s="227">
        <v>1.0</v>
      </c>
      <c r="E142" s="247"/>
      <c r="F142" s="235" t="s">
        <v>35</v>
      </c>
      <c r="G142" s="235"/>
      <c r="H142" s="272" t="str">
        <f>'1stMay-30thApril'!J142</f>
        <v/>
      </c>
      <c r="I142" s="281">
        <v>1.0</v>
      </c>
      <c r="J142" s="282">
        <v>0.31</v>
      </c>
      <c r="K142" s="283">
        <v>1.0</v>
      </c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0.294</v>
      </c>
      <c r="N142" s="191"/>
      <c r="O142" s="247"/>
    </row>
    <row r="143">
      <c r="A143" s="12" t="s">
        <v>165</v>
      </c>
      <c r="B143" s="12" t="s">
        <v>155</v>
      </c>
      <c r="C143" s="271" t="str">
        <f>'1stMay-30thApril'!E143</f>
        <v/>
      </c>
      <c r="D143" s="191"/>
      <c r="E143" s="247"/>
      <c r="F143" s="235" t="s">
        <v>35</v>
      </c>
      <c r="G143" s="235"/>
      <c r="H143" s="272" t="str">
        <f>'1stMay-30thApril'!J143</f>
        <v/>
      </c>
      <c r="I143" s="281">
        <v>1.0</v>
      </c>
      <c r="J143" s="284"/>
      <c r="K143" s="283">
        <v>1.0</v>
      </c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'1stMay-30thApril'!E144</f>
        <v/>
      </c>
      <c r="D144" s="191"/>
      <c r="E144" s="247"/>
      <c r="F144" s="235" t="s">
        <v>35</v>
      </c>
      <c r="G144" s="235"/>
      <c r="H144" s="272" t="str">
        <f>'1stMay-30thApril'!J144</f>
        <v/>
      </c>
      <c r="I144" s="281">
        <v>1.0</v>
      </c>
      <c r="J144" s="284"/>
      <c r="K144" s="283">
        <v>1.0</v>
      </c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</v>
      </c>
      <c r="N144" s="191"/>
      <c r="O144" s="247"/>
    </row>
    <row r="145">
      <c r="A145" s="12" t="s">
        <v>167</v>
      </c>
      <c r="B145" s="12" t="s">
        <v>106</v>
      </c>
      <c r="C145" s="271" t="str">
        <f>'1stMay-30thApril'!E145</f>
        <v/>
      </c>
      <c r="D145" s="191"/>
      <c r="E145" s="247"/>
      <c r="F145" s="235" t="s">
        <v>35</v>
      </c>
      <c r="G145" s="235"/>
      <c r="H145" s="272">
        <f>'1stMay-30thApril'!J145</f>
        <v>0.196</v>
      </c>
      <c r="I145" s="281">
        <v>1.0</v>
      </c>
      <c r="J145" s="282">
        <v>0.054</v>
      </c>
      <c r="K145" s="283">
        <v>1.0</v>
      </c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0.142</v>
      </c>
      <c r="N145" s="191"/>
      <c r="O145" s="247"/>
    </row>
    <row r="146">
      <c r="A146" s="12" t="s">
        <v>168</v>
      </c>
      <c r="B146" s="12" t="s">
        <v>17</v>
      </c>
      <c r="C146" s="271" t="str">
        <f>'1stMay-30thApril'!E146</f>
        <v/>
      </c>
      <c r="D146" s="227"/>
      <c r="E146" s="247"/>
      <c r="F146" s="235" t="s">
        <v>35</v>
      </c>
      <c r="G146" s="235"/>
      <c r="H146" s="272">
        <f>'1stMay-30thApril'!J146</f>
        <v>0.699</v>
      </c>
      <c r="I146" s="281">
        <v>1.0</v>
      </c>
      <c r="J146" s="282">
        <v>0.613</v>
      </c>
      <c r="K146" s="283">
        <v>1.0</v>
      </c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0.086</v>
      </c>
      <c r="N146" s="191"/>
      <c r="O146" s="247"/>
    </row>
    <row r="147">
      <c r="A147" s="12" t="s">
        <v>169</v>
      </c>
      <c r="B147" s="12" t="s">
        <v>106</v>
      </c>
      <c r="C147" s="271" t="str">
        <f>'1stMay-30thApril'!E147</f>
        <v/>
      </c>
      <c r="D147" s="191"/>
      <c r="E147" s="247"/>
      <c r="F147" s="235" t="s">
        <v>35</v>
      </c>
      <c r="G147" s="235"/>
      <c r="H147" s="272" t="str">
        <f>'1stMay-30thApril'!J147</f>
        <v/>
      </c>
      <c r="I147" s="281">
        <v>1.0</v>
      </c>
      <c r="J147" s="284"/>
      <c r="K147" s="283">
        <v>1.0</v>
      </c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'1stMay-30thApril'!E148</f>
        <v/>
      </c>
      <c r="D148" s="191"/>
      <c r="E148" s="247"/>
      <c r="F148" s="235" t="s">
        <v>35</v>
      </c>
      <c r="G148" s="235"/>
      <c r="H148" s="272" t="str">
        <f>'1stMay-30thApril'!J148</f>
        <v/>
      </c>
      <c r="I148" s="281">
        <v>1.0</v>
      </c>
      <c r="J148" s="284"/>
      <c r="K148" s="283">
        <v>1.0</v>
      </c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/>
      <c r="D149" s="227">
        <v>1.0</v>
      </c>
      <c r="E149" s="280">
        <v>1.0</v>
      </c>
      <c r="F149" s="235" t="s">
        <v>14</v>
      </c>
      <c r="G149" s="235"/>
      <c r="H149" s="272">
        <f>'1stMay-30thApril'!J149</f>
        <v>0.057</v>
      </c>
      <c r="I149" s="281">
        <v>1.0</v>
      </c>
      <c r="J149" s="282"/>
      <c r="K149" s="283">
        <v>1.0</v>
      </c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-0.003</v>
      </c>
      <c r="N149" s="191"/>
      <c r="O149" s="247"/>
    </row>
    <row r="150">
      <c r="A150" s="11" t="s">
        <v>173</v>
      </c>
      <c r="B150" s="11" t="s">
        <v>106</v>
      </c>
      <c r="C150" s="271" t="str">
        <f>'1stMay-30thApril'!E150</f>
        <v/>
      </c>
      <c r="D150" s="287">
        <v>1.0</v>
      </c>
      <c r="E150" s="288"/>
      <c r="F150" s="235" t="s">
        <v>14</v>
      </c>
      <c r="G150" s="289"/>
      <c r="H150" s="272">
        <f>'1stMay-30thApril'!J150</f>
        <v>0.537</v>
      </c>
      <c r="I150" s="281">
        <v>1.0</v>
      </c>
      <c r="J150" s="301">
        <v>0.187</v>
      </c>
      <c r="K150" s="283">
        <v>1.0</v>
      </c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1.235</v>
      </c>
      <c r="N150" s="216"/>
      <c r="O150" s="292"/>
    </row>
    <row r="151">
      <c r="A151" s="22" t="s">
        <v>174</v>
      </c>
      <c r="B151" s="23" t="s">
        <v>106</v>
      </c>
      <c r="C151" s="271" t="str">
        <f>'1stMay-30thApril'!E151</f>
        <v/>
      </c>
      <c r="D151" s="216"/>
      <c r="E151" s="288"/>
      <c r="F151" s="235" t="s">
        <v>14</v>
      </c>
      <c r="G151" s="289"/>
      <c r="H151" s="272">
        <f>'1stMay-30thApril'!J151</f>
        <v>0.403</v>
      </c>
      <c r="I151" s="281">
        <v>1.0</v>
      </c>
      <c r="J151" s="301">
        <v>0.401</v>
      </c>
      <c r="K151" s="283">
        <v>1.0</v>
      </c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0.002</v>
      </c>
      <c r="N151" s="216"/>
      <c r="O151" s="292"/>
    </row>
    <row r="152">
      <c r="A152" s="10" t="s">
        <v>175</v>
      </c>
      <c r="B152" s="11"/>
      <c r="C152" s="271" t="str">
        <f>'1stMay-30thApril'!E152</f>
        <v/>
      </c>
      <c r="D152" s="191"/>
      <c r="E152" s="247"/>
      <c r="F152" s="235"/>
      <c r="G152" s="235"/>
      <c r="H152" s="272" t="str">
        <f>'1stMay-30thApril'!J152</f>
        <v/>
      </c>
      <c r="I152" s="281">
        <v>1.0</v>
      </c>
      <c r="J152" s="284"/>
      <c r="K152" s="283">
        <v>1.0</v>
      </c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'1stMay-30thApril'!E153</f>
        <v/>
      </c>
      <c r="D153" s="227">
        <v>5.0</v>
      </c>
      <c r="E153" s="247"/>
      <c r="F153" s="235" t="s">
        <v>25</v>
      </c>
      <c r="G153" s="235"/>
      <c r="H153" s="272" t="str">
        <f>'1stMay-30thApril'!J153</f>
        <v/>
      </c>
      <c r="I153" s="281">
        <v>1.0</v>
      </c>
      <c r="J153" s="284"/>
      <c r="K153" s="283">
        <v>1.0</v>
      </c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5</v>
      </c>
      <c r="N153" s="191"/>
      <c r="O153" s="247"/>
    </row>
    <row r="154">
      <c r="A154" s="12" t="s">
        <v>178</v>
      </c>
      <c r="B154" s="12" t="s">
        <v>35</v>
      </c>
      <c r="C154" s="271" t="str">
        <f>'1stMay-30thApril'!E154</f>
        <v/>
      </c>
      <c r="D154" s="227">
        <v>10.0</v>
      </c>
      <c r="E154" s="280">
        <v>6.0</v>
      </c>
      <c r="F154" s="235" t="s">
        <v>35</v>
      </c>
      <c r="G154" s="235"/>
      <c r="H154" s="272">
        <f>'1stMay-30thApril'!J154</f>
        <v>1</v>
      </c>
      <c r="I154" s="281">
        <v>1.0</v>
      </c>
      <c r="J154" s="282"/>
      <c r="K154" s="283">
        <v>1.0</v>
      </c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2.988</v>
      </c>
      <c r="N154" s="191"/>
      <c r="O154" s="247"/>
    </row>
    <row r="155">
      <c r="A155" s="12" t="s">
        <v>180</v>
      </c>
      <c r="B155" s="12" t="s">
        <v>35</v>
      </c>
      <c r="C155" s="271" t="str">
        <f>'1stMay-30thApril'!E155</f>
        <v/>
      </c>
      <c r="D155" s="191"/>
      <c r="E155" s="247"/>
      <c r="F155" s="235" t="s">
        <v>35</v>
      </c>
      <c r="G155" s="235"/>
      <c r="H155" s="272">
        <f>'1stMay-30thApril'!J155</f>
        <v>0.3</v>
      </c>
      <c r="I155" s="281">
        <v>1.0</v>
      </c>
      <c r="J155" s="284"/>
      <c r="K155" s="283">
        <v>1.0</v>
      </c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0.288</v>
      </c>
      <c r="N155" s="191"/>
      <c r="O155" s="247"/>
    </row>
    <row r="156">
      <c r="A156" s="12" t="s">
        <v>181</v>
      </c>
      <c r="B156" s="12" t="s">
        <v>35</v>
      </c>
      <c r="C156" s="271" t="str">
        <f>'1stMay-30thApril'!E156</f>
        <v/>
      </c>
      <c r="D156" s="191"/>
      <c r="E156" s="280"/>
      <c r="F156" s="235" t="s">
        <v>35</v>
      </c>
      <c r="G156" s="285">
        <v>1.978</v>
      </c>
      <c r="H156" s="272">
        <f>'1stMay-30thApril'!J156</f>
        <v>0.078</v>
      </c>
      <c r="I156" s="281">
        <v>1.0</v>
      </c>
      <c r="J156" s="282">
        <v>1.978</v>
      </c>
      <c r="K156" s="283">
        <v>1.0</v>
      </c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0.078</v>
      </c>
      <c r="N156" s="191"/>
      <c r="O156" s="247"/>
    </row>
    <row r="157">
      <c r="A157" s="12" t="s">
        <v>182</v>
      </c>
      <c r="B157" s="12" t="s">
        <v>35</v>
      </c>
      <c r="C157" s="271" t="str">
        <f>'1stMay-30thApril'!E157</f>
        <v/>
      </c>
      <c r="D157" s="191"/>
      <c r="E157" s="247"/>
      <c r="F157" s="235" t="s">
        <v>35</v>
      </c>
      <c r="G157" s="285"/>
      <c r="H157" s="272" t="str">
        <f>'1stMay-30thApril'!J157</f>
        <v/>
      </c>
      <c r="I157" s="281">
        <v>1.0</v>
      </c>
      <c r="J157" s="282"/>
      <c r="K157" s="283">
        <v>1.0</v>
      </c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</v>
      </c>
      <c r="N157" s="191"/>
      <c r="O157" s="247"/>
    </row>
    <row r="158">
      <c r="A158" s="12" t="s">
        <v>183</v>
      </c>
      <c r="B158" s="12" t="s">
        <v>35</v>
      </c>
      <c r="C158" s="271" t="str">
        <f>'1stMay-30thApril'!E158</f>
        <v/>
      </c>
      <c r="D158" s="191"/>
      <c r="E158" s="247"/>
      <c r="F158" s="235" t="s">
        <v>14</v>
      </c>
      <c r="G158" s="235"/>
      <c r="H158" s="272" t="str">
        <f>'1stMay-30thApril'!J158</f>
        <v/>
      </c>
      <c r="I158" s="281">
        <v>1.0</v>
      </c>
      <c r="J158" s="284"/>
      <c r="K158" s="283">
        <v>1.0</v>
      </c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'1stMay-30thApril'!E159</f>
        <v/>
      </c>
      <c r="D159" s="191"/>
      <c r="E159" s="247"/>
      <c r="F159" s="235"/>
      <c r="G159" s="235"/>
      <c r="H159" s="272" t="str">
        <f>'1stMay-30thApril'!J159</f>
        <v/>
      </c>
      <c r="I159" s="281">
        <v>1.0</v>
      </c>
      <c r="J159" s="284"/>
      <c r="K159" s="283">
        <v>1.0</v>
      </c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'1stMay-30thApril'!E160</f>
        <v/>
      </c>
      <c r="D160" s="227">
        <v>1.0</v>
      </c>
      <c r="E160" s="247"/>
      <c r="F160" s="235" t="s">
        <v>17</v>
      </c>
      <c r="G160" s="235"/>
      <c r="H160" s="272">
        <f>'1stMay-30thApril'!J160</f>
        <v>2</v>
      </c>
      <c r="I160" s="281">
        <v>1.0</v>
      </c>
      <c r="J160" s="284"/>
      <c r="K160" s="283">
        <v>1.0</v>
      </c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3</v>
      </c>
      <c r="N160" s="191"/>
      <c r="O160" s="247"/>
    </row>
    <row r="161">
      <c r="A161" s="12" t="s">
        <v>187</v>
      </c>
      <c r="B161" s="12" t="s">
        <v>17</v>
      </c>
      <c r="C161" s="271" t="str">
        <f>'1stMay-30thApril'!E161</f>
        <v/>
      </c>
      <c r="D161" s="227"/>
      <c r="E161" s="247"/>
      <c r="F161" s="235" t="s">
        <v>17</v>
      </c>
      <c r="G161" s="235"/>
      <c r="H161" s="272" t="str">
        <f>'1stMay-30thApril'!J161</f>
        <v/>
      </c>
      <c r="I161" s="281">
        <v>1.0</v>
      </c>
      <c r="J161" s="282"/>
      <c r="K161" s="283">
        <v>1.0</v>
      </c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0</v>
      </c>
      <c r="N161" s="191"/>
      <c r="O161" s="247"/>
    </row>
    <row r="162">
      <c r="A162" s="12" t="s">
        <v>188</v>
      </c>
      <c r="B162" s="12" t="s">
        <v>35</v>
      </c>
      <c r="C162" s="271" t="str">
        <f>'1stMay-30thApril'!E162</f>
        <v/>
      </c>
      <c r="D162" s="227">
        <v>4.5</v>
      </c>
      <c r="E162" s="247"/>
      <c r="F162" s="235" t="s">
        <v>35</v>
      </c>
      <c r="G162" s="235"/>
      <c r="H162" s="272" t="str">
        <f>'1stMay-30thApril'!J162</f>
        <v/>
      </c>
      <c r="I162" s="281">
        <v>1.0</v>
      </c>
      <c r="J162" s="284"/>
      <c r="K162" s="283">
        <v>1.0</v>
      </c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4.5</v>
      </c>
      <c r="N162" s="191"/>
      <c r="O162" s="247"/>
    </row>
    <row r="163">
      <c r="A163" s="12" t="s">
        <v>189</v>
      </c>
      <c r="B163" s="12" t="s">
        <v>17</v>
      </c>
      <c r="C163" s="271" t="str">
        <f>'1stMay-30thApril'!E163</f>
        <v/>
      </c>
      <c r="D163" s="227"/>
      <c r="E163" s="280"/>
      <c r="F163" s="235" t="s">
        <v>17</v>
      </c>
      <c r="G163" s="235"/>
      <c r="H163" s="272">
        <f>'1stMay-30thApril'!J163</f>
        <v>1</v>
      </c>
      <c r="I163" s="281">
        <v>1.0</v>
      </c>
      <c r="J163" s="282"/>
      <c r="K163" s="283">
        <v>1.0</v>
      </c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1</v>
      </c>
      <c r="N163" s="191"/>
      <c r="O163" s="247"/>
    </row>
    <row r="164">
      <c r="A164" s="12" t="s">
        <v>190</v>
      </c>
      <c r="B164" s="12" t="s">
        <v>17</v>
      </c>
      <c r="C164" s="271" t="str">
        <f>'1stMay-30thApril'!E164</f>
        <v/>
      </c>
      <c r="D164" s="191"/>
      <c r="E164" s="247"/>
      <c r="F164" s="235" t="s">
        <v>17</v>
      </c>
      <c r="G164" s="235"/>
      <c r="H164" s="272" t="str">
        <f>'1stMay-30thApril'!J164</f>
        <v/>
      </c>
      <c r="I164" s="281">
        <v>1.0</v>
      </c>
      <c r="J164" s="284"/>
      <c r="K164" s="283">
        <v>1.0</v>
      </c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'1stMay-30thApril'!E165</f>
        <v/>
      </c>
      <c r="D165" s="227">
        <v>1.5</v>
      </c>
      <c r="E165" s="247"/>
      <c r="F165" s="235" t="s">
        <v>35</v>
      </c>
      <c r="G165" s="235"/>
      <c r="H165" s="272" t="str">
        <f>'1stMay-30thApril'!J165</f>
        <v/>
      </c>
      <c r="I165" s="281">
        <v>1.0</v>
      </c>
      <c r="J165" s="282">
        <v>0.6</v>
      </c>
      <c r="K165" s="283">
        <v>1.0</v>
      </c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0.9</v>
      </c>
      <c r="N165" s="191"/>
      <c r="O165" s="247"/>
    </row>
    <row r="166">
      <c r="A166" s="12" t="s">
        <v>192</v>
      </c>
      <c r="B166" s="12" t="s">
        <v>35</v>
      </c>
      <c r="C166" s="271" t="str">
        <f>'1stMay-30thApril'!E166</f>
        <v/>
      </c>
      <c r="D166" s="227">
        <v>1.0</v>
      </c>
      <c r="E166" s="247"/>
      <c r="F166" s="235" t="s">
        <v>35</v>
      </c>
      <c r="G166" s="285"/>
      <c r="H166" s="272" t="str">
        <f>'1stMay-30thApril'!J166</f>
        <v/>
      </c>
      <c r="I166" s="281">
        <v>1.0</v>
      </c>
      <c r="J166" s="282"/>
      <c r="K166" s="283">
        <v>1.0</v>
      </c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1</v>
      </c>
      <c r="N166" s="191"/>
      <c r="O166" s="247"/>
    </row>
    <row r="167">
      <c r="A167" s="12" t="s">
        <v>193</v>
      </c>
      <c r="B167" s="12" t="s">
        <v>35</v>
      </c>
      <c r="C167" s="271" t="str">
        <f>'1stMay-30thApril'!E167</f>
        <v/>
      </c>
      <c r="D167" s="227">
        <v>7.3</v>
      </c>
      <c r="E167" s="247"/>
      <c r="F167" s="235" t="s">
        <v>35</v>
      </c>
      <c r="G167" s="235"/>
      <c r="H167" s="272">
        <f>'1stMay-30thApril'!J167</f>
        <v>1</v>
      </c>
      <c r="I167" s="281">
        <v>1.0</v>
      </c>
      <c r="J167" s="282">
        <v>1.0</v>
      </c>
      <c r="K167" s="283">
        <v>1.0</v>
      </c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7.3</v>
      </c>
      <c r="N167" s="191"/>
      <c r="O167" s="247"/>
    </row>
    <row r="168">
      <c r="A168" s="12" t="s">
        <v>194</v>
      </c>
      <c r="B168" s="12" t="s">
        <v>17</v>
      </c>
      <c r="C168" s="271" t="str">
        <f>'1stMay-30thApril'!E168</f>
        <v/>
      </c>
      <c r="D168" s="227">
        <v>1.0</v>
      </c>
      <c r="E168" s="247"/>
      <c r="F168" s="235" t="s">
        <v>17</v>
      </c>
      <c r="G168" s="235"/>
      <c r="H168" s="272" t="str">
        <f>'1stMay-30thApril'!J168</f>
        <v/>
      </c>
      <c r="I168" s="281">
        <v>1.0</v>
      </c>
      <c r="J168" s="284"/>
      <c r="K168" s="283">
        <v>1.0</v>
      </c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1</v>
      </c>
      <c r="N168" s="191"/>
      <c r="O168" s="247"/>
    </row>
    <row r="169">
      <c r="A169" s="12" t="s">
        <v>195</v>
      </c>
      <c r="B169" s="12" t="s">
        <v>35</v>
      </c>
      <c r="C169" s="271" t="str">
        <f>'1stMay-30thApril'!E169</f>
        <v/>
      </c>
      <c r="D169" s="227">
        <v>0.5</v>
      </c>
      <c r="E169" s="247"/>
      <c r="F169" s="235" t="s">
        <v>35</v>
      </c>
      <c r="G169" s="235"/>
      <c r="H169" s="272">
        <f>'1stMay-30thApril'!J169</f>
        <v>0.407</v>
      </c>
      <c r="I169" s="281">
        <v>1.0</v>
      </c>
      <c r="J169" s="282">
        <v>0.902</v>
      </c>
      <c r="K169" s="283">
        <v>1.0</v>
      </c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0.005</v>
      </c>
      <c r="N169" s="191"/>
      <c r="O169" s="247"/>
    </row>
    <row r="170">
      <c r="A170" s="12" t="s">
        <v>196</v>
      </c>
      <c r="B170" s="12" t="s">
        <v>35</v>
      </c>
      <c r="C170" s="271" t="str">
        <f>'1stMay-30thApril'!E170</f>
        <v/>
      </c>
      <c r="D170" s="227">
        <v>0.8</v>
      </c>
      <c r="E170" s="247"/>
      <c r="F170" s="235" t="s">
        <v>35</v>
      </c>
      <c r="G170" s="235"/>
      <c r="H170" s="272" t="str">
        <f>'1stMay-30thApril'!J170</f>
        <v/>
      </c>
      <c r="I170" s="281">
        <v>1.0</v>
      </c>
      <c r="J170" s="282">
        <v>0.7</v>
      </c>
      <c r="K170" s="283">
        <v>1.0</v>
      </c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0.1</v>
      </c>
      <c r="N170" s="191"/>
      <c r="O170" s="247"/>
    </row>
    <row r="171">
      <c r="A171" s="12" t="s">
        <v>197</v>
      </c>
      <c r="B171" s="12" t="s">
        <v>35</v>
      </c>
      <c r="C171" s="271" t="str">
        <f>'1stMay-30thApril'!E171</f>
        <v/>
      </c>
      <c r="D171" s="227">
        <v>1.0</v>
      </c>
      <c r="E171" s="247"/>
      <c r="F171" s="235" t="s">
        <v>35</v>
      </c>
      <c r="G171" s="285"/>
      <c r="H171" s="272">
        <f>'1stMay-30thApril'!J171</f>
        <v>0.5</v>
      </c>
      <c r="I171" s="281">
        <v>1.0</v>
      </c>
      <c r="J171" s="282">
        <v>0.5</v>
      </c>
      <c r="K171" s="283">
        <v>1.0</v>
      </c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1</v>
      </c>
      <c r="N171" s="191"/>
      <c r="O171" s="247"/>
    </row>
    <row r="172">
      <c r="A172" s="12" t="s">
        <v>198</v>
      </c>
      <c r="B172" s="12" t="s">
        <v>35</v>
      </c>
      <c r="C172" s="271" t="str">
        <f>'1stMay-30thApril'!E172</f>
        <v/>
      </c>
      <c r="D172" s="227">
        <v>1.5</v>
      </c>
      <c r="E172" s="247"/>
      <c r="F172" s="235" t="s">
        <v>35</v>
      </c>
      <c r="G172" s="235"/>
      <c r="H172" s="272">
        <f>'1stMay-30thApril'!J172</f>
        <v>0.181</v>
      </c>
      <c r="I172" s="281">
        <v>1.0</v>
      </c>
      <c r="J172" s="282">
        <v>1.0</v>
      </c>
      <c r="K172" s="283">
        <v>1.0</v>
      </c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0.681</v>
      </c>
      <c r="N172" s="191"/>
      <c r="O172" s="247"/>
    </row>
    <row r="173">
      <c r="A173" s="12" t="s">
        <v>199</v>
      </c>
      <c r="B173" s="12" t="s">
        <v>35</v>
      </c>
      <c r="C173" s="271" t="str">
        <f>'1stMay-30thApril'!E173</f>
        <v/>
      </c>
      <c r="D173" s="227">
        <v>1.0</v>
      </c>
      <c r="E173" s="247"/>
      <c r="F173" s="235" t="s">
        <v>35</v>
      </c>
      <c r="G173" s="235"/>
      <c r="H173" s="272">
        <f>'1stMay-30thApril'!J173</f>
        <v>0.091</v>
      </c>
      <c r="I173" s="281">
        <v>1.0</v>
      </c>
      <c r="J173" s="282">
        <v>0.302</v>
      </c>
      <c r="K173" s="283">
        <v>1.0</v>
      </c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0.789</v>
      </c>
      <c r="N173" s="191"/>
      <c r="O173" s="247"/>
    </row>
    <row r="174">
      <c r="A174" s="12" t="s">
        <v>200</v>
      </c>
      <c r="B174" s="12" t="s">
        <v>35</v>
      </c>
      <c r="C174" s="271" t="str">
        <f>'1stMay-30thApril'!E174</f>
        <v/>
      </c>
      <c r="D174" s="227">
        <v>1.0</v>
      </c>
      <c r="E174" s="247"/>
      <c r="F174" s="235" t="s">
        <v>35</v>
      </c>
      <c r="G174" s="235"/>
      <c r="H174" s="272">
        <f>'1stMay-30thApril'!J174</f>
        <v>0.214</v>
      </c>
      <c r="I174" s="281">
        <v>1.0</v>
      </c>
      <c r="J174" s="282">
        <v>0.512</v>
      </c>
      <c r="K174" s="283">
        <v>1.0</v>
      </c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0.702</v>
      </c>
      <c r="N174" s="191"/>
      <c r="O174" s="247"/>
    </row>
    <row r="175">
      <c r="A175" s="12" t="s">
        <v>201</v>
      </c>
      <c r="B175" s="12" t="s">
        <v>202</v>
      </c>
      <c r="C175" s="271" t="str">
        <f>'1stMay-30thApril'!E175</f>
        <v/>
      </c>
      <c r="D175" s="191"/>
      <c r="E175" s="247"/>
      <c r="F175" s="235" t="s">
        <v>202</v>
      </c>
      <c r="G175" s="235"/>
      <c r="H175" s="272" t="str">
        <f>'1stMay-30thApril'!J175</f>
        <v/>
      </c>
      <c r="I175" s="281">
        <v>1.0</v>
      </c>
      <c r="J175" s="284"/>
      <c r="K175" s="283">
        <v>1.0</v>
      </c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'1stMay-30thApril'!E176</f>
        <v/>
      </c>
      <c r="D176" s="191"/>
      <c r="E176" s="247"/>
      <c r="F176" s="235" t="s">
        <v>202</v>
      </c>
      <c r="G176" s="235"/>
      <c r="H176" s="272">
        <f>'1stMay-30thApril'!J176</f>
        <v>2</v>
      </c>
      <c r="I176" s="281">
        <v>1.0</v>
      </c>
      <c r="J176" s="282">
        <v>0.5</v>
      </c>
      <c r="K176" s="283">
        <v>1.0</v>
      </c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1.5</v>
      </c>
      <c r="N176" s="191"/>
      <c r="O176" s="247"/>
    </row>
    <row r="177">
      <c r="A177" s="12" t="s">
        <v>205</v>
      </c>
      <c r="B177" s="12" t="s">
        <v>202</v>
      </c>
      <c r="C177" s="271" t="str">
        <f>'1stMay-30thApril'!E177</f>
        <v/>
      </c>
      <c r="D177" s="227">
        <v>5.0</v>
      </c>
      <c r="E177" s="247"/>
      <c r="F177" s="235" t="s">
        <v>202</v>
      </c>
      <c r="G177" s="235"/>
      <c r="H177" s="272" t="str">
        <f>'1stMay-30thApril'!J177</f>
        <v/>
      </c>
      <c r="I177" s="281">
        <v>1.0</v>
      </c>
      <c r="J177" s="284"/>
      <c r="K177" s="283">
        <v>1.0</v>
      </c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5</v>
      </c>
      <c r="N177" s="191"/>
      <c r="O177" s="247"/>
    </row>
    <row r="178">
      <c r="A178" s="12" t="s">
        <v>206</v>
      </c>
      <c r="B178" s="12" t="s">
        <v>207</v>
      </c>
      <c r="C178" s="271" t="str">
        <f>'1stMay-30thApril'!E178</f>
        <v/>
      </c>
      <c r="D178" s="227">
        <v>1.0</v>
      </c>
      <c r="E178" s="247"/>
      <c r="F178" s="235" t="s">
        <v>17</v>
      </c>
      <c r="G178" s="235"/>
      <c r="H178" s="272">
        <f>'1stMay-30thApril'!J178</f>
        <v>16</v>
      </c>
      <c r="I178" s="281">
        <v>1.0</v>
      </c>
      <c r="J178" s="282">
        <v>23.0</v>
      </c>
      <c r="K178" s="283">
        <v>1.0</v>
      </c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23</v>
      </c>
      <c r="N178" s="191"/>
      <c r="O178" s="247"/>
    </row>
    <row r="179">
      <c r="A179" s="12" t="s">
        <v>209</v>
      </c>
      <c r="B179" s="12" t="s">
        <v>17</v>
      </c>
      <c r="C179" s="271" t="str">
        <f>'1stMay-30thApril'!E179</f>
        <v/>
      </c>
      <c r="D179" s="191"/>
      <c r="E179" s="247"/>
      <c r="F179" s="235" t="s">
        <v>17</v>
      </c>
      <c r="G179" s="235"/>
      <c r="H179" s="272" t="str">
        <f>'1stMay-30thApril'!J179</f>
        <v/>
      </c>
      <c r="I179" s="281">
        <v>1.0</v>
      </c>
      <c r="J179" s="284"/>
      <c r="K179" s="283">
        <v>1.0</v>
      </c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'1stMay-30thApril'!E180</f>
        <v/>
      </c>
      <c r="D180" s="191"/>
      <c r="E180" s="247"/>
      <c r="F180" s="235" t="s">
        <v>202</v>
      </c>
      <c r="G180" s="285"/>
      <c r="H180" s="272">
        <f>'1stMay-30thApril'!J180</f>
        <v>1</v>
      </c>
      <c r="I180" s="281">
        <v>1.0</v>
      </c>
      <c r="J180" s="282"/>
      <c r="K180" s="283">
        <v>1.0</v>
      </c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1</v>
      </c>
      <c r="N180" s="191"/>
      <c r="O180" s="247"/>
    </row>
    <row r="181">
      <c r="A181" s="12" t="s">
        <v>211</v>
      </c>
      <c r="B181" s="12" t="s">
        <v>202</v>
      </c>
      <c r="C181" s="271" t="str">
        <f>'1stMay-30thApril'!E181</f>
        <v/>
      </c>
      <c r="D181" s="227"/>
      <c r="E181" s="247"/>
      <c r="F181" s="235" t="s">
        <v>202</v>
      </c>
      <c r="G181" s="285">
        <v>0.5</v>
      </c>
      <c r="H181" s="272" t="str">
        <f>'1stMay-30thApril'!J181</f>
        <v/>
      </c>
      <c r="I181" s="281">
        <v>1.0</v>
      </c>
      <c r="J181" s="282">
        <v>0.5</v>
      </c>
      <c r="K181" s="283">
        <v>1.0</v>
      </c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71" t="str">
        <f>'1stMay-30thApril'!E182</f>
        <v/>
      </c>
      <c r="D182" s="227">
        <v>1.0</v>
      </c>
      <c r="E182" s="280">
        <v>1.0</v>
      </c>
      <c r="F182" s="235" t="s">
        <v>202</v>
      </c>
      <c r="G182" s="235"/>
      <c r="H182" s="272" t="str">
        <f>'1stMay-30thApril'!J182</f>
        <v/>
      </c>
      <c r="I182" s="281">
        <v>1.0</v>
      </c>
      <c r="J182" s="284"/>
      <c r="K182" s="283">
        <v>1.0</v>
      </c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</v>
      </c>
      <c r="N182" s="191"/>
      <c r="O182" s="247"/>
    </row>
    <row r="183">
      <c r="A183" s="12" t="s">
        <v>213</v>
      </c>
      <c r="B183" s="12" t="s">
        <v>35</v>
      </c>
      <c r="C183" s="271" t="str">
        <f>'1stMay-30thApril'!E183</f>
        <v/>
      </c>
      <c r="D183" s="191"/>
      <c r="E183" s="247"/>
      <c r="F183" s="235" t="s">
        <v>35</v>
      </c>
      <c r="G183" s="235"/>
      <c r="H183" s="272" t="str">
        <f>'1stMay-30thApril'!J183</f>
        <v/>
      </c>
      <c r="I183" s="281">
        <v>1.0</v>
      </c>
      <c r="J183" s="284"/>
      <c r="K183" s="283">
        <v>1.0</v>
      </c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'1stMay-30thApril'!E184</f>
        <v/>
      </c>
      <c r="D184" s="191"/>
      <c r="E184" s="247"/>
      <c r="F184" s="235" t="s">
        <v>35</v>
      </c>
      <c r="G184" s="235"/>
      <c r="H184" s="272">
        <f>'1stMay-30thApril'!J184</f>
        <v>0.25</v>
      </c>
      <c r="I184" s="281">
        <v>1.0</v>
      </c>
      <c r="J184" s="282">
        <v>0.25</v>
      </c>
      <c r="K184" s="283">
        <v>1.0</v>
      </c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</v>
      </c>
      <c r="N184" s="191"/>
      <c r="O184" s="247"/>
    </row>
    <row r="185">
      <c r="A185" s="12" t="s">
        <v>215</v>
      </c>
      <c r="B185" s="12" t="s">
        <v>35</v>
      </c>
      <c r="C185" s="271" t="str">
        <f>'1stMay-30thApril'!E185</f>
        <v/>
      </c>
      <c r="D185" s="227">
        <v>0.7</v>
      </c>
      <c r="E185" s="247"/>
      <c r="F185" s="235" t="s">
        <v>35</v>
      </c>
      <c r="G185" s="235"/>
      <c r="H185" s="272" t="str">
        <f>'1stMay-30thApril'!J185</f>
        <v/>
      </c>
      <c r="I185" s="281">
        <v>1.0</v>
      </c>
      <c r="J185" s="282">
        <v>0.107</v>
      </c>
      <c r="K185" s="283">
        <v>1.0</v>
      </c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0.593</v>
      </c>
      <c r="N185" s="191"/>
      <c r="O185" s="247"/>
    </row>
    <row r="186">
      <c r="A186" s="12" t="s">
        <v>216</v>
      </c>
      <c r="B186" s="12" t="s">
        <v>17</v>
      </c>
      <c r="C186" s="271" t="str">
        <f>'1stMay-30thApril'!E186</f>
        <v/>
      </c>
      <c r="D186" s="227">
        <v>1.0</v>
      </c>
      <c r="E186" s="247"/>
      <c r="F186" s="235" t="s">
        <v>17</v>
      </c>
      <c r="G186" s="235"/>
      <c r="H186" s="272">
        <f>'1stMay-30thApril'!J186</f>
        <v>1</v>
      </c>
      <c r="I186" s="281">
        <v>1.0</v>
      </c>
      <c r="J186" s="282">
        <v>2.0</v>
      </c>
      <c r="K186" s="283">
        <v>1.0</v>
      </c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</v>
      </c>
      <c r="N186" s="191"/>
      <c r="O186" s="247"/>
    </row>
    <row r="187">
      <c r="A187" s="12" t="s">
        <v>217</v>
      </c>
      <c r="B187" s="12" t="s">
        <v>35</v>
      </c>
      <c r="C187" s="271" t="str">
        <f>'1stMay-30thApril'!E187</f>
        <v/>
      </c>
      <c r="D187" s="227">
        <v>0.2</v>
      </c>
      <c r="E187" s="247"/>
      <c r="F187" s="235" t="s">
        <v>35</v>
      </c>
      <c r="G187" s="235"/>
      <c r="H187" s="272">
        <f>'1stMay-30thApril'!J187</f>
        <v>0.797</v>
      </c>
      <c r="I187" s="281">
        <v>1.0</v>
      </c>
      <c r="J187" s="282">
        <v>0.542</v>
      </c>
      <c r="K187" s="283">
        <v>1.0</v>
      </c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0.455</v>
      </c>
      <c r="N187" s="191"/>
      <c r="O187" s="247"/>
    </row>
    <row r="188">
      <c r="A188" s="12" t="s">
        <v>218</v>
      </c>
      <c r="B188" s="12" t="s">
        <v>17</v>
      </c>
      <c r="C188" s="271" t="str">
        <f>'1stMay-30thApril'!E188</f>
        <v/>
      </c>
      <c r="D188" s="227"/>
      <c r="E188" s="247"/>
      <c r="F188" s="235" t="s">
        <v>17</v>
      </c>
      <c r="G188" s="235"/>
      <c r="H188" s="272">
        <f>'1stMay-30thApril'!J188</f>
        <v>4</v>
      </c>
      <c r="I188" s="281">
        <v>1.0</v>
      </c>
      <c r="J188" s="282">
        <v>2.5</v>
      </c>
      <c r="K188" s="283">
        <v>1.0</v>
      </c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1.5</v>
      </c>
      <c r="N188" s="191"/>
      <c r="O188" s="247"/>
    </row>
    <row r="189">
      <c r="A189" s="12" t="s">
        <v>220</v>
      </c>
      <c r="B189" s="12" t="s">
        <v>35</v>
      </c>
      <c r="C189" s="271" t="str">
        <f>'1stMay-30thApril'!E189</f>
        <v/>
      </c>
      <c r="D189" s="191"/>
      <c r="E189" s="247"/>
      <c r="F189" s="235" t="s">
        <v>35</v>
      </c>
      <c r="G189" s="235"/>
      <c r="H189" s="272" t="str">
        <f>'1stMay-30thApril'!J189</f>
        <v/>
      </c>
      <c r="I189" s="281">
        <v>1.0</v>
      </c>
      <c r="J189" s="284"/>
      <c r="K189" s="283">
        <v>1.0</v>
      </c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'1stMay-30thApril'!E190</f>
        <v/>
      </c>
      <c r="D190" s="227">
        <v>2.0</v>
      </c>
      <c r="E190" s="247"/>
      <c r="F190" s="235" t="s">
        <v>17</v>
      </c>
      <c r="G190" s="235"/>
      <c r="H190" s="272">
        <f>'1stMay-30thApril'!J190</f>
        <v>7</v>
      </c>
      <c r="I190" s="281">
        <v>1.0</v>
      </c>
      <c r="J190" s="282">
        <v>1.5</v>
      </c>
      <c r="K190" s="283">
        <v>1.0</v>
      </c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7.5</v>
      </c>
      <c r="N190" s="191"/>
      <c r="O190" s="247"/>
    </row>
    <row r="191">
      <c r="A191" s="12" t="s">
        <v>222</v>
      </c>
      <c r="B191" s="12" t="s">
        <v>17</v>
      </c>
      <c r="C191" s="271" t="str">
        <f>'1stMay-30thApril'!E191</f>
        <v/>
      </c>
      <c r="D191" s="191"/>
      <c r="E191" s="247"/>
      <c r="F191" s="235" t="s">
        <v>17</v>
      </c>
      <c r="G191" s="235"/>
      <c r="H191" s="272" t="str">
        <f>'1stMay-30thApril'!J191</f>
        <v/>
      </c>
      <c r="I191" s="281">
        <v>1.0</v>
      </c>
      <c r="J191" s="284"/>
      <c r="K191" s="283">
        <v>1.0</v>
      </c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'1stMay-30thApril'!E192</f>
        <v/>
      </c>
      <c r="D192" s="227">
        <v>3.0</v>
      </c>
      <c r="E192" s="247"/>
      <c r="F192" s="235" t="s">
        <v>17</v>
      </c>
      <c r="G192" s="235"/>
      <c r="H192" s="272" t="str">
        <f>'1stMay-30thApril'!J192</f>
        <v/>
      </c>
      <c r="I192" s="281">
        <v>1.0</v>
      </c>
      <c r="J192" s="284"/>
      <c r="K192" s="283">
        <v>1.0</v>
      </c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3</v>
      </c>
      <c r="N192" s="191"/>
      <c r="O192" s="247"/>
    </row>
    <row r="193">
      <c r="A193" s="12" t="s">
        <v>224</v>
      </c>
      <c r="B193" s="12" t="s">
        <v>202</v>
      </c>
      <c r="C193" s="271" t="str">
        <f>'1stMay-30thApril'!E193</f>
        <v/>
      </c>
      <c r="D193" s="227">
        <v>1.0</v>
      </c>
      <c r="E193" s="247"/>
      <c r="F193" s="235" t="s">
        <v>202</v>
      </c>
      <c r="G193" s="235"/>
      <c r="H193" s="272">
        <f>'1stMay-30thApril'!J193</f>
        <v>1</v>
      </c>
      <c r="I193" s="281">
        <v>1.0</v>
      </c>
      <c r="J193" s="282">
        <v>1.0</v>
      </c>
      <c r="K193" s="283">
        <v>1.0</v>
      </c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1</v>
      </c>
      <c r="N193" s="191"/>
      <c r="O193" s="247"/>
    </row>
    <row r="194">
      <c r="A194" s="12" t="s">
        <v>225</v>
      </c>
      <c r="B194" s="12" t="s">
        <v>35</v>
      </c>
      <c r="C194" s="271" t="str">
        <f>'1stMay-30thApril'!E194</f>
        <v/>
      </c>
      <c r="D194" s="191"/>
      <c r="E194" s="247"/>
      <c r="F194" s="235" t="s">
        <v>35</v>
      </c>
      <c r="G194" s="235"/>
      <c r="H194" s="272">
        <f>'1stMay-30thApril'!J194</f>
        <v>1</v>
      </c>
      <c r="I194" s="281">
        <v>1.0</v>
      </c>
      <c r="J194" s="282">
        <v>1.0</v>
      </c>
      <c r="K194" s="283">
        <v>1.0</v>
      </c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</v>
      </c>
      <c r="N194" s="191"/>
      <c r="O194" s="247"/>
    </row>
    <row r="195">
      <c r="A195" s="12" t="s">
        <v>227</v>
      </c>
      <c r="B195" s="12" t="s">
        <v>35</v>
      </c>
      <c r="C195" s="271" t="str">
        <f>'1stMay-30thApril'!E195</f>
        <v/>
      </c>
      <c r="D195" s="191"/>
      <c r="E195" s="247"/>
      <c r="F195" s="235" t="s">
        <v>35</v>
      </c>
      <c r="G195" s="285"/>
      <c r="H195" s="272">
        <f>'1stMay-30thApril'!J195</f>
        <v>0.009</v>
      </c>
      <c r="I195" s="281">
        <v>1.0</v>
      </c>
      <c r="J195" s="282">
        <v>0.009</v>
      </c>
      <c r="K195" s="283">
        <v>1.0</v>
      </c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</v>
      </c>
      <c r="N195" s="191"/>
      <c r="O195" s="247"/>
    </row>
    <row r="196">
      <c r="A196" s="12" t="s">
        <v>228</v>
      </c>
      <c r="B196" s="12" t="s">
        <v>155</v>
      </c>
      <c r="C196" s="271" t="str">
        <f>'1stMay-30thApril'!E196</f>
        <v/>
      </c>
      <c r="D196" s="227">
        <v>1.0</v>
      </c>
      <c r="E196" s="280">
        <v>1.0</v>
      </c>
      <c r="F196" s="235" t="s">
        <v>35</v>
      </c>
      <c r="G196" s="235"/>
      <c r="H196" s="272">
        <f>'1stMay-30thApril'!J196</f>
        <v>0.25</v>
      </c>
      <c r="I196" s="281">
        <v>1.0</v>
      </c>
      <c r="J196" s="282">
        <v>0.25</v>
      </c>
      <c r="K196" s="283">
        <v>1.0</v>
      </c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</v>
      </c>
      <c r="N196" s="191"/>
      <c r="O196" s="247"/>
    </row>
    <row r="197">
      <c r="A197" s="12" t="s">
        <v>229</v>
      </c>
      <c r="B197" s="12" t="s">
        <v>17</v>
      </c>
      <c r="C197" s="271" t="str">
        <f>'1stMay-30thApril'!E197</f>
        <v/>
      </c>
      <c r="D197" s="227">
        <v>3.0</v>
      </c>
      <c r="E197" s="247"/>
      <c r="F197" s="235" t="s">
        <v>17</v>
      </c>
      <c r="G197" s="235"/>
      <c r="H197" s="272" t="str">
        <f>'1stMay-30thApril'!J197</f>
        <v/>
      </c>
      <c r="I197" s="281">
        <v>1.0</v>
      </c>
      <c r="J197" s="282"/>
      <c r="K197" s="283">
        <v>1.0</v>
      </c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3</v>
      </c>
      <c r="N197" s="191"/>
      <c r="O197" s="247"/>
    </row>
    <row r="198">
      <c r="A198" s="12" t="s">
        <v>231</v>
      </c>
      <c r="B198" s="12" t="s">
        <v>35</v>
      </c>
      <c r="C198" s="271" t="str">
        <f>'1stMay-30thApril'!E198</f>
        <v/>
      </c>
      <c r="D198" s="227">
        <v>0.8</v>
      </c>
      <c r="E198" s="247"/>
      <c r="F198" s="235" t="s">
        <v>35</v>
      </c>
      <c r="G198" s="235"/>
      <c r="H198" s="272">
        <f>'1stMay-30thApril'!J198</f>
        <v>0.209</v>
      </c>
      <c r="I198" s="281">
        <v>1.0</v>
      </c>
      <c r="J198" s="282"/>
      <c r="K198" s="283">
        <v>1.0</v>
      </c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1.009</v>
      </c>
      <c r="N198" s="191"/>
      <c r="O198" s="247"/>
    </row>
    <row r="199">
      <c r="A199" s="12" t="s">
        <v>232</v>
      </c>
      <c r="B199" s="12" t="s">
        <v>202</v>
      </c>
      <c r="C199" s="271" t="str">
        <f>'1stMay-30thApril'!E199</f>
        <v/>
      </c>
      <c r="D199" s="191"/>
      <c r="E199" s="247"/>
      <c r="F199" s="235" t="s">
        <v>202</v>
      </c>
      <c r="G199" s="285"/>
      <c r="H199" s="272">
        <f>'1stMay-30thApril'!J199</f>
        <v>1</v>
      </c>
      <c r="I199" s="281">
        <v>1.0</v>
      </c>
      <c r="J199" s="282">
        <v>1.0</v>
      </c>
      <c r="K199" s="283">
        <v>1.0</v>
      </c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</v>
      </c>
      <c r="N199" s="191"/>
      <c r="O199" s="247"/>
    </row>
    <row r="200">
      <c r="A200" s="12" t="s">
        <v>233</v>
      </c>
      <c r="B200" s="12" t="s">
        <v>17</v>
      </c>
      <c r="C200" s="271" t="str">
        <f>'1stMay-30thApril'!E200</f>
        <v/>
      </c>
      <c r="D200" s="227"/>
      <c r="E200" s="280"/>
      <c r="F200" s="235" t="s">
        <v>234</v>
      </c>
      <c r="G200" s="285"/>
      <c r="H200" s="272">
        <f>'1stMay-30thApril'!J200</f>
        <v>0.5</v>
      </c>
      <c r="I200" s="281">
        <v>1.0</v>
      </c>
      <c r="J200" s="282"/>
      <c r="K200" s="283">
        <v>1.0</v>
      </c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0.5</v>
      </c>
      <c r="N200" s="191"/>
      <c r="O200" s="247"/>
    </row>
    <row r="201">
      <c r="A201" s="25" t="s">
        <v>235</v>
      </c>
      <c r="B201" s="26" t="s">
        <v>202</v>
      </c>
      <c r="C201" s="271" t="str">
        <f>'1stMay-30thApril'!E201</f>
        <v/>
      </c>
      <c r="D201" s="227"/>
      <c r="E201" s="247"/>
      <c r="F201" s="235" t="s">
        <v>202</v>
      </c>
      <c r="G201" s="235"/>
      <c r="H201" s="272" t="str">
        <f>'1stMay-30thApril'!J201</f>
        <v/>
      </c>
      <c r="I201" s="281">
        <v>1.0</v>
      </c>
      <c r="J201" s="284"/>
      <c r="K201" s="283">
        <v>1.0</v>
      </c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</v>
      </c>
      <c r="N201" s="191"/>
      <c r="O201" s="247"/>
    </row>
    <row r="202">
      <c r="A202" s="25" t="s">
        <v>236</v>
      </c>
      <c r="B202" s="26" t="s">
        <v>237</v>
      </c>
      <c r="C202" s="271" t="str">
        <f>'1stMay-30thApril'!E202</f>
        <v/>
      </c>
      <c r="D202" s="191"/>
      <c r="E202" s="247"/>
      <c r="F202" s="235" t="s">
        <v>35</v>
      </c>
      <c r="G202" s="285">
        <v>0.491</v>
      </c>
      <c r="H202" s="272" t="str">
        <f>'1stMay-30thApril'!J202</f>
        <v/>
      </c>
      <c r="I202" s="281">
        <v>1.0</v>
      </c>
      <c r="J202" s="282">
        <v>0.491</v>
      </c>
      <c r="K202" s="283">
        <v>1.0</v>
      </c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</v>
      </c>
      <c r="N202" s="191"/>
      <c r="O202" s="247"/>
    </row>
    <row r="203">
      <c r="A203" s="25" t="s">
        <v>238</v>
      </c>
      <c r="B203" s="26" t="s">
        <v>202</v>
      </c>
      <c r="C203" s="271" t="str">
        <f>'1stMay-30thApril'!E203</f>
        <v/>
      </c>
      <c r="D203" s="227"/>
      <c r="E203" s="247"/>
      <c r="F203" s="235" t="s">
        <v>202</v>
      </c>
      <c r="G203" s="285">
        <v>1.0</v>
      </c>
      <c r="H203" s="272" t="str">
        <f>'1stMay-30thApril'!J203</f>
        <v/>
      </c>
      <c r="I203" s="281">
        <v>1.0</v>
      </c>
      <c r="J203" s="282">
        <v>1.0</v>
      </c>
      <c r="K203" s="283">
        <v>1.0</v>
      </c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71" t="str">
        <f>'1stMay-30thApril'!E204</f>
        <v/>
      </c>
      <c r="D204" s="191"/>
      <c r="E204" s="247"/>
      <c r="F204" s="235" t="s">
        <v>35</v>
      </c>
      <c r="G204" s="235"/>
      <c r="H204" s="272" t="str">
        <f>'1stMay-30thApril'!J204</f>
        <v/>
      </c>
      <c r="I204" s="281">
        <v>1.0</v>
      </c>
      <c r="J204" s="284"/>
      <c r="K204" s="283">
        <v>1.0</v>
      </c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'1stMay-30thApril'!E205</f>
        <v/>
      </c>
      <c r="D205" s="227"/>
      <c r="E205" s="247"/>
      <c r="F205" s="235" t="s">
        <v>17</v>
      </c>
      <c r="G205" s="235"/>
      <c r="H205" s="272">
        <f>'1stMay-30thApril'!J205</f>
        <v>3</v>
      </c>
      <c r="I205" s="281">
        <v>1.0</v>
      </c>
      <c r="J205" s="282">
        <v>3.0</v>
      </c>
      <c r="K205" s="283">
        <v>1.0</v>
      </c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0</v>
      </c>
      <c r="N205" s="191"/>
      <c r="O205" s="247"/>
    </row>
    <row r="206">
      <c r="A206" s="12" t="s">
        <v>242</v>
      </c>
      <c r="B206" s="12" t="s">
        <v>35</v>
      </c>
      <c r="C206" s="271" t="str">
        <f>'1stMay-30thApril'!E206</f>
        <v/>
      </c>
      <c r="D206" s="227">
        <v>200.0</v>
      </c>
      <c r="E206" s="247"/>
      <c r="F206" s="235" t="s">
        <v>35</v>
      </c>
      <c r="G206" s="235"/>
      <c r="H206" s="272">
        <f>'1stMay-30thApril'!J206</f>
        <v>109</v>
      </c>
      <c r="I206" s="281">
        <v>1.0</v>
      </c>
      <c r="J206" s="282">
        <v>208.5</v>
      </c>
      <c r="K206" s="283">
        <v>1.0</v>
      </c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100.5</v>
      </c>
      <c r="N206" s="191"/>
      <c r="O206" s="247"/>
    </row>
    <row r="207">
      <c r="A207" s="12" t="s">
        <v>243</v>
      </c>
      <c r="B207" s="12" t="s">
        <v>241</v>
      </c>
      <c r="C207" s="271" t="str">
        <f>'1stMay-30thApril'!E207</f>
        <v/>
      </c>
      <c r="D207" s="227">
        <v>9.0</v>
      </c>
      <c r="E207" s="280">
        <v>4.0</v>
      </c>
      <c r="F207" s="235" t="s">
        <v>17</v>
      </c>
      <c r="G207" s="285"/>
      <c r="H207" s="272">
        <f>'1stMay-30thApril'!J207</f>
        <v>3</v>
      </c>
      <c r="I207" s="281">
        <v>1.0</v>
      </c>
      <c r="J207" s="282"/>
      <c r="K207" s="283">
        <v>1.0</v>
      </c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8</v>
      </c>
      <c r="N207" s="191"/>
      <c r="O207" s="247"/>
    </row>
    <row r="208">
      <c r="A208" s="10" t="s">
        <v>245</v>
      </c>
      <c r="B208" s="11"/>
      <c r="C208" s="271" t="str">
        <f>'1stMay-30thApril'!E208</f>
        <v/>
      </c>
      <c r="D208" s="191"/>
      <c r="E208" s="247"/>
      <c r="F208" s="235"/>
      <c r="G208" s="235"/>
      <c r="H208" s="272" t="str">
        <f>'1stMay-30thApril'!J208</f>
        <v/>
      </c>
      <c r="I208" s="281">
        <v>1.0</v>
      </c>
      <c r="J208" s="284"/>
      <c r="K208" s="283">
        <v>1.0</v>
      </c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'1stMay-30thApril'!E209</f>
        <v/>
      </c>
      <c r="D209" s="227"/>
      <c r="E209" s="247"/>
      <c r="F209" s="235" t="s">
        <v>155</v>
      </c>
      <c r="G209" s="285"/>
      <c r="H209" s="272" t="str">
        <f>'1stMay-30thApril'!J209</f>
        <v/>
      </c>
      <c r="I209" s="281">
        <v>1.0</v>
      </c>
      <c r="J209" s="282"/>
      <c r="K209" s="283">
        <v>1.0</v>
      </c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</v>
      </c>
      <c r="N209" s="191"/>
      <c r="O209" s="247"/>
    </row>
    <row r="210">
      <c r="A210" s="12" t="s">
        <v>247</v>
      </c>
      <c r="B210" s="13" t="s">
        <v>59</v>
      </c>
      <c r="C210" s="271" t="str">
        <f>'1stMay-30thApril'!E210</f>
        <v/>
      </c>
      <c r="D210" s="227">
        <v>2.0</v>
      </c>
      <c r="E210" s="280">
        <v>1.0</v>
      </c>
      <c r="F210" s="235" t="s">
        <v>35</v>
      </c>
      <c r="G210" s="235"/>
      <c r="H210" s="272" t="str">
        <f>'1stMay-30thApril'!J210</f>
        <v/>
      </c>
      <c r="I210" s="281">
        <v>1.0</v>
      </c>
      <c r="J210" s="282"/>
      <c r="K210" s="283">
        <v>1.0</v>
      </c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0.5</v>
      </c>
      <c r="N210" s="191"/>
      <c r="O210" s="247"/>
    </row>
    <row r="211">
      <c r="A211" s="12" t="s">
        <v>248</v>
      </c>
      <c r="B211" s="13" t="s">
        <v>59</v>
      </c>
      <c r="C211" s="271" t="str">
        <f>'1stMay-30thApril'!E211</f>
        <v/>
      </c>
      <c r="D211" s="227">
        <v>1.0</v>
      </c>
      <c r="E211" s="280">
        <v>1.0</v>
      </c>
      <c r="F211" s="235" t="s">
        <v>35</v>
      </c>
      <c r="G211" s="235"/>
      <c r="H211" s="272">
        <f>'1stMay-30thApril'!J211</f>
        <v>1</v>
      </c>
      <c r="I211" s="281">
        <v>1.0</v>
      </c>
      <c r="J211" s="282">
        <v>1.0</v>
      </c>
      <c r="K211" s="283">
        <v>1.0</v>
      </c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247"/>
    </row>
    <row r="212">
      <c r="A212" s="12" t="s">
        <v>250</v>
      </c>
      <c r="B212" s="13" t="s">
        <v>59</v>
      </c>
      <c r="C212" s="271" t="str">
        <f>'1stMay-30thApril'!E212</f>
        <v/>
      </c>
      <c r="D212" s="191"/>
      <c r="E212" s="280"/>
      <c r="F212" s="235" t="s">
        <v>35</v>
      </c>
      <c r="G212" s="235"/>
      <c r="H212" s="272">
        <f>'1stMay-30thApril'!J212</f>
        <v>0.198</v>
      </c>
      <c r="I212" s="281">
        <v>1.0</v>
      </c>
      <c r="J212" s="282">
        <v>0.198</v>
      </c>
      <c r="K212" s="283">
        <v>1.0</v>
      </c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</v>
      </c>
      <c r="N212" s="191"/>
      <c r="O212" s="247"/>
    </row>
    <row r="213">
      <c r="A213" s="12" t="s">
        <v>251</v>
      </c>
      <c r="B213" s="13" t="s">
        <v>34</v>
      </c>
      <c r="C213" s="271" t="str">
        <f>'1stMay-30thApril'!E213</f>
        <v/>
      </c>
      <c r="D213" s="191"/>
      <c r="E213" s="247"/>
      <c r="F213" s="235" t="s">
        <v>35</v>
      </c>
      <c r="G213" s="235"/>
      <c r="H213" s="272" t="str">
        <f>'1stMay-30thApril'!J213</f>
        <v/>
      </c>
      <c r="I213" s="281">
        <v>1.0</v>
      </c>
      <c r="J213" s="284"/>
      <c r="K213" s="283">
        <v>1.0</v>
      </c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'1stMay-30thApril'!E214</f>
        <v/>
      </c>
      <c r="D214" s="191"/>
      <c r="E214" s="247"/>
      <c r="F214" s="235"/>
      <c r="G214" s="235"/>
      <c r="H214" s="272" t="str">
        <f>'1stMay-30thApril'!J214</f>
        <v/>
      </c>
      <c r="I214" s="281">
        <v>1.0</v>
      </c>
      <c r="J214" s="284"/>
      <c r="K214" s="283">
        <v>1.0</v>
      </c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'1stMay-30thApril'!E215</f>
        <v/>
      </c>
      <c r="D215" s="191"/>
      <c r="E215" s="247"/>
      <c r="F215" s="235" t="s">
        <v>254</v>
      </c>
      <c r="G215" s="235"/>
      <c r="H215" s="272" t="str">
        <f>'1stMay-30thApril'!J215</f>
        <v/>
      </c>
      <c r="I215" s="281">
        <v>1.0</v>
      </c>
      <c r="J215" s="284"/>
      <c r="K215" s="283">
        <v>1.0</v>
      </c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'1stMay-30thApril'!E216</f>
        <v/>
      </c>
      <c r="D216" s="191"/>
      <c r="E216" s="247"/>
      <c r="F216" s="235" t="s">
        <v>234</v>
      </c>
      <c r="G216" s="235"/>
      <c r="H216" s="272" t="str">
        <f>'1stMay-30thApril'!J216</f>
        <v/>
      </c>
      <c r="I216" s="281">
        <v>1.0</v>
      </c>
      <c r="J216" s="284"/>
      <c r="K216" s="283">
        <v>1.0</v>
      </c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'1stMay-30thApril'!E217</f>
        <v/>
      </c>
      <c r="D217" s="227"/>
      <c r="E217" s="247"/>
      <c r="F217" s="235" t="s">
        <v>17</v>
      </c>
      <c r="G217" s="235"/>
      <c r="H217" s="272">
        <f>'1stMay-30thApril'!J217</f>
        <v>14</v>
      </c>
      <c r="I217" s="281">
        <v>1.0</v>
      </c>
      <c r="J217" s="282">
        <v>12.0</v>
      </c>
      <c r="K217" s="283">
        <v>1.0</v>
      </c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2</v>
      </c>
      <c r="N217" s="191"/>
      <c r="O217" s="247"/>
    </row>
    <row r="218">
      <c r="A218" s="12" t="s">
        <v>260</v>
      </c>
      <c r="B218" s="12" t="s">
        <v>261</v>
      </c>
      <c r="C218" s="271" t="str">
        <f>'1stMay-30thApril'!E218</f>
        <v/>
      </c>
      <c r="D218" s="191"/>
      <c r="E218" s="247"/>
      <c r="F218" s="235" t="s">
        <v>35</v>
      </c>
      <c r="G218" s="235"/>
      <c r="H218" s="272">
        <f>'1stMay-30thApril'!J218</f>
        <v>2.454</v>
      </c>
      <c r="I218" s="281">
        <v>1.0</v>
      </c>
      <c r="J218" s="282">
        <v>1.815</v>
      </c>
      <c r="K218" s="283">
        <v>1.0</v>
      </c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0.639</v>
      </c>
      <c r="N218" s="191"/>
      <c r="O218" s="247"/>
    </row>
    <row r="219">
      <c r="A219" s="12" t="s">
        <v>263</v>
      </c>
      <c r="B219" s="12" t="s">
        <v>17</v>
      </c>
      <c r="C219" s="271" t="str">
        <f>'1stMay-30thApril'!E219</f>
        <v/>
      </c>
      <c r="D219" s="227">
        <v>50.0</v>
      </c>
      <c r="E219" s="247"/>
      <c r="F219" s="235" t="s">
        <v>17</v>
      </c>
      <c r="G219" s="235"/>
      <c r="H219" s="272">
        <f>'1stMay-30thApril'!J219</f>
        <v>16</v>
      </c>
      <c r="I219" s="281">
        <v>1.0</v>
      </c>
      <c r="J219" s="282">
        <v>43.0</v>
      </c>
      <c r="K219" s="283">
        <v>1.0</v>
      </c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23</v>
      </c>
      <c r="N219" s="191"/>
      <c r="O219" s="247"/>
    </row>
    <row r="220">
      <c r="A220" s="12" t="s">
        <v>264</v>
      </c>
      <c r="B220" s="12" t="s">
        <v>261</v>
      </c>
      <c r="C220" s="271" t="str">
        <f>'1stMay-30thApril'!E220</f>
        <v/>
      </c>
      <c r="D220" s="191"/>
      <c r="E220" s="247"/>
      <c r="F220" s="235" t="s">
        <v>35</v>
      </c>
      <c r="G220" s="235"/>
      <c r="H220" s="272">
        <f>'1stMay-30thApril'!J220</f>
        <v>1.105</v>
      </c>
      <c r="I220" s="281">
        <v>1.0</v>
      </c>
      <c r="J220" s="282">
        <v>0.816</v>
      </c>
      <c r="K220" s="283">
        <v>1.0</v>
      </c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0.289</v>
      </c>
      <c r="N220" s="191"/>
      <c r="O220" s="247"/>
    </row>
    <row r="221">
      <c r="A221" s="12" t="s">
        <v>265</v>
      </c>
      <c r="B221" s="12" t="s">
        <v>40</v>
      </c>
      <c r="C221" s="271" t="str">
        <f>'1stMay-30thApril'!E221</f>
        <v/>
      </c>
      <c r="D221" s="227">
        <v>2.0</v>
      </c>
      <c r="E221" s="247"/>
      <c r="F221" s="235" t="s">
        <v>17</v>
      </c>
      <c r="G221" s="235"/>
      <c r="H221" s="272">
        <f>'1stMay-30thApril'!J221</f>
        <v>34</v>
      </c>
      <c r="I221" s="281">
        <v>1.0</v>
      </c>
      <c r="J221" s="282">
        <v>59.0</v>
      </c>
      <c r="K221" s="283">
        <v>1.0</v>
      </c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25</v>
      </c>
      <c r="N221" s="191"/>
      <c r="O221" s="247"/>
    </row>
    <row r="222">
      <c r="A222" s="12" t="s">
        <v>266</v>
      </c>
      <c r="B222" s="12" t="s">
        <v>267</v>
      </c>
      <c r="C222" s="271" t="str">
        <f>'1stMay-30thApril'!E222</f>
        <v/>
      </c>
      <c r="D222" s="191"/>
      <c r="E222" s="247"/>
      <c r="F222" s="235" t="s">
        <v>17</v>
      </c>
      <c r="G222" s="285">
        <v>25.0</v>
      </c>
      <c r="H222" s="272">
        <f>'1stMay-30thApril'!J222</f>
        <v>41</v>
      </c>
      <c r="I222" s="281">
        <v>1.0</v>
      </c>
      <c r="J222" s="282">
        <v>59.0</v>
      </c>
      <c r="K222" s="283">
        <v>1.0</v>
      </c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7</v>
      </c>
      <c r="N222" s="191"/>
      <c r="O222" s="247"/>
    </row>
    <row r="223">
      <c r="A223" s="12" t="s">
        <v>268</v>
      </c>
      <c r="B223" s="12" t="s">
        <v>40</v>
      </c>
      <c r="C223" s="271" t="str">
        <f>'1stMay-30thApril'!E223</f>
        <v/>
      </c>
      <c r="D223" s="227">
        <v>1.0</v>
      </c>
      <c r="E223" s="247"/>
      <c r="F223" s="235" t="s">
        <v>17</v>
      </c>
      <c r="G223" s="235"/>
      <c r="H223" s="272">
        <f>'1stMay-30thApril'!J223</f>
        <v>3</v>
      </c>
      <c r="I223" s="281">
        <v>1.0</v>
      </c>
      <c r="J223" s="282">
        <v>15.0</v>
      </c>
      <c r="K223" s="283">
        <v>1.0</v>
      </c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13</v>
      </c>
      <c r="N223" s="191"/>
      <c r="O223" s="247"/>
    </row>
    <row r="224">
      <c r="A224" s="12" t="s">
        <v>269</v>
      </c>
      <c r="B224" s="294" t="s">
        <v>40</v>
      </c>
      <c r="C224" s="271" t="str">
        <f>'1stMay-30thApril'!E224</f>
        <v/>
      </c>
      <c r="D224" s="191"/>
      <c r="E224" s="191"/>
      <c r="F224" s="191" t="s">
        <v>17</v>
      </c>
      <c r="G224" s="227">
        <v>2.0</v>
      </c>
      <c r="H224" s="272">
        <f>'1stMay-30thApril'!J224</f>
        <v>59</v>
      </c>
      <c r="I224" s="281">
        <v>1.0</v>
      </c>
      <c r="J224" s="227">
        <v>61.0</v>
      </c>
      <c r="K224" s="283">
        <v>1.0</v>
      </c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0</v>
      </c>
      <c r="N224" s="191"/>
      <c r="O224" s="247"/>
    </row>
    <row r="225">
      <c r="A225" s="12" t="s">
        <v>270</v>
      </c>
      <c r="B225" s="294" t="s">
        <v>40</v>
      </c>
      <c r="C225" s="271" t="str">
        <f>'1stMay-30thApril'!E225</f>
        <v/>
      </c>
      <c r="D225" s="191"/>
      <c r="E225" s="191"/>
      <c r="F225" s="191" t="s">
        <v>17</v>
      </c>
      <c r="G225" s="191"/>
      <c r="H225" s="272">
        <f>'1stMay-30thApril'!J225</f>
        <v>33</v>
      </c>
      <c r="I225" s="281">
        <v>1.0</v>
      </c>
      <c r="J225" s="227">
        <v>24.0</v>
      </c>
      <c r="K225" s="283">
        <v>1.0</v>
      </c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9</v>
      </c>
      <c r="N225" s="191"/>
      <c r="O225" s="247"/>
    </row>
    <row r="226">
      <c r="A226" s="12" t="s">
        <v>271</v>
      </c>
      <c r="B226" s="294" t="s">
        <v>40</v>
      </c>
      <c r="C226" s="271" t="str">
        <f>'1stMay-30thApril'!E226</f>
        <v/>
      </c>
      <c r="D226" s="227"/>
      <c r="E226" s="191"/>
      <c r="F226" s="191" t="s">
        <v>17</v>
      </c>
      <c r="G226" s="191"/>
      <c r="H226" s="272">
        <f>'1stMay-30thApril'!J226</f>
        <v>22</v>
      </c>
      <c r="I226" s="281">
        <v>1.0</v>
      </c>
      <c r="J226" s="227">
        <v>4.0</v>
      </c>
      <c r="K226" s="283">
        <v>1.0</v>
      </c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18</v>
      </c>
      <c r="N226" s="191"/>
      <c r="O226" s="247"/>
    </row>
    <row r="227">
      <c r="A227" s="12" t="s">
        <v>272</v>
      </c>
      <c r="B227" s="294" t="s">
        <v>40</v>
      </c>
      <c r="C227" s="271" t="str">
        <f>'1stMay-30thApril'!E227</f>
        <v/>
      </c>
      <c r="D227" s="297"/>
      <c r="E227" s="296"/>
      <c r="F227" s="296" t="s">
        <v>17</v>
      </c>
      <c r="G227" s="296"/>
      <c r="H227" s="272">
        <f>'1stMay-30thApril'!J227</f>
        <v>12</v>
      </c>
      <c r="I227" s="281">
        <v>1.0</v>
      </c>
      <c r="J227" s="297">
        <v>11.0</v>
      </c>
      <c r="K227" s="283">
        <v>1.0</v>
      </c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1</v>
      </c>
      <c r="N227" s="296"/>
      <c r="O227" s="299"/>
    </row>
    <row r="228">
      <c r="A228" s="23"/>
      <c r="B228" s="11"/>
      <c r="C228" s="271" t="str">
        <f>'1stMay-30thApril'!E228</f>
        <v/>
      </c>
      <c r="D228" s="11"/>
      <c r="E228" s="11"/>
      <c r="F228" s="11"/>
      <c r="G228" s="11"/>
      <c r="H228" s="272" t="str">
        <f>'1stMay-30thApril'!J228</f>
        <v/>
      </c>
      <c r="I228" s="281"/>
      <c r="J228" s="11"/>
      <c r="K228" s="283"/>
      <c r="L228" s="11"/>
      <c r="M228" s="11"/>
      <c r="N228" s="11"/>
      <c r="O228" s="11"/>
    </row>
    <row r="229">
      <c r="A229" s="11"/>
      <c r="B229" s="11"/>
      <c r="C229" s="271" t="str">
        <f>'1stMay-30thApril'!E229</f>
        <v/>
      </c>
      <c r="D229" s="11"/>
      <c r="E229" s="11"/>
      <c r="F229" s="11"/>
      <c r="G229" s="11"/>
      <c r="H229" s="272" t="str">
        <f>'1stMay-30thApril'!J229</f>
        <v/>
      </c>
      <c r="I229" s="281"/>
      <c r="J229" s="11"/>
      <c r="K229" s="283"/>
      <c r="L229" s="11"/>
      <c r="M229" s="11"/>
      <c r="N229" s="11"/>
      <c r="O229" s="11"/>
    </row>
    <row r="230">
      <c r="A230" s="11"/>
      <c r="B230" s="11"/>
      <c r="C230" s="271" t="str">
        <f>'1stMay-30thApril'!E230</f>
        <v/>
      </c>
      <c r="D230" s="11"/>
      <c r="E230" s="11"/>
      <c r="F230" s="11"/>
      <c r="G230" s="11"/>
      <c r="H230" s="272" t="str">
        <f>'1stMay-30thApril'!J230</f>
        <v/>
      </c>
      <c r="I230" s="281"/>
      <c r="J230" s="11"/>
      <c r="K230" s="283"/>
      <c r="L230" s="11"/>
      <c r="M230" s="11"/>
      <c r="N230" s="11"/>
      <c r="O230" s="11"/>
    </row>
    <row r="231">
      <c r="A231" s="11"/>
      <c r="B231" s="11"/>
      <c r="C231" s="271" t="str">
        <f>'1stMay-30thApril'!E231</f>
        <v/>
      </c>
      <c r="D231" s="11"/>
      <c r="E231" s="11"/>
      <c r="F231" s="11"/>
      <c r="G231" s="11"/>
      <c r="H231" s="272" t="str">
        <f>'1stMay-30thApril'!J231</f>
        <v/>
      </c>
      <c r="I231" s="281"/>
      <c r="J231" s="11"/>
      <c r="K231" s="283"/>
      <c r="L231" s="11"/>
      <c r="M231" s="11"/>
      <c r="N231" s="11"/>
      <c r="O231" s="11"/>
    </row>
    <row r="232">
      <c r="A232" s="11"/>
      <c r="B232" s="11"/>
      <c r="C232" s="271" t="str">
        <f>'1stMay-30thApril'!E232</f>
        <v/>
      </c>
      <c r="D232" s="11"/>
      <c r="E232" s="11"/>
      <c r="F232" s="11"/>
      <c r="G232" s="11"/>
      <c r="H232" s="272" t="str">
        <f>'1stMay-30thApril'!J232</f>
        <v/>
      </c>
      <c r="I232" s="281"/>
      <c r="J232" s="11"/>
      <c r="K232" s="283"/>
      <c r="L232" s="11"/>
      <c r="M232" s="11"/>
      <c r="N232" s="11"/>
      <c r="O232" s="11"/>
    </row>
    <row r="233">
      <c r="A233" s="11"/>
      <c r="B233" s="11"/>
      <c r="C233" s="271" t="str">
        <f>'1stMay-30thApril'!E233</f>
        <v/>
      </c>
      <c r="D233" s="11"/>
      <c r="E233" s="11"/>
      <c r="F233" s="11"/>
      <c r="G233" s="11"/>
      <c r="H233" s="272" t="str">
        <f>'1stMay-30thApril'!J233</f>
        <v/>
      </c>
      <c r="I233" s="281"/>
      <c r="J233" s="11"/>
      <c r="K233" s="11"/>
      <c r="L233" s="11"/>
      <c r="M233" s="11"/>
      <c r="N233" s="11"/>
      <c r="O233" s="11"/>
    </row>
    <row r="234">
      <c r="A234" s="11"/>
      <c r="B234" s="11"/>
      <c r="C234" s="271" t="str">
        <f>'1stMay-30thApril'!E234</f>
        <v/>
      </c>
      <c r="D234" s="11"/>
      <c r="E234" s="11"/>
      <c r="F234" s="11"/>
      <c r="G234" s="11"/>
      <c r="H234" s="272" t="str">
        <f>'1stMay-30thApril'!J234</f>
        <v/>
      </c>
      <c r="I234" s="281"/>
      <c r="J234" s="11"/>
      <c r="K234" s="11"/>
      <c r="L234" s="11"/>
      <c r="M234" s="11"/>
      <c r="N234" s="11"/>
      <c r="O234" s="11"/>
    </row>
    <row r="235">
      <c r="A235" s="11"/>
      <c r="B235" s="11"/>
      <c r="C235" s="271" t="str">
        <f>'1stMay-30thApril'!E235</f>
        <v/>
      </c>
      <c r="D235" s="11"/>
      <c r="E235" s="11"/>
      <c r="F235" s="11"/>
      <c r="G235" s="11"/>
      <c r="H235" s="272" t="str">
        <f>'1stMay-30thApril'!J235</f>
        <v/>
      </c>
      <c r="I235" s="281"/>
      <c r="J235" s="11"/>
      <c r="K235" s="11"/>
      <c r="L235" s="11"/>
      <c r="M235" s="11"/>
      <c r="N235" s="11"/>
      <c r="O235" s="11"/>
    </row>
    <row r="236">
      <c r="A236" s="11"/>
      <c r="B236" s="11"/>
      <c r="C236" s="271" t="str">
        <f>'1stMay-30thApril'!E236</f>
        <v/>
      </c>
      <c r="D236" s="11"/>
      <c r="E236" s="11"/>
      <c r="F236" s="11"/>
      <c r="G236" s="11"/>
      <c r="H236" s="272" t="str">
        <f>'1stMay-30thApril'!J236</f>
        <v/>
      </c>
      <c r="I236" s="281"/>
      <c r="J236" s="11"/>
      <c r="K236" s="11"/>
      <c r="L236" s="11"/>
      <c r="M236" s="11"/>
      <c r="N236" s="11"/>
      <c r="O236" s="11"/>
    </row>
    <row r="237">
      <c r="A237" s="11"/>
      <c r="B237" s="11"/>
      <c r="C237" s="271" t="str">
        <f>'1stMay-30thApril'!E237</f>
        <v/>
      </c>
      <c r="D237" s="11"/>
      <c r="E237" s="11"/>
      <c r="F237" s="11"/>
      <c r="G237" s="11"/>
      <c r="H237" s="272" t="str">
        <f>'1stMay-30thApril'!J237</f>
        <v/>
      </c>
      <c r="I237" s="281"/>
      <c r="J237" s="11"/>
      <c r="K237" s="11"/>
      <c r="L237" s="11"/>
      <c r="M237" s="11"/>
      <c r="N237" s="11"/>
      <c r="O237" s="11"/>
    </row>
    <row r="238">
      <c r="A238" s="11"/>
      <c r="B238" s="11"/>
      <c r="C238" s="271" t="str">
        <f>'1stMay-30thApril'!E238</f>
        <v/>
      </c>
      <c r="D238" s="11"/>
      <c r="E238" s="11"/>
      <c r="F238" s="11"/>
      <c r="G238" s="11"/>
      <c r="H238" s="272" t="str">
        <f>'1stMay-30thApril'!J238</f>
        <v/>
      </c>
      <c r="I238" s="281"/>
      <c r="J238" s="11"/>
      <c r="K238" s="11"/>
      <c r="L238" s="11"/>
      <c r="M238" s="11"/>
      <c r="N238" s="11"/>
      <c r="O238" s="11"/>
    </row>
    <row r="239">
      <c r="A239" s="11"/>
      <c r="B239" s="11"/>
      <c r="C239" s="271" t="str">
        <f>'1stMay-30thApril'!E239</f>
        <v/>
      </c>
      <c r="D239" s="11"/>
      <c r="E239" s="11"/>
      <c r="F239" s="11"/>
      <c r="G239" s="11"/>
      <c r="H239" s="272" t="str">
        <f>'1stMay-30thApril'!J239</f>
        <v/>
      </c>
      <c r="I239" s="281"/>
      <c r="J239" s="11"/>
      <c r="K239" s="11"/>
      <c r="L239" s="11"/>
      <c r="M239" s="11"/>
      <c r="N239" s="11"/>
      <c r="O239" s="11"/>
    </row>
    <row r="240">
      <c r="A240" s="11"/>
      <c r="B240" s="11"/>
      <c r="C240" s="271" t="str">
        <f>'1stMay-30thApril'!E240</f>
        <v/>
      </c>
      <c r="D240" s="11"/>
      <c r="E240" s="11"/>
      <c r="F240" s="11"/>
      <c r="G240" s="11"/>
      <c r="H240" s="272" t="str">
        <f>'1stMay-30thApril'!J240</f>
        <v/>
      </c>
      <c r="I240" s="281"/>
      <c r="J240" s="11"/>
      <c r="K240" s="11"/>
      <c r="L240" s="11"/>
      <c r="M240" s="11"/>
      <c r="N240" s="11"/>
      <c r="O240" s="11"/>
    </row>
    <row r="241">
      <c r="A241" s="11"/>
      <c r="B241" s="11"/>
      <c r="C241" s="271" t="str">
        <f>'1stMay-30thApril'!E241</f>
        <v/>
      </c>
      <c r="D241" s="11"/>
      <c r="E241" s="11"/>
      <c r="F241" s="11"/>
      <c r="G241" s="11"/>
      <c r="H241" s="272" t="str">
        <f>'1stMay-30thApril'!J241</f>
        <v/>
      </c>
      <c r="I241" s="281"/>
      <c r="J241" s="11"/>
      <c r="K241" s="11"/>
      <c r="L241" s="11"/>
      <c r="M241" s="11"/>
      <c r="N241" s="11"/>
      <c r="O241" s="11"/>
    </row>
    <row r="242">
      <c r="A242" s="11"/>
      <c r="B242" s="11"/>
      <c r="C242" s="271" t="str">
        <f>'1stMay-30thApril'!E242</f>
        <v/>
      </c>
      <c r="D242" s="11"/>
      <c r="E242" s="11"/>
      <c r="F242" s="11"/>
      <c r="G242" s="11"/>
      <c r="H242" s="272" t="str">
        <f>'1stMay-30thApril'!J242</f>
        <v/>
      </c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271" t="str">
        <f>'1stMay-30thApril'!E243</f>
        <v/>
      </c>
      <c r="D243" s="11"/>
      <c r="E243" s="11"/>
      <c r="F243" s="11"/>
      <c r="G243" s="11"/>
      <c r="H243" s="272" t="str">
        <f>'1stMay-30thApril'!J243</f>
        <v/>
      </c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271" t="str">
        <f>'1stMay-30thApril'!E244</f>
        <v/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271" t="str">
        <f>'1stMay-30thApril'!E245</f>
        <v/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271" t="str">
        <f>'1stMay-30thApril'!E246</f>
        <v/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271" t="str">
        <f>'1stMay-30thApril'!E247</f>
        <v/>
      </c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271" t="str">
        <f>'1stMay-30thApril'!E248</f>
        <v/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271" t="str">
        <f>'1stMay-30thApril'!E249</f>
        <v/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271" t="str">
        <f>'1stMay-30thApril'!E250</f>
        <v/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271" t="str">
        <f>'1stMay-30thApril'!E251</f>
        <v/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271" t="str">
        <f>'1stMay-30thApril'!E252</f>
        <v/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19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</sheetData>
  <mergeCells count="4">
    <mergeCell ref="A1:O1"/>
    <mergeCell ref="B2:E2"/>
    <mergeCell ref="F2:K2"/>
    <mergeCell ref="L2:O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1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v>12.0</v>
      </c>
      <c r="D5" s="272">
        <v>20.0</v>
      </c>
      <c r="E5" s="273">
        <v>3.0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87</v>
      </c>
      <c r="N5" s="268"/>
      <c r="O5" s="269"/>
    </row>
    <row r="6">
      <c r="A6" s="192" t="s">
        <v>401</v>
      </c>
      <c r="B6" s="191" t="s">
        <v>402</v>
      </c>
      <c r="C6" s="271">
        <v>5.0</v>
      </c>
      <c r="D6" s="272">
        <v>4.0</v>
      </c>
      <c r="E6" s="273">
        <v>4.0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10</v>
      </c>
      <c r="N6" s="268"/>
      <c r="O6" s="269"/>
    </row>
    <row r="7">
      <c r="A7" s="192" t="s">
        <v>404</v>
      </c>
      <c r="B7" s="191" t="s">
        <v>402</v>
      </c>
      <c r="C7" s="271">
        <v>6.0</v>
      </c>
      <c r="D7" s="272">
        <v>5.0</v>
      </c>
      <c r="E7" s="273">
        <v>8.0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15</v>
      </c>
      <c r="N7" s="268"/>
      <c r="O7" s="269"/>
    </row>
    <row r="8">
      <c r="A8" s="192" t="s">
        <v>406</v>
      </c>
      <c r="B8" s="191" t="s">
        <v>402</v>
      </c>
      <c r="C8" s="271">
        <v>9.0</v>
      </c>
      <c r="D8" s="272">
        <v>5.0</v>
      </c>
      <c r="E8" s="273">
        <v>9.0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5</v>
      </c>
      <c r="N8" s="268"/>
      <c r="O8" s="269"/>
    </row>
    <row r="9">
      <c r="A9" s="192" t="s">
        <v>409</v>
      </c>
      <c r="B9" s="191" t="s">
        <v>402</v>
      </c>
      <c r="C9" s="271"/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192" t="s">
        <v>411</v>
      </c>
      <c r="B10" s="191" t="s">
        <v>402</v>
      </c>
      <c r="C10" s="271">
        <v>4.0</v>
      </c>
      <c r="D10" s="272">
        <v>1.0</v>
      </c>
      <c r="E10" s="273">
        <v>1.0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32</v>
      </c>
      <c r="N10" s="268"/>
      <c r="O10" s="269"/>
    </row>
    <row r="11">
      <c r="A11" s="204" t="s">
        <v>413</v>
      </c>
      <c r="B11" s="191" t="s">
        <v>402</v>
      </c>
      <c r="C11" s="271">
        <v>1.0</v>
      </c>
      <c r="D11" s="272">
        <v>18.0</v>
      </c>
      <c r="E11" s="273">
        <v>4.0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15</v>
      </c>
      <c r="N11" s="268"/>
      <c r="O11" s="269"/>
    </row>
    <row r="12">
      <c r="A12" s="192" t="s">
        <v>414</v>
      </c>
      <c r="B12" s="191" t="s">
        <v>402</v>
      </c>
      <c r="C12" s="267"/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>
        <v>7.0</v>
      </c>
      <c r="D13" s="272">
        <v>3.0</v>
      </c>
      <c r="E13" s="273">
        <v>1.0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81</v>
      </c>
      <c r="N13" s="268"/>
      <c r="O13" s="269"/>
    </row>
    <row r="14">
      <c r="A14" s="204" t="s">
        <v>418</v>
      </c>
      <c r="B14" s="191" t="s">
        <v>402</v>
      </c>
      <c r="C14" s="271">
        <v>1.0</v>
      </c>
      <c r="D14" s="272">
        <v>12.0</v>
      </c>
      <c r="E14" s="273"/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13</v>
      </c>
      <c r="N14" s="268"/>
      <c r="O14" s="269"/>
    </row>
    <row r="15">
      <c r="A15" s="204" t="s">
        <v>420</v>
      </c>
      <c r="B15" s="191" t="s">
        <v>402</v>
      </c>
      <c r="C15" s="271">
        <v>7.0</v>
      </c>
      <c r="D15" s="268"/>
      <c r="E15" s="273">
        <v>7.0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0</v>
      </c>
      <c r="N15" s="268"/>
      <c r="O15" s="269"/>
    </row>
    <row r="16">
      <c r="A16" s="192" t="s">
        <v>422</v>
      </c>
      <c r="B16" s="191" t="s">
        <v>402</v>
      </c>
      <c r="C16" s="271">
        <v>5.0</v>
      </c>
      <c r="D16" s="272"/>
      <c r="E16" s="273">
        <v>5.0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0</v>
      </c>
      <c r="N16" s="268"/>
      <c r="O16" s="269"/>
    </row>
    <row r="17">
      <c r="A17" s="192" t="s">
        <v>423</v>
      </c>
      <c r="B17" s="191" t="s">
        <v>402</v>
      </c>
      <c r="C17" s="271">
        <v>9.0</v>
      </c>
      <c r="D17" s="272">
        <v>4.0</v>
      </c>
      <c r="E17" s="273">
        <v>3.0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20</v>
      </c>
      <c r="N17" s="268"/>
      <c r="O17" s="269"/>
    </row>
    <row r="18">
      <c r="A18" s="192" t="s">
        <v>425</v>
      </c>
      <c r="B18" s="191" t="s">
        <v>402</v>
      </c>
      <c r="C18" s="271">
        <v>2.0</v>
      </c>
      <c r="D18" s="272">
        <v>3.0</v>
      </c>
      <c r="E18" s="273">
        <v>2.0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6</v>
      </c>
      <c r="N18" s="268"/>
      <c r="O18" s="269"/>
    </row>
    <row r="19">
      <c r="A19" s="192" t="s">
        <v>426</v>
      </c>
      <c r="B19" s="191" t="s">
        <v>402</v>
      </c>
      <c r="C19" s="271">
        <v>5.0</v>
      </c>
      <c r="D19" s="268"/>
      <c r="E19" s="273">
        <v>3.0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2</v>
      </c>
      <c r="N19" s="268"/>
      <c r="O19" s="269"/>
    </row>
    <row r="20">
      <c r="A20" s="192" t="s">
        <v>428</v>
      </c>
      <c r="B20" s="191" t="s">
        <v>402</v>
      </c>
      <c r="C20" s="271">
        <v>6.0</v>
      </c>
      <c r="D20" s="268"/>
      <c r="E20" s="273">
        <v>5.0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1</v>
      </c>
      <c r="N20" s="268"/>
      <c r="O20" s="269"/>
    </row>
    <row r="21">
      <c r="A21" s="204" t="s">
        <v>429</v>
      </c>
      <c r="B21" s="191" t="s">
        <v>402</v>
      </c>
      <c r="C21" s="271">
        <v>6.0</v>
      </c>
      <c r="D21" s="272"/>
      <c r="E21" s="273">
        <v>3.0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12</v>
      </c>
      <c r="N21" s="268"/>
      <c r="O21" s="269"/>
    </row>
    <row r="22">
      <c r="A22" s="204" t="s">
        <v>431</v>
      </c>
      <c r="B22" s="191" t="s">
        <v>402</v>
      </c>
      <c r="C22" s="267"/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>
        <v>6.0</v>
      </c>
      <c r="D23" s="272">
        <v>4.0</v>
      </c>
      <c r="E23" s="273">
        <v>3.0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14</v>
      </c>
      <c r="N23" s="268"/>
      <c r="O23" s="269"/>
    </row>
    <row r="24">
      <c r="A24" s="192" t="s">
        <v>433</v>
      </c>
      <c r="B24" s="191" t="s">
        <v>402</v>
      </c>
      <c r="C24" s="271">
        <v>8.0</v>
      </c>
      <c r="D24" s="272">
        <v>11.0</v>
      </c>
      <c r="E24" s="273">
        <v>9.0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10</v>
      </c>
      <c r="N24" s="268"/>
      <c r="O24" s="269"/>
    </row>
    <row r="25">
      <c r="A25" s="204" t="s">
        <v>435</v>
      </c>
      <c r="B25" s="191" t="s">
        <v>402</v>
      </c>
      <c r="C25" s="271">
        <v>8.0</v>
      </c>
      <c r="D25" s="272"/>
      <c r="E25" s="273">
        <v>3.0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5</v>
      </c>
      <c r="N25" s="268"/>
      <c r="O25" s="269"/>
    </row>
    <row r="26">
      <c r="A26" s="192" t="s">
        <v>438</v>
      </c>
      <c r="B26" s="191" t="s">
        <v>402</v>
      </c>
      <c r="C26" s="271">
        <v>8.0</v>
      </c>
      <c r="D26" s="268"/>
      <c r="E26" s="273">
        <v>8.0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0</v>
      </c>
      <c r="N26" s="268"/>
      <c r="O26" s="269"/>
    </row>
    <row r="27">
      <c r="A27" s="192" t="s">
        <v>439</v>
      </c>
      <c r="B27" s="191" t="s">
        <v>402</v>
      </c>
      <c r="C27" s="267"/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v>4.0</v>
      </c>
      <c r="D28" s="272">
        <v>8.0</v>
      </c>
      <c r="E28" s="273">
        <v>9.0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3</v>
      </c>
      <c r="N28" s="268"/>
      <c r="O28" s="269"/>
    </row>
    <row r="29">
      <c r="A29" s="204" t="s">
        <v>441</v>
      </c>
      <c r="B29" s="191" t="s">
        <v>402</v>
      </c>
      <c r="C29" s="271">
        <v>7.0</v>
      </c>
      <c r="D29" s="272">
        <v>10.0</v>
      </c>
      <c r="E29" s="273">
        <v>5.0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24</v>
      </c>
      <c r="N29" s="268"/>
      <c r="O29" s="269"/>
    </row>
    <row r="30">
      <c r="A30" s="204" t="s">
        <v>442</v>
      </c>
      <c r="B30" s="191" t="s">
        <v>402</v>
      </c>
      <c r="C30" s="271">
        <v>4.0</v>
      </c>
      <c r="D30" s="272">
        <v>4.0</v>
      </c>
      <c r="E30" s="273"/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8</v>
      </c>
      <c r="N30" s="268"/>
      <c r="O30" s="269"/>
    </row>
    <row r="31">
      <c r="A31" s="204" t="s">
        <v>444</v>
      </c>
      <c r="B31" s="191" t="s">
        <v>402</v>
      </c>
      <c r="C31" s="271">
        <v>5.0</v>
      </c>
      <c r="D31" s="268"/>
      <c r="E31" s="273">
        <v>5.0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0</v>
      </c>
      <c r="N31" s="268"/>
      <c r="O31" s="269"/>
    </row>
    <row r="32">
      <c r="A32" s="204" t="s">
        <v>445</v>
      </c>
      <c r="B32" s="191" t="s">
        <v>402</v>
      </c>
      <c r="C32" s="271">
        <v>7.0</v>
      </c>
      <c r="D32" s="268"/>
      <c r="E32" s="273">
        <v>5.0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8</v>
      </c>
      <c r="N32" s="268"/>
      <c r="O32" s="269"/>
    </row>
    <row r="33">
      <c r="A33" s="192" t="s">
        <v>446</v>
      </c>
      <c r="B33" s="191" t="s">
        <v>402</v>
      </c>
      <c r="C33" s="271"/>
      <c r="D33" s="268"/>
      <c r="E33" s="273"/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192" t="s">
        <v>447</v>
      </c>
      <c r="B34" s="191" t="s">
        <v>402</v>
      </c>
      <c r="C34" s="271">
        <v>5.0</v>
      </c>
      <c r="D34" s="272">
        <v>2.0</v>
      </c>
      <c r="E34" s="273">
        <v>7.0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0</v>
      </c>
      <c r="N34" s="268"/>
      <c r="O34" s="269"/>
    </row>
    <row r="35">
      <c r="A35" s="204" t="s">
        <v>449</v>
      </c>
      <c r="B35" s="191" t="s">
        <v>402</v>
      </c>
      <c r="C35" s="271">
        <v>3.0</v>
      </c>
      <c r="D35" s="272"/>
      <c r="E35" s="273">
        <v>3.0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268"/>
      <c r="O35" s="269"/>
    </row>
    <row r="36">
      <c r="A36" s="192" t="s">
        <v>451</v>
      </c>
      <c r="B36" s="191" t="s">
        <v>402</v>
      </c>
      <c r="C36" s="271">
        <v>7.0</v>
      </c>
      <c r="D36" s="272">
        <v>2.0</v>
      </c>
      <c r="E36" s="273">
        <v>1.0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16</v>
      </c>
      <c r="N36" s="268"/>
      <c r="O36" s="269"/>
    </row>
    <row r="37">
      <c r="A37" s="225" t="s">
        <v>452</v>
      </c>
      <c r="B37" s="191" t="s">
        <v>402</v>
      </c>
      <c r="C37" s="271">
        <v>5.0</v>
      </c>
      <c r="D37" s="268"/>
      <c r="E37" s="273"/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20</v>
      </c>
      <c r="N37" s="268"/>
      <c r="O37" s="269"/>
    </row>
    <row r="38">
      <c r="A38" s="225" t="s">
        <v>454</v>
      </c>
      <c r="B38" s="191" t="s">
        <v>402</v>
      </c>
      <c r="C38" s="271">
        <v>2.0</v>
      </c>
      <c r="D38" s="272">
        <v>4.0</v>
      </c>
      <c r="E38" s="273">
        <v>4.0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8</v>
      </c>
      <c r="N38" s="268"/>
      <c r="O38" s="269"/>
    </row>
    <row r="39">
      <c r="A39" s="223" t="s">
        <v>455</v>
      </c>
      <c r="B39" s="191" t="s">
        <v>402</v>
      </c>
      <c r="C39" s="271">
        <v>4.0</v>
      </c>
      <c r="D39" s="268"/>
      <c r="E39" s="273">
        <v>4.0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0</v>
      </c>
      <c r="N39" s="268"/>
      <c r="O39" s="269"/>
    </row>
    <row r="40">
      <c r="A40" s="223" t="s">
        <v>456</v>
      </c>
      <c r="B40" s="191" t="s">
        <v>402</v>
      </c>
      <c r="C40" s="271">
        <v>3.0</v>
      </c>
      <c r="D40" s="272">
        <v>6.0</v>
      </c>
      <c r="E40" s="273">
        <v>6.0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3</v>
      </c>
      <c r="N40" s="268"/>
      <c r="O40" s="269"/>
    </row>
    <row r="41">
      <c r="A41" s="223" t="s">
        <v>457</v>
      </c>
      <c r="B41" s="191" t="s">
        <v>402</v>
      </c>
      <c r="C41" s="267"/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307" t="s">
        <v>762</v>
      </c>
      <c r="B42" s="191"/>
      <c r="C42" s="267"/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67"/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>
        <v>1.5</v>
      </c>
      <c r="D44" s="227">
        <v>1.0</v>
      </c>
      <c r="E44" s="280"/>
      <c r="F44" s="235" t="s">
        <v>14</v>
      </c>
      <c r="G44" s="235"/>
      <c r="H44" s="272"/>
      <c r="I44" s="281">
        <v>1.0</v>
      </c>
      <c r="J44" s="282"/>
      <c r="K44" s="283">
        <v>1.0</v>
      </c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2.5</v>
      </c>
      <c r="N44" s="191"/>
      <c r="O44" s="247"/>
    </row>
    <row r="45">
      <c r="A45" s="12" t="s">
        <v>16</v>
      </c>
      <c r="B45" s="13" t="s">
        <v>17</v>
      </c>
      <c r="C45" s="271">
        <v>10.0</v>
      </c>
      <c r="D45" s="227">
        <v>5.0</v>
      </c>
      <c r="E45" s="280"/>
      <c r="F45" s="235" t="s">
        <v>17</v>
      </c>
      <c r="G45" s="235"/>
      <c r="H45" s="268"/>
      <c r="I45" s="281">
        <v>1.0</v>
      </c>
      <c r="J45" s="282">
        <v>12.0</v>
      </c>
      <c r="K45" s="283">
        <v>1.0</v>
      </c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3</v>
      </c>
      <c r="N45" s="191"/>
      <c r="O45" s="247"/>
    </row>
    <row r="46">
      <c r="A46" s="15" t="s">
        <v>19</v>
      </c>
      <c r="B46" s="13" t="s">
        <v>17</v>
      </c>
      <c r="C46" s="271">
        <v>5.0</v>
      </c>
      <c r="D46" s="227"/>
      <c r="E46" s="280"/>
      <c r="F46" s="235" t="s">
        <v>17</v>
      </c>
      <c r="G46" s="235"/>
      <c r="H46" s="268"/>
      <c r="I46" s="281">
        <v>1.0</v>
      </c>
      <c r="J46" s="282">
        <v>5.0</v>
      </c>
      <c r="K46" s="283">
        <v>1.0</v>
      </c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0</v>
      </c>
      <c r="N46" s="191"/>
      <c r="O46" s="247"/>
    </row>
    <row r="47">
      <c r="A47" s="12" t="s">
        <v>20</v>
      </c>
      <c r="B47" s="13" t="s">
        <v>17</v>
      </c>
      <c r="C47" s="271">
        <v>10.0</v>
      </c>
      <c r="D47" s="191"/>
      <c r="E47" s="280"/>
      <c r="F47" s="235" t="s">
        <v>17</v>
      </c>
      <c r="G47" s="235"/>
      <c r="H47" s="268"/>
      <c r="I47" s="281">
        <v>1.0</v>
      </c>
      <c r="J47" s="282">
        <v>10.0</v>
      </c>
      <c r="K47" s="283">
        <v>1.0</v>
      </c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0</v>
      </c>
      <c r="N47" s="191"/>
      <c r="O47" s="247"/>
    </row>
    <row r="48">
      <c r="A48" s="12" t="s">
        <v>21</v>
      </c>
      <c r="B48" s="13" t="s">
        <v>17</v>
      </c>
      <c r="C48" s="271">
        <v>5.5</v>
      </c>
      <c r="D48" s="227"/>
      <c r="E48" s="280"/>
      <c r="F48" s="235" t="s">
        <v>17</v>
      </c>
      <c r="G48" s="235"/>
      <c r="H48" s="268"/>
      <c r="I48" s="281">
        <v>1.0</v>
      </c>
      <c r="J48" s="282">
        <v>4.5</v>
      </c>
      <c r="K48" s="283">
        <v>1.0</v>
      </c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1</v>
      </c>
      <c r="N48" s="191"/>
      <c r="O48" s="247"/>
    </row>
    <row r="49">
      <c r="A49" s="12" t="s">
        <v>22</v>
      </c>
      <c r="B49" s="13" t="s">
        <v>17</v>
      </c>
      <c r="C49" s="267"/>
      <c r="D49" s="191"/>
      <c r="E49" s="247"/>
      <c r="F49" s="235" t="s">
        <v>17</v>
      </c>
      <c r="G49" s="235"/>
      <c r="H49" s="268"/>
      <c r="I49" s="281">
        <v>1.0</v>
      </c>
      <c r="J49" s="284"/>
      <c r="K49" s="283">
        <v>1.0</v>
      </c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/>
      <c r="D50" s="227"/>
      <c r="E50" s="247"/>
      <c r="F50" s="235" t="s">
        <v>25</v>
      </c>
      <c r="G50" s="285">
        <v>1.43</v>
      </c>
      <c r="H50" s="272">
        <v>0.092</v>
      </c>
      <c r="I50" s="281">
        <v>1.0</v>
      </c>
      <c r="J50" s="282">
        <v>1.43</v>
      </c>
      <c r="K50" s="283">
        <v>1.0</v>
      </c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0.092</v>
      </c>
      <c r="N50" s="191"/>
      <c r="O50" s="247"/>
    </row>
    <row r="51">
      <c r="A51" s="12" t="s">
        <v>27</v>
      </c>
      <c r="B51" s="12" t="s">
        <v>24</v>
      </c>
      <c r="C51" s="267"/>
      <c r="D51" s="191"/>
      <c r="E51" s="247"/>
      <c r="F51" s="235" t="s">
        <v>24</v>
      </c>
      <c r="G51" s="235"/>
      <c r="H51" s="268"/>
      <c r="I51" s="281">
        <v>1.0</v>
      </c>
      <c r="J51" s="284"/>
      <c r="K51" s="283">
        <v>1.0</v>
      </c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67"/>
      <c r="D52" s="191"/>
      <c r="E52" s="280"/>
      <c r="F52" s="235" t="s">
        <v>14</v>
      </c>
      <c r="G52" s="285"/>
      <c r="H52" s="272"/>
      <c r="I52" s="281">
        <v>1.0</v>
      </c>
      <c r="J52" s="284"/>
      <c r="K52" s="283">
        <v>1.0</v>
      </c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16" t="s">
        <v>30</v>
      </c>
      <c r="B53" s="12" t="s">
        <v>24</v>
      </c>
      <c r="C53" s="271"/>
      <c r="D53" s="227"/>
      <c r="E53" s="280"/>
      <c r="F53" s="235" t="s">
        <v>35</v>
      </c>
      <c r="G53" s="235"/>
      <c r="H53" s="272">
        <v>0.84</v>
      </c>
      <c r="I53" s="281">
        <v>1.0</v>
      </c>
      <c r="J53" s="282">
        <v>0.75</v>
      </c>
      <c r="K53" s="283">
        <v>1.0</v>
      </c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0.09</v>
      </c>
      <c r="N53" s="191"/>
      <c r="O53" s="247"/>
    </row>
    <row r="54">
      <c r="A54" s="12" t="s">
        <v>33</v>
      </c>
      <c r="B54" s="12" t="s">
        <v>34</v>
      </c>
      <c r="C54" s="271"/>
      <c r="D54" s="227">
        <v>1.0</v>
      </c>
      <c r="E54" s="247"/>
      <c r="F54" s="235" t="s">
        <v>35</v>
      </c>
      <c r="G54" s="235"/>
      <c r="H54" s="272">
        <v>0.2</v>
      </c>
      <c r="I54" s="281">
        <v>1.0</v>
      </c>
      <c r="J54" s="284"/>
      <c r="K54" s="283">
        <v>1.0</v>
      </c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0.537</v>
      </c>
      <c r="N54" s="191"/>
      <c r="O54" s="247"/>
    </row>
    <row r="55">
      <c r="A55" s="12" t="s">
        <v>37</v>
      </c>
      <c r="B55" s="12" t="s">
        <v>17</v>
      </c>
      <c r="C55" s="267"/>
      <c r="D55" s="191"/>
      <c r="E55" s="247"/>
      <c r="F55" s="235" t="s">
        <v>752</v>
      </c>
      <c r="G55" s="235"/>
      <c r="H55" s="268"/>
      <c r="I55" s="281">
        <v>1.0</v>
      </c>
      <c r="J55" s="284"/>
      <c r="K55" s="283">
        <v>1.0</v>
      </c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67"/>
      <c r="D56" s="191"/>
      <c r="E56" s="247"/>
      <c r="F56" s="235" t="s">
        <v>17</v>
      </c>
      <c r="G56" s="285">
        <v>70.0</v>
      </c>
      <c r="H56" s="268"/>
      <c r="I56" s="281">
        <v>1.0</v>
      </c>
      <c r="J56" s="284"/>
      <c r="K56" s="283">
        <v>1.0</v>
      </c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70</v>
      </c>
      <c r="N56" s="191"/>
      <c r="O56" s="247"/>
    </row>
    <row r="57">
      <c r="A57" s="12" t="s">
        <v>42</v>
      </c>
      <c r="B57" s="12" t="s">
        <v>24</v>
      </c>
      <c r="C57" s="271"/>
      <c r="D57" s="227">
        <v>1.0</v>
      </c>
      <c r="E57" s="280"/>
      <c r="F57" s="235" t="s">
        <v>35</v>
      </c>
      <c r="G57" s="235"/>
      <c r="H57" s="272">
        <v>0.14</v>
      </c>
      <c r="I57" s="281">
        <v>1.0</v>
      </c>
      <c r="J57" s="282"/>
      <c r="K57" s="283">
        <v>1.0</v>
      </c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0.505</v>
      </c>
      <c r="N57" s="191"/>
      <c r="O57" s="247"/>
    </row>
    <row r="58">
      <c r="A58" s="12" t="s">
        <v>44</v>
      </c>
      <c r="B58" s="12" t="s">
        <v>24</v>
      </c>
      <c r="C58" s="271">
        <v>1.0</v>
      </c>
      <c r="D58" s="191"/>
      <c r="E58" s="247"/>
      <c r="F58" s="235" t="s">
        <v>25</v>
      </c>
      <c r="G58" s="235"/>
      <c r="H58" s="272">
        <v>0.28</v>
      </c>
      <c r="I58" s="281">
        <v>1.0</v>
      </c>
      <c r="J58" s="282">
        <f>0.71+0.221</f>
        <v>0.931</v>
      </c>
      <c r="K58" s="283">
        <v>1.0</v>
      </c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0.059</v>
      </c>
      <c r="N58" s="191"/>
      <c r="O58" s="247"/>
    </row>
    <row r="59">
      <c r="A59" s="12" t="s">
        <v>45</v>
      </c>
      <c r="B59" s="12" t="s">
        <v>24</v>
      </c>
      <c r="C59" s="267"/>
      <c r="D59" s="191"/>
      <c r="E59" s="247"/>
      <c r="F59" s="235" t="s">
        <v>25</v>
      </c>
      <c r="G59" s="235"/>
      <c r="H59" s="272">
        <v>0.925</v>
      </c>
      <c r="I59" s="281">
        <v>1.0</v>
      </c>
      <c r="J59" s="282">
        <v>0.919</v>
      </c>
      <c r="K59" s="283">
        <v>1.0</v>
      </c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0.006</v>
      </c>
      <c r="N59" s="191"/>
      <c r="O59" s="247"/>
    </row>
    <row r="60">
      <c r="A60" s="17" t="s">
        <v>46</v>
      </c>
      <c r="B60" s="12" t="s">
        <v>47</v>
      </c>
      <c r="C60" s="267"/>
      <c r="D60" s="191"/>
      <c r="E60" s="247"/>
      <c r="F60" s="235" t="s">
        <v>51</v>
      </c>
      <c r="G60" s="235"/>
      <c r="H60" s="268"/>
      <c r="I60" s="281">
        <v>1.0</v>
      </c>
      <c r="J60" s="284"/>
      <c r="K60" s="283">
        <v>1.0</v>
      </c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67"/>
      <c r="D61" s="191"/>
      <c r="E61" s="247"/>
      <c r="F61" s="235" t="s">
        <v>51</v>
      </c>
      <c r="G61" s="235"/>
      <c r="H61" s="268"/>
      <c r="I61" s="281">
        <v>1.0</v>
      </c>
      <c r="J61" s="284"/>
      <c r="K61" s="283">
        <v>1.0</v>
      </c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67"/>
      <c r="D62" s="191"/>
      <c r="E62" s="247"/>
      <c r="F62" s="235" t="s">
        <v>51</v>
      </c>
      <c r="G62" s="235"/>
      <c r="H62" s="272">
        <v>0.6</v>
      </c>
      <c r="I62" s="281">
        <v>1.0</v>
      </c>
      <c r="J62" s="282">
        <v>0.597</v>
      </c>
      <c r="K62" s="283">
        <v>1.0</v>
      </c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0.003</v>
      </c>
      <c r="N62" s="191"/>
      <c r="O62" s="247"/>
    </row>
    <row r="63">
      <c r="A63" s="12" t="s">
        <v>53</v>
      </c>
      <c r="B63" s="12" t="s">
        <v>35</v>
      </c>
      <c r="C63" s="267"/>
      <c r="D63" s="191"/>
      <c r="E63" s="247"/>
      <c r="F63" s="235" t="s">
        <v>35</v>
      </c>
      <c r="G63" s="235"/>
      <c r="H63" s="272">
        <v>0.516</v>
      </c>
      <c r="I63" s="281">
        <v>1.0</v>
      </c>
      <c r="J63" s="282">
        <v>0.455</v>
      </c>
      <c r="K63" s="283">
        <v>1.0</v>
      </c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0.061</v>
      </c>
      <c r="N63" s="191"/>
      <c r="O63" s="247"/>
    </row>
    <row r="64">
      <c r="A64" s="11" t="s">
        <v>55</v>
      </c>
      <c r="B64" s="11" t="s">
        <v>56</v>
      </c>
      <c r="C64" s="267"/>
      <c r="D64" s="191"/>
      <c r="E64" s="247"/>
      <c r="F64" s="235" t="s">
        <v>14</v>
      </c>
      <c r="G64" s="235"/>
      <c r="H64" s="272">
        <v>2.807</v>
      </c>
      <c r="I64" s="281">
        <v>1.0</v>
      </c>
      <c r="J64" s="282">
        <v>2.215</v>
      </c>
      <c r="K64" s="283">
        <v>1.0</v>
      </c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0.592</v>
      </c>
      <c r="N64" s="191"/>
      <c r="O64" s="247"/>
    </row>
    <row r="65">
      <c r="A65" s="10" t="s">
        <v>57</v>
      </c>
      <c r="B65" s="11"/>
      <c r="C65" s="267"/>
      <c r="D65" s="191"/>
      <c r="E65" s="247"/>
      <c r="F65" s="235"/>
      <c r="G65" s="235"/>
      <c r="H65" s="268"/>
      <c r="I65" s="281">
        <v>1.0</v>
      </c>
      <c r="J65" s="284"/>
      <c r="K65" s="283">
        <v>1.0</v>
      </c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/>
      <c r="D66" s="227">
        <v>4.0</v>
      </c>
      <c r="E66" s="280"/>
      <c r="F66" s="235" t="s">
        <v>35</v>
      </c>
      <c r="G66" s="235"/>
      <c r="H66" s="272">
        <v>1.25</v>
      </c>
      <c r="I66" s="281">
        <v>1.0</v>
      </c>
      <c r="J66" s="282"/>
      <c r="K66" s="283">
        <v>1.0</v>
      </c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9.2</v>
      </c>
      <c r="N66" s="191"/>
      <c r="O66" s="247"/>
    </row>
    <row r="67">
      <c r="A67" s="12" t="s">
        <v>61</v>
      </c>
      <c r="B67" s="12" t="s">
        <v>59</v>
      </c>
      <c r="C67" s="271"/>
      <c r="D67" s="227">
        <v>1.0</v>
      </c>
      <c r="E67" s="280">
        <v>1.0</v>
      </c>
      <c r="F67" s="235" t="s">
        <v>35</v>
      </c>
      <c r="G67" s="235"/>
      <c r="H67" s="272">
        <v>0.109</v>
      </c>
      <c r="I67" s="281">
        <v>1.0</v>
      </c>
      <c r="J67" s="282"/>
      <c r="K67" s="283">
        <v>1.0</v>
      </c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0.099</v>
      </c>
      <c r="N67" s="191"/>
      <c r="O67" s="247"/>
    </row>
    <row r="68">
      <c r="A68" s="12" t="s">
        <v>62</v>
      </c>
      <c r="B68" s="12" t="s">
        <v>35</v>
      </c>
      <c r="C68" s="267"/>
      <c r="D68" s="227"/>
      <c r="E68" s="280"/>
      <c r="F68" s="235" t="s">
        <v>35</v>
      </c>
      <c r="G68" s="235"/>
      <c r="H68" s="272">
        <v>4.35</v>
      </c>
      <c r="I68" s="281">
        <v>1.0</v>
      </c>
      <c r="J68" s="282">
        <v>4.0</v>
      </c>
      <c r="K68" s="283">
        <v>1.0</v>
      </c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0.35</v>
      </c>
      <c r="N68" s="191"/>
      <c r="O68" s="247"/>
    </row>
    <row r="69">
      <c r="A69" s="12" t="s">
        <v>64</v>
      </c>
      <c r="B69" s="12" t="s">
        <v>59</v>
      </c>
      <c r="C69" s="267"/>
      <c r="D69" s="227"/>
      <c r="E69" s="247"/>
      <c r="F69" s="235" t="s">
        <v>35</v>
      </c>
      <c r="G69" s="235"/>
      <c r="H69" s="272">
        <v>0.34</v>
      </c>
      <c r="I69" s="281">
        <v>1.0</v>
      </c>
      <c r="J69" s="282">
        <v>0.236</v>
      </c>
      <c r="K69" s="283">
        <v>1.0</v>
      </c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0.104</v>
      </c>
      <c r="N69" s="191"/>
      <c r="O69" s="247"/>
    </row>
    <row r="70">
      <c r="A70" s="10" t="s">
        <v>65</v>
      </c>
      <c r="B70" s="11"/>
      <c r="C70" s="267"/>
      <c r="D70" s="191"/>
      <c r="E70" s="247"/>
      <c r="F70" s="235"/>
      <c r="G70" s="235"/>
      <c r="H70" s="268"/>
      <c r="I70" s="281">
        <v>1.0</v>
      </c>
      <c r="J70" s="284"/>
      <c r="K70" s="283">
        <v>1.0</v>
      </c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67"/>
      <c r="D71" s="191"/>
      <c r="E71" s="247"/>
      <c r="F71" s="235" t="s">
        <v>25</v>
      </c>
      <c r="G71" s="285">
        <v>9.0</v>
      </c>
      <c r="H71" s="272">
        <v>0.8</v>
      </c>
      <c r="I71" s="281">
        <v>1.0</v>
      </c>
      <c r="J71" s="282"/>
      <c r="K71" s="283">
        <v>1.0</v>
      </c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8.99</v>
      </c>
      <c r="N71" s="191"/>
      <c r="O71" s="247"/>
    </row>
    <row r="72">
      <c r="A72" s="12" t="s">
        <v>68</v>
      </c>
      <c r="B72" s="12" t="s">
        <v>35</v>
      </c>
      <c r="C72" s="267"/>
      <c r="D72" s="227">
        <v>0.5</v>
      </c>
      <c r="E72" s="247"/>
      <c r="F72" s="235" t="s">
        <v>35</v>
      </c>
      <c r="G72" s="235"/>
      <c r="H72" s="272">
        <v>0.1</v>
      </c>
      <c r="I72" s="281">
        <v>1.0</v>
      </c>
      <c r="J72" s="284"/>
      <c r="K72" s="283">
        <v>1.0</v>
      </c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0.6</v>
      </c>
      <c r="N72" s="191"/>
      <c r="O72" s="247"/>
    </row>
    <row r="73">
      <c r="A73" s="12" t="s">
        <v>70</v>
      </c>
      <c r="B73" s="12" t="s">
        <v>35</v>
      </c>
      <c r="C73" s="267"/>
      <c r="D73" s="191"/>
      <c r="E73" s="247"/>
      <c r="F73" s="235" t="s">
        <v>35</v>
      </c>
      <c r="G73" s="235"/>
      <c r="H73" s="268"/>
      <c r="I73" s="281">
        <v>1.0</v>
      </c>
      <c r="J73" s="284"/>
      <c r="K73" s="283">
        <v>1.0</v>
      </c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67"/>
      <c r="D74" s="227">
        <v>1.0</v>
      </c>
      <c r="E74" s="247"/>
      <c r="F74" s="235" t="s">
        <v>25</v>
      </c>
      <c r="G74" s="235"/>
      <c r="H74" s="272">
        <v>0.22</v>
      </c>
      <c r="I74" s="281">
        <v>1.0</v>
      </c>
      <c r="J74" s="282"/>
      <c r="K74" s="283">
        <v>1.0</v>
      </c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1.158</v>
      </c>
      <c r="N74" s="191"/>
      <c r="O74" s="247"/>
    </row>
    <row r="75">
      <c r="A75" s="12" t="s">
        <v>74</v>
      </c>
      <c r="B75" s="12" t="s">
        <v>17</v>
      </c>
      <c r="C75" s="267"/>
      <c r="D75" s="191"/>
      <c r="E75" s="247"/>
      <c r="F75" s="235" t="s">
        <v>25</v>
      </c>
      <c r="G75" s="235"/>
      <c r="H75" s="272">
        <v>0.496</v>
      </c>
      <c r="I75" s="281">
        <v>1.0</v>
      </c>
      <c r="J75" s="282">
        <v>0.309</v>
      </c>
      <c r="K75" s="283">
        <v>1.0</v>
      </c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0.187</v>
      </c>
      <c r="N75" s="191"/>
      <c r="O75" s="247"/>
    </row>
    <row r="76">
      <c r="A76" s="12" t="s">
        <v>76</v>
      </c>
      <c r="B76" s="12" t="s">
        <v>72</v>
      </c>
      <c r="C76" s="271">
        <v>1.0</v>
      </c>
      <c r="D76" s="191"/>
      <c r="E76" s="247"/>
      <c r="F76" s="235" t="s">
        <v>35</v>
      </c>
      <c r="G76" s="235"/>
      <c r="H76" s="272"/>
      <c r="I76" s="281">
        <v>1.0</v>
      </c>
      <c r="J76" s="282">
        <v>1.0</v>
      </c>
      <c r="K76" s="283">
        <v>1.0</v>
      </c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0.062</v>
      </c>
      <c r="N76" s="191"/>
      <c r="O76" s="247"/>
    </row>
    <row r="77">
      <c r="A77" s="12" t="s">
        <v>77</v>
      </c>
      <c r="B77" s="12" t="s">
        <v>78</v>
      </c>
      <c r="C77" s="267"/>
      <c r="D77" s="191"/>
      <c r="E77" s="247"/>
      <c r="F77" s="235" t="s">
        <v>25</v>
      </c>
      <c r="G77" s="235"/>
      <c r="H77" s="272"/>
      <c r="I77" s="281">
        <v>1.0</v>
      </c>
      <c r="J77" s="284"/>
      <c r="K77" s="283">
        <v>1.0</v>
      </c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</v>
      </c>
      <c r="N77" s="191"/>
      <c r="O77" s="247"/>
    </row>
    <row r="78">
      <c r="A78" s="12" t="s">
        <v>80</v>
      </c>
      <c r="B78" s="12" t="s">
        <v>56</v>
      </c>
      <c r="C78" s="267"/>
      <c r="D78" s="191"/>
      <c r="E78" s="247"/>
      <c r="F78" s="235" t="s">
        <v>35</v>
      </c>
      <c r="G78" s="235"/>
      <c r="H78" s="268"/>
      <c r="I78" s="281">
        <v>1.0</v>
      </c>
      <c r="J78" s="284"/>
      <c r="K78" s="283">
        <v>1.0</v>
      </c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67"/>
      <c r="D79" s="227">
        <v>1.0</v>
      </c>
      <c r="E79" s="247"/>
      <c r="F79" s="235" t="s">
        <v>35</v>
      </c>
      <c r="G79" s="235"/>
      <c r="H79" s="272">
        <v>0.45</v>
      </c>
      <c r="I79" s="281">
        <v>1.0</v>
      </c>
      <c r="J79" s="282">
        <v>0.399</v>
      </c>
      <c r="K79" s="283">
        <v>1.0</v>
      </c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0.551</v>
      </c>
      <c r="N79" s="191"/>
      <c r="O79" s="247"/>
    </row>
    <row r="80">
      <c r="A80" s="10" t="s">
        <v>85</v>
      </c>
      <c r="B80" s="11"/>
      <c r="C80" s="267"/>
      <c r="D80" s="191"/>
      <c r="E80" s="247"/>
      <c r="F80" s="235"/>
      <c r="G80" s="235"/>
      <c r="H80" s="268"/>
      <c r="I80" s="281">
        <v>1.0</v>
      </c>
      <c r="J80" s="284"/>
      <c r="K80" s="283">
        <v>1.0</v>
      </c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/>
      <c r="D81" s="227">
        <v>1.0</v>
      </c>
      <c r="E81" s="247"/>
      <c r="F81" s="235" t="s">
        <v>25</v>
      </c>
      <c r="G81" s="235"/>
      <c r="H81" s="272">
        <v>0.47</v>
      </c>
      <c r="I81" s="281">
        <v>1.0</v>
      </c>
      <c r="J81" s="282">
        <v>0.486</v>
      </c>
      <c r="K81" s="283">
        <v>1.0</v>
      </c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0.484</v>
      </c>
      <c r="N81" s="191"/>
      <c r="O81" s="247"/>
    </row>
    <row r="82">
      <c r="A82" s="12" t="s">
        <v>87</v>
      </c>
      <c r="B82" s="12" t="s">
        <v>83</v>
      </c>
      <c r="C82" s="267"/>
      <c r="D82" s="227">
        <v>1.0</v>
      </c>
      <c r="E82" s="280"/>
      <c r="F82" s="235" t="s">
        <v>25</v>
      </c>
      <c r="G82" s="235"/>
      <c r="H82" s="272">
        <v>0.44</v>
      </c>
      <c r="I82" s="281">
        <v>1.0</v>
      </c>
      <c r="J82" s="282">
        <v>0.85</v>
      </c>
      <c r="K82" s="283">
        <v>1.0</v>
      </c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0.09</v>
      </c>
      <c r="N82" s="191"/>
      <c r="O82" s="247"/>
    </row>
    <row r="83">
      <c r="A83" s="12" t="s">
        <v>88</v>
      </c>
      <c r="B83" s="12" t="s">
        <v>83</v>
      </c>
      <c r="C83" s="267"/>
      <c r="D83" s="227">
        <v>1.0</v>
      </c>
      <c r="E83" s="247"/>
      <c r="F83" s="235" t="s">
        <v>25</v>
      </c>
      <c r="G83" s="235"/>
      <c r="H83" s="272">
        <v>0.71</v>
      </c>
      <c r="I83" s="281">
        <v>1.0</v>
      </c>
      <c r="J83" s="282">
        <v>1.011</v>
      </c>
      <c r="K83" s="283">
        <v>1.0</v>
      </c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0.509</v>
      </c>
      <c r="N83" s="191"/>
      <c r="O83" s="247"/>
    </row>
    <row r="84">
      <c r="A84" s="12" t="s">
        <v>89</v>
      </c>
      <c r="B84" s="12" t="s">
        <v>83</v>
      </c>
      <c r="C84" s="271"/>
      <c r="D84" s="227">
        <v>1.0</v>
      </c>
      <c r="E84" s="280"/>
      <c r="F84" s="235" t="s">
        <v>25</v>
      </c>
      <c r="G84" s="235"/>
      <c r="H84" s="272">
        <v>0.42</v>
      </c>
      <c r="I84" s="281">
        <v>1.0</v>
      </c>
      <c r="J84" s="282">
        <v>0.809</v>
      </c>
      <c r="K84" s="283">
        <v>1.0</v>
      </c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0.121</v>
      </c>
      <c r="N84" s="191"/>
      <c r="O84" s="247"/>
    </row>
    <row r="85">
      <c r="A85" s="12" t="s">
        <v>90</v>
      </c>
      <c r="B85" s="12" t="s">
        <v>24</v>
      </c>
      <c r="C85" s="271"/>
      <c r="D85" s="191"/>
      <c r="E85" s="280"/>
      <c r="F85" s="235" t="s">
        <v>25</v>
      </c>
      <c r="G85" s="235"/>
      <c r="H85" s="272">
        <v>0.087</v>
      </c>
      <c r="I85" s="281">
        <v>1.0</v>
      </c>
      <c r="J85" s="282">
        <v>0.073</v>
      </c>
      <c r="K85" s="283">
        <v>1.0</v>
      </c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0.014</v>
      </c>
      <c r="N85" s="191"/>
      <c r="O85" s="247"/>
    </row>
    <row r="86">
      <c r="A86" s="12" t="s">
        <v>91</v>
      </c>
      <c r="B86" s="12" t="s">
        <v>56</v>
      </c>
      <c r="C86" s="267"/>
      <c r="D86" s="227">
        <v>1.0</v>
      </c>
      <c r="E86" s="280"/>
      <c r="F86" s="235" t="s">
        <v>25</v>
      </c>
      <c r="G86" s="235"/>
      <c r="H86" s="272">
        <v>1.25</v>
      </c>
      <c r="I86" s="281">
        <v>1.0</v>
      </c>
      <c r="J86" s="284"/>
      <c r="K86" s="283">
        <v>1.0</v>
      </c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6.13</v>
      </c>
      <c r="N86" s="191"/>
      <c r="O86" s="247"/>
    </row>
    <row r="87">
      <c r="A87" s="12" t="s">
        <v>92</v>
      </c>
      <c r="B87" s="12" t="s">
        <v>83</v>
      </c>
      <c r="C87" s="267"/>
      <c r="D87" s="191"/>
      <c r="E87" s="247"/>
      <c r="F87" s="235" t="s">
        <v>25</v>
      </c>
      <c r="G87" s="235"/>
      <c r="H87" s="272">
        <v>0.735</v>
      </c>
      <c r="I87" s="281">
        <v>1.0</v>
      </c>
      <c r="J87" s="282">
        <v>0.72</v>
      </c>
      <c r="K87" s="283">
        <v>1.0</v>
      </c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0.015</v>
      </c>
      <c r="N87" s="191"/>
      <c r="O87" s="247"/>
    </row>
    <row r="88">
      <c r="A88" s="12" t="s">
        <v>93</v>
      </c>
      <c r="B88" s="12" t="s">
        <v>83</v>
      </c>
      <c r="C88" s="267"/>
      <c r="D88" s="191"/>
      <c r="E88" s="247"/>
      <c r="F88" s="235" t="s">
        <v>25</v>
      </c>
      <c r="G88" s="235"/>
      <c r="H88" s="272">
        <v>0.85</v>
      </c>
      <c r="I88" s="281">
        <v>1.0</v>
      </c>
      <c r="J88" s="282">
        <v>0.85</v>
      </c>
      <c r="K88" s="283">
        <v>1.0</v>
      </c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</v>
      </c>
      <c r="N88" s="191"/>
      <c r="O88" s="247"/>
    </row>
    <row r="89">
      <c r="A89" s="12" t="s">
        <v>95</v>
      </c>
      <c r="B89" s="12" t="s">
        <v>83</v>
      </c>
      <c r="C89" s="267"/>
      <c r="D89" s="191"/>
      <c r="E89" s="247"/>
      <c r="F89" s="235" t="s">
        <v>25</v>
      </c>
      <c r="G89" s="235"/>
      <c r="H89" s="268"/>
      <c r="I89" s="281">
        <v>1.0</v>
      </c>
      <c r="J89" s="284"/>
      <c r="K89" s="283">
        <v>1.0</v>
      </c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</v>
      </c>
      <c r="N89" s="191"/>
      <c r="O89" s="247"/>
    </row>
    <row r="90">
      <c r="A90" s="10" t="s">
        <v>96</v>
      </c>
      <c r="B90" s="11"/>
      <c r="C90" s="267"/>
      <c r="D90" s="191"/>
      <c r="E90" s="247"/>
      <c r="F90" s="235"/>
      <c r="G90" s="235"/>
      <c r="H90" s="268"/>
      <c r="I90" s="281">
        <v>1.0</v>
      </c>
      <c r="J90" s="284"/>
      <c r="K90" s="283">
        <v>1.0</v>
      </c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67"/>
      <c r="D91" s="191"/>
      <c r="E91" s="247"/>
      <c r="F91" s="235" t="s">
        <v>35</v>
      </c>
      <c r="G91" s="235"/>
      <c r="H91" s="272">
        <v>0.439</v>
      </c>
      <c r="I91" s="281">
        <v>1.0</v>
      </c>
      <c r="J91" s="282">
        <v>0.402</v>
      </c>
      <c r="K91" s="283">
        <v>1.0</v>
      </c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0.037</v>
      </c>
      <c r="N91" s="191"/>
      <c r="O91" s="247"/>
    </row>
    <row r="92">
      <c r="A92" s="12" t="s">
        <v>99</v>
      </c>
      <c r="B92" s="12" t="s">
        <v>40</v>
      </c>
      <c r="C92" s="271">
        <v>2.0</v>
      </c>
      <c r="D92" s="191"/>
      <c r="E92" s="247"/>
      <c r="F92" s="235" t="s">
        <v>35</v>
      </c>
      <c r="G92" s="235"/>
      <c r="H92" s="272">
        <v>0.089</v>
      </c>
      <c r="I92" s="281">
        <v>1.0</v>
      </c>
      <c r="J92" s="282">
        <v>1.0</v>
      </c>
      <c r="K92" s="283">
        <v>1.0</v>
      </c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1.089</v>
      </c>
      <c r="N92" s="191"/>
      <c r="O92" s="247"/>
    </row>
    <row r="93">
      <c r="A93" s="12" t="s">
        <v>100</v>
      </c>
      <c r="B93" s="12" t="s">
        <v>40</v>
      </c>
      <c r="C93" s="267"/>
      <c r="D93" s="191"/>
      <c r="E93" s="247"/>
      <c r="F93" s="235" t="s">
        <v>35</v>
      </c>
      <c r="G93" s="235"/>
      <c r="H93" s="272">
        <v>0.421</v>
      </c>
      <c r="I93" s="281">
        <v>1.0</v>
      </c>
      <c r="J93" s="282">
        <v>0.4</v>
      </c>
      <c r="K93" s="283">
        <v>1.0</v>
      </c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0.021</v>
      </c>
      <c r="N93" s="191"/>
      <c r="O93" s="247"/>
    </row>
    <row r="94">
      <c r="A94" s="12" t="s">
        <v>101</v>
      </c>
      <c r="B94" s="12" t="s">
        <v>40</v>
      </c>
      <c r="C94" s="267"/>
      <c r="D94" s="191"/>
      <c r="E94" s="247"/>
      <c r="F94" s="235" t="s">
        <v>35</v>
      </c>
      <c r="G94" s="235"/>
      <c r="H94" s="272"/>
      <c r="I94" s="281">
        <v>1.0</v>
      </c>
      <c r="J94" s="284"/>
      <c r="K94" s="283">
        <v>1.0</v>
      </c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67"/>
      <c r="D95" s="191"/>
      <c r="E95" s="247"/>
      <c r="F95" s="235" t="s">
        <v>35</v>
      </c>
      <c r="G95" s="235"/>
      <c r="H95" s="272">
        <v>0.5</v>
      </c>
      <c r="I95" s="281">
        <v>1.0</v>
      </c>
      <c r="J95" s="282">
        <v>0.293</v>
      </c>
      <c r="K95" s="283">
        <v>1.0</v>
      </c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0.207</v>
      </c>
      <c r="N95" s="191"/>
      <c r="O95" s="247"/>
    </row>
    <row r="96">
      <c r="A96" s="12" t="s">
        <v>103</v>
      </c>
      <c r="B96" s="12" t="s">
        <v>40</v>
      </c>
      <c r="C96" s="267"/>
      <c r="D96" s="191"/>
      <c r="E96" s="247"/>
      <c r="F96" s="235" t="s">
        <v>35</v>
      </c>
      <c r="G96" s="235"/>
      <c r="H96" s="272"/>
      <c r="I96" s="281">
        <v>1.0</v>
      </c>
      <c r="J96" s="282"/>
      <c r="K96" s="283">
        <v>1.0</v>
      </c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67"/>
      <c r="D97" s="191"/>
      <c r="E97" s="247"/>
      <c r="F97" s="235" t="s">
        <v>35</v>
      </c>
      <c r="G97" s="235"/>
      <c r="H97" s="272"/>
      <c r="I97" s="281">
        <v>1.0</v>
      </c>
      <c r="J97" s="284"/>
      <c r="K97" s="283">
        <v>1.0</v>
      </c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247"/>
    </row>
    <row r="98">
      <c r="A98" s="12" t="s">
        <v>105</v>
      </c>
      <c r="B98" s="12" t="s">
        <v>106</v>
      </c>
      <c r="C98" s="267"/>
      <c r="D98" s="227">
        <v>1.0</v>
      </c>
      <c r="E98" s="247"/>
      <c r="F98" s="235" t="s">
        <v>35</v>
      </c>
      <c r="G98" s="235"/>
      <c r="H98" s="272">
        <v>0.193</v>
      </c>
      <c r="I98" s="281">
        <v>1.0</v>
      </c>
      <c r="J98" s="282">
        <v>0.152</v>
      </c>
      <c r="K98" s="283">
        <v>1.0</v>
      </c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1.041</v>
      </c>
      <c r="N98" s="191"/>
      <c r="O98" s="247"/>
    </row>
    <row r="99">
      <c r="A99" s="12" t="s">
        <v>108</v>
      </c>
      <c r="B99" s="12" t="s">
        <v>40</v>
      </c>
      <c r="C99" s="267"/>
      <c r="D99" s="191"/>
      <c r="E99" s="247"/>
      <c r="F99" s="235" t="s">
        <v>35</v>
      </c>
      <c r="G99" s="235"/>
      <c r="H99" s="272">
        <v>0.525</v>
      </c>
      <c r="I99" s="281">
        <v>1.0</v>
      </c>
      <c r="J99" s="282">
        <v>0.525</v>
      </c>
      <c r="K99" s="283">
        <v>1.0</v>
      </c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</v>
      </c>
      <c r="N99" s="191"/>
      <c r="O99" s="247"/>
    </row>
    <row r="100">
      <c r="A100" s="12" t="s">
        <v>109</v>
      </c>
      <c r="B100" s="12" t="s">
        <v>40</v>
      </c>
      <c r="C100" s="267"/>
      <c r="D100" s="191"/>
      <c r="E100" s="247"/>
      <c r="F100" s="235" t="s">
        <v>35</v>
      </c>
      <c r="G100" s="235"/>
      <c r="H100" s="272">
        <v>0.451</v>
      </c>
      <c r="I100" s="281">
        <v>1.0</v>
      </c>
      <c r="J100" s="282">
        <v>0.436</v>
      </c>
      <c r="K100" s="283">
        <v>1.0</v>
      </c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0.015</v>
      </c>
      <c r="N100" s="191"/>
      <c r="O100" s="247"/>
    </row>
    <row r="101">
      <c r="A101" s="12" t="s">
        <v>110</v>
      </c>
      <c r="B101" s="12" t="s">
        <v>40</v>
      </c>
      <c r="C101" s="267"/>
      <c r="D101" s="191"/>
      <c r="E101" s="247"/>
      <c r="F101" s="235" t="s">
        <v>35</v>
      </c>
      <c r="G101" s="235"/>
      <c r="H101" s="272">
        <v>0.318</v>
      </c>
      <c r="I101" s="281">
        <v>1.0</v>
      </c>
      <c r="J101" s="282">
        <v>0.309</v>
      </c>
      <c r="K101" s="283">
        <v>1.0</v>
      </c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0.009</v>
      </c>
      <c r="N101" s="191"/>
      <c r="O101" s="247"/>
    </row>
    <row r="102">
      <c r="A102" s="12" t="s">
        <v>111</v>
      </c>
      <c r="B102" s="12" t="s">
        <v>40</v>
      </c>
      <c r="C102" s="267"/>
      <c r="D102" s="191"/>
      <c r="E102" s="247"/>
      <c r="F102" s="235" t="s">
        <v>35</v>
      </c>
      <c r="G102" s="235"/>
      <c r="H102" s="268"/>
      <c r="I102" s="281">
        <v>1.0</v>
      </c>
      <c r="J102" s="284"/>
      <c r="K102" s="283">
        <v>1.0</v>
      </c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67"/>
      <c r="D103" s="191"/>
      <c r="E103" s="247"/>
      <c r="F103" s="235" t="s">
        <v>35</v>
      </c>
      <c r="G103" s="235"/>
      <c r="H103" s="272">
        <v>0.315</v>
      </c>
      <c r="I103" s="281">
        <v>1.0</v>
      </c>
      <c r="J103" s="282">
        <v>0.246</v>
      </c>
      <c r="K103" s="283">
        <v>1.0</v>
      </c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0.069</v>
      </c>
      <c r="N103" s="191"/>
      <c r="O103" s="247"/>
    </row>
    <row r="104">
      <c r="A104" s="12" t="s">
        <v>114</v>
      </c>
      <c r="B104" s="12" t="s">
        <v>40</v>
      </c>
      <c r="C104" s="267"/>
      <c r="D104" s="191"/>
      <c r="E104" s="247"/>
      <c r="F104" s="235" t="s">
        <v>35</v>
      </c>
      <c r="G104" s="285"/>
      <c r="H104" s="272">
        <v>0.49</v>
      </c>
      <c r="I104" s="281">
        <v>1.0</v>
      </c>
      <c r="J104" s="282">
        <v>0.49</v>
      </c>
      <c r="K104" s="283">
        <v>1.0</v>
      </c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</v>
      </c>
      <c r="N104" s="191"/>
      <c r="O104" s="247"/>
    </row>
    <row r="105">
      <c r="A105" s="12" t="s">
        <v>116</v>
      </c>
      <c r="B105" s="12" t="s">
        <v>40</v>
      </c>
      <c r="C105" s="267"/>
      <c r="D105" s="191"/>
      <c r="E105" s="247"/>
      <c r="F105" s="235" t="s">
        <v>35</v>
      </c>
      <c r="G105" s="235"/>
      <c r="H105" s="268"/>
      <c r="I105" s="281">
        <v>1.0</v>
      </c>
      <c r="J105" s="284"/>
      <c r="K105" s="283">
        <v>1.0</v>
      </c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67"/>
      <c r="D106" s="191"/>
      <c r="E106" s="247"/>
      <c r="F106" s="235" t="s">
        <v>35</v>
      </c>
      <c r="G106" s="285"/>
      <c r="H106" s="272"/>
      <c r="I106" s="281">
        <v>1.0</v>
      </c>
      <c r="J106" s="282"/>
      <c r="K106" s="283">
        <v>1.0</v>
      </c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</v>
      </c>
      <c r="N106" s="191"/>
      <c r="O106" s="247"/>
    </row>
    <row r="107">
      <c r="A107" s="12" t="s">
        <v>118</v>
      </c>
      <c r="B107" s="12" t="s">
        <v>40</v>
      </c>
      <c r="C107" s="267"/>
      <c r="D107" s="191"/>
      <c r="E107" s="247"/>
      <c r="F107" s="235" t="s">
        <v>35</v>
      </c>
      <c r="G107" s="235"/>
      <c r="H107" s="272">
        <v>0.425</v>
      </c>
      <c r="I107" s="281">
        <v>1.0</v>
      </c>
      <c r="J107" s="282">
        <v>0.225</v>
      </c>
      <c r="K107" s="283">
        <v>1.0</v>
      </c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0.2</v>
      </c>
      <c r="N107" s="191"/>
      <c r="O107" s="247"/>
    </row>
    <row r="108">
      <c r="A108" s="12" t="s">
        <v>119</v>
      </c>
      <c r="B108" s="12" t="s">
        <v>40</v>
      </c>
      <c r="C108" s="267"/>
      <c r="D108" s="191"/>
      <c r="E108" s="247"/>
      <c r="F108" s="235" t="s">
        <v>35</v>
      </c>
      <c r="G108" s="235"/>
      <c r="H108" s="272">
        <f>0.251+0.5</f>
        <v>0.751</v>
      </c>
      <c r="I108" s="281">
        <v>1.0</v>
      </c>
      <c r="J108" s="284">
        <f>0.25+0.5</f>
        <v>0.75</v>
      </c>
      <c r="K108" s="283">
        <v>1.0</v>
      </c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0.001</v>
      </c>
      <c r="N108" s="191"/>
      <c r="O108" s="247"/>
    </row>
    <row r="109">
      <c r="A109" s="12" t="s">
        <v>120</v>
      </c>
      <c r="B109" s="12" t="s">
        <v>40</v>
      </c>
      <c r="C109" s="267"/>
      <c r="D109" s="191"/>
      <c r="E109" s="247"/>
      <c r="F109" s="235" t="s">
        <v>35</v>
      </c>
      <c r="G109" s="235"/>
      <c r="H109" s="272">
        <v>0.156</v>
      </c>
      <c r="I109" s="281">
        <v>1.0</v>
      </c>
      <c r="J109" s="282">
        <v>0.156</v>
      </c>
      <c r="K109" s="283">
        <v>1.0</v>
      </c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</v>
      </c>
      <c r="N109" s="191"/>
      <c r="O109" s="247"/>
    </row>
    <row r="110">
      <c r="A110" s="12" t="s">
        <v>121</v>
      </c>
      <c r="B110" s="12" t="s">
        <v>40</v>
      </c>
      <c r="C110" s="267"/>
      <c r="D110" s="191"/>
      <c r="E110" s="247"/>
      <c r="F110" s="235" t="s">
        <v>35</v>
      </c>
      <c r="G110" s="235"/>
      <c r="H110" s="272">
        <v>0.393</v>
      </c>
      <c r="I110" s="281">
        <v>1.0</v>
      </c>
      <c r="J110" s="284"/>
      <c r="K110" s="283">
        <v>1.0</v>
      </c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0.38</v>
      </c>
      <c r="N110" s="191"/>
      <c r="O110" s="247"/>
    </row>
    <row r="111">
      <c r="A111" s="12" t="s">
        <v>122</v>
      </c>
      <c r="B111" s="12" t="s">
        <v>40</v>
      </c>
      <c r="C111" s="267"/>
      <c r="D111" s="191"/>
      <c r="E111" s="247"/>
      <c r="F111" s="235" t="s">
        <v>35</v>
      </c>
      <c r="G111" s="235"/>
      <c r="H111" s="268"/>
      <c r="I111" s="281">
        <v>1.0</v>
      </c>
      <c r="J111" s="284"/>
      <c r="K111" s="283">
        <v>1.0</v>
      </c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67"/>
      <c r="D112" s="191"/>
      <c r="E112" s="247"/>
      <c r="F112" s="235" t="s">
        <v>35</v>
      </c>
      <c r="G112" s="235"/>
      <c r="H112" s="272">
        <v>0.086</v>
      </c>
      <c r="I112" s="281">
        <v>1.0</v>
      </c>
      <c r="J112" s="282">
        <v>0.086</v>
      </c>
      <c r="K112" s="283">
        <v>1.0</v>
      </c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</v>
      </c>
      <c r="N112" s="191"/>
      <c r="O112" s="247"/>
    </row>
    <row r="113">
      <c r="A113" s="12" t="s">
        <v>124</v>
      </c>
      <c r="B113" s="12" t="s">
        <v>40</v>
      </c>
      <c r="C113" s="267"/>
      <c r="D113" s="191"/>
      <c r="E113" s="247"/>
      <c r="F113" s="235" t="s">
        <v>35</v>
      </c>
      <c r="G113" s="235"/>
      <c r="H113" s="272">
        <v>0.148</v>
      </c>
      <c r="I113" s="281">
        <v>1.0</v>
      </c>
      <c r="J113" s="282">
        <v>0.144</v>
      </c>
      <c r="K113" s="283">
        <v>1.0</v>
      </c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0.004</v>
      </c>
      <c r="N113" s="191"/>
      <c r="O113" s="247"/>
    </row>
    <row r="114">
      <c r="A114" s="12" t="s">
        <v>125</v>
      </c>
      <c r="B114" s="12" t="s">
        <v>40</v>
      </c>
      <c r="C114" s="267"/>
      <c r="D114" s="191"/>
      <c r="E114" s="247"/>
      <c r="F114" s="235" t="s">
        <v>35</v>
      </c>
      <c r="G114" s="235"/>
      <c r="H114" s="268"/>
      <c r="I114" s="281">
        <v>1.0</v>
      </c>
      <c r="J114" s="284"/>
      <c r="K114" s="283">
        <v>1.0</v>
      </c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67"/>
      <c r="D115" s="191"/>
      <c r="E115" s="247"/>
      <c r="F115" s="235" t="s">
        <v>35</v>
      </c>
      <c r="G115" s="235"/>
      <c r="H115" s="272">
        <f>0.52+0.5</f>
        <v>1.02</v>
      </c>
      <c r="I115" s="281">
        <v>1.0</v>
      </c>
      <c r="J115" s="282">
        <f>0.469+0.509</f>
        <v>0.978</v>
      </c>
      <c r="K115" s="283">
        <v>1.0</v>
      </c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0.042</v>
      </c>
      <c r="N115" s="191"/>
      <c r="O115" s="247"/>
    </row>
    <row r="116">
      <c r="A116" s="12" t="s">
        <v>127</v>
      </c>
      <c r="B116" s="12" t="s">
        <v>40</v>
      </c>
      <c r="C116" s="271"/>
      <c r="D116" s="191"/>
      <c r="E116" s="247"/>
      <c r="F116" s="235" t="s">
        <v>35</v>
      </c>
      <c r="G116" s="235"/>
      <c r="H116" s="272">
        <v>0.088</v>
      </c>
      <c r="I116" s="281">
        <v>1.0</v>
      </c>
      <c r="J116" s="282">
        <v>0.087</v>
      </c>
      <c r="K116" s="283">
        <v>1.0</v>
      </c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0.001</v>
      </c>
      <c r="N116" s="191"/>
      <c r="O116" s="247"/>
    </row>
    <row r="117">
      <c r="A117" s="12" t="s">
        <v>128</v>
      </c>
      <c r="B117" s="12" t="s">
        <v>40</v>
      </c>
      <c r="C117" s="271">
        <v>1.0</v>
      </c>
      <c r="D117" s="191"/>
      <c r="E117" s="247"/>
      <c r="F117" s="235" t="s">
        <v>35</v>
      </c>
      <c r="G117" s="235"/>
      <c r="H117" s="272">
        <v>0.01</v>
      </c>
      <c r="I117" s="281">
        <v>1.0</v>
      </c>
      <c r="J117" s="282">
        <v>0.01</v>
      </c>
      <c r="K117" s="283">
        <v>1.0</v>
      </c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0.05</v>
      </c>
      <c r="N117" s="191"/>
      <c r="O117" s="247"/>
    </row>
    <row r="118">
      <c r="A118" s="12" t="s">
        <v>129</v>
      </c>
      <c r="B118" s="12" t="s">
        <v>40</v>
      </c>
      <c r="C118" s="267"/>
      <c r="D118" s="227"/>
      <c r="E118" s="247"/>
      <c r="F118" s="235" t="s">
        <v>35</v>
      </c>
      <c r="G118" s="285">
        <v>1.0</v>
      </c>
      <c r="H118" s="272"/>
      <c r="I118" s="281">
        <v>1.0</v>
      </c>
      <c r="J118" s="282">
        <v>1.0</v>
      </c>
      <c r="K118" s="283">
        <v>1.0</v>
      </c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0.011</v>
      </c>
      <c r="N118" s="191"/>
      <c r="O118" s="247"/>
    </row>
    <row r="119">
      <c r="A119" s="12" t="s">
        <v>130</v>
      </c>
      <c r="B119" s="12" t="s">
        <v>40</v>
      </c>
      <c r="C119" s="267"/>
      <c r="D119" s="191"/>
      <c r="E119" s="247"/>
      <c r="F119" s="235" t="s">
        <v>35</v>
      </c>
      <c r="G119" s="235"/>
      <c r="H119" s="272">
        <v>0.596</v>
      </c>
      <c r="I119" s="281">
        <v>1.0</v>
      </c>
      <c r="J119" s="282">
        <v>0.263</v>
      </c>
      <c r="K119" s="283">
        <v>1.0</v>
      </c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0.333</v>
      </c>
      <c r="N119" s="191"/>
      <c r="O119" s="247"/>
    </row>
    <row r="120">
      <c r="A120" s="12" t="s">
        <v>131</v>
      </c>
      <c r="B120" s="12" t="s">
        <v>40</v>
      </c>
      <c r="C120" s="267"/>
      <c r="D120" s="191"/>
      <c r="E120" s="247"/>
      <c r="F120" s="235" t="s">
        <v>35</v>
      </c>
      <c r="G120" s="235"/>
      <c r="H120" s="272">
        <v>0.099</v>
      </c>
      <c r="I120" s="281">
        <v>1.0</v>
      </c>
      <c r="J120" s="282">
        <v>0.093</v>
      </c>
      <c r="K120" s="283">
        <v>1.0</v>
      </c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0.006</v>
      </c>
      <c r="N120" s="191"/>
      <c r="O120" s="247"/>
    </row>
    <row r="121">
      <c r="A121" s="12" t="s">
        <v>132</v>
      </c>
      <c r="B121" s="12" t="s">
        <v>40</v>
      </c>
      <c r="C121" s="267"/>
      <c r="D121" s="191"/>
      <c r="E121" s="247"/>
      <c r="F121" s="235" t="s">
        <v>35</v>
      </c>
      <c r="G121" s="235"/>
      <c r="H121" s="272">
        <v>0.167</v>
      </c>
      <c r="I121" s="281">
        <v>1.0</v>
      </c>
      <c r="J121" s="282">
        <v>0.141</v>
      </c>
      <c r="K121" s="283">
        <v>1.0</v>
      </c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0.026</v>
      </c>
      <c r="N121" s="191"/>
      <c r="O121" s="247"/>
    </row>
    <row r="122">
      <c r="A122" s="12" t="s">
        <v>133</v>
      </c>
      <c r="B122" s="12" t="s">
        <v>40</v>
      </c>
      <c r="C122" s="267"/>
      <c r="D122" s="191"/>
      <c r="E122" s="247"/>
      <c r="F122" s="235" t="s">
        <v>35</v>
      </c>
      <c r="G122" s="235"/>
      <c r="H122" s="272">
        <v>0.087</v>
      </c>
      <c r="I122" s="281">
        <v>1.0</v>
      </c>
      <c r="J122" s="282">
        <v>0.083</v>
      </c>
      <c r="K122" s="283">
        <v>1.0</v>
      </c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0.004</v>
      </c>
      <c r="N122" s="191"/>
      <c r="O122" s="247"/>
    </row>
    <row r="123">
      <c r="A123" s="12" t="s">
        <v>134</v>
      </c>
      <c r="B123" s="12" t="s">
        <v>40</v>
      </c>
      <c r="C123" s="267"/>
      <c r="D123" s="191"/>
      <c r="E123" s="247"/>
      <c r="F123" s="235" t="s">
        <v>35</v>
      </c>
      <c r="G123" s="235"/>
      <c r="H123" s="268"/>
      <c r="I123" s="281">
        <v>1.0</v>
      </c>
      <c r="J123" s="284"/>
      <c r="K123" s="283">
        <v>1.0</v>
      </c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67"/>
      <c r="D124" s="191"/>
      <c r="E124" s="247"/>
      <c r="F124" s="235" t="s">
        <v>35</v>
      </c>
      <c r="G124" s="235"/>
      <c r="H124" s="268"/>
      <c r="I124" s="281">
        <v>1.0</v>
      </c>
      <c r="J124" s="284"/>
      <c r="K124" s="283">
        <v>1.0</v>
      </c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67"/>
      <c r="D125" s="227">
        <v>3.0</v>
      </c>
      <c r="E125" s="247"/>
      <c r="F125" s="285" t="s">
        <v>35</v>
      </c>
      <c r="G125" s="235"/>
      <c r="H125" s="268"/>
      <c r="I125" s="281">
        <v>1.0</v>
      </c>
      <c r="J125" s="284"/>
      <c r="K125" s="283">
        <v>1.0</v>
      </c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1.44</v>
      </c>
      <c r="N125" s="191"/>
      <c r="O125" s="247"/>
    </row>
    <row r="126">
      <c r="A126" s="21" t="s">
        <v>143</v>
      </c>
      <c r="B126" s="15" t="s">
        <v>40</v>
      </c>
      <c r="C126" s="267"/>
      <c r="D126" s="191"/>
      <c r="E126" s="247"/>
      <c r="F126" s="285" t="s">
        <v>35</v>
      </c>
      <c r="G126" s="235"/>
      <c r="H126" s="272">
        <v>0.242</v>
      </c>
      <c r="I126" s="281">
        <v>1.0</v>
      </c>
      <c r="J126" s="282">
        <v>0.24</v>
      </c>
      <c r="K126" s="283">
        <v>1.0</v>
      </c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0.002</v>
      </c>
      <c r="N126" s="191"/>
      <c r="O126" s="247"/>
    </row>
    <row r="127">
      <c r="A127" s="10" t="s">
        <v>146</v>
      </c>
      <c r="B127" s="11"/>
      <c r="C127" s="267"/>
      <c r="D127" s="191"/>
      <c r="E127" s="247"/>
      <c r="F127" s="235"/>
      <c r="G127" s="235"/>
      <c r="H127" s="268"/>
      <c r="I127" s="281">
        <v>1.0</v>
      </c>
      <c r="J127" s="284"/>
      <c r="K127" s="283">
        <v>1.0</v>
      </c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67"/>
      <c r="D128" s="191"/>
      <c r="E128" s="247"/>
      <c r="F128" s="235" t="s">
        <v>35</v>
      </c>
      <c r="G128" s="235"/>
      <c r="H128" s="268"/>
      <c r="I128" s="281">
        <v>1.0</v>
      </c>
      <c r="J128" s="284"/>
      <c r="K128" s="283">
        <v>1.0</v>
      </c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67"/>
      <c r="D129" s="191"/>
      <c r="E129" s="247"/>
      <c r="F129" s="235" t="s">
        <v>35</v>
      </c>
      <c r="G129" s="285">
        <v>1.0</v>
      </c>
      <c r="H129" s="272">
        <v>0.898</v>
      </c>
      <c r="I129" s="281">
        <v>1.0</v>
      </c>
      <c r="J129" s="282">
        <v>1.75</v>
      </c>
      <c r="K129" s="283">
        <v>1.0</v>
      </c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0.148</v>
      </c>
      <c r="N129" s="191"/>
      <c r="O129" s="247"/>
    </row>
    <row r="130">
      <c r="A130" s="12" t="s">
        <v>149</v>
      </c>
      <c r="B130" s="12" t="s">
        <v>40</v>
      </c>
      <c r="C130" s="267"/>
      <c r="D130" s="191"/>
      <c r="E130" s="247"/>
      <c r="F130" s="235" t="s">
        <v>35</v>
      </c>
      <c r="G130" s="235"/>
      <c r="H130" s="272">
        <v>0.295</v>
      </c>
      <c r="I130" s="281">
        <v>1.0</v>
      </c>
      <c r="J130" s="282"/>
      <c r="K130" s="283">
        <v>1.0</v>
      </c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0.195</v>
      </c>
      <c r="N130" s="191"/>
      <c r="O130" s="247"/>
    </row>
    <row r="131">
      <c r="A131" s="12" t="s">
        <v>150</v>
      </c>
      <c r="B131" s="12" t="s">
        <v>24</v>
      </c>
      <c r="C131" s="267"/>
      <c r="D131" s="191"/>
      <c r="E131" s="247"/>
      <c r="F131" s="235" t="s">
        <v>25</v>
      </c>
      <c r="G131" s="235"/>
      <c r="H131" s="268"/>
      <c r="I131" s="281">
        <v>1.0</v>
      </c>
      <c r="J131" s="284"/>
      <c r="K131" s="283">
        <v>1.0</v>
      </c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67"/>
      <c r="D132" s="191"/>
      <c r="E132" s="247"/>
      <c r="F132" s="235"/>
      <c r="G132" s="235"/>
      <c r="H132" s="268"/>
      <c r="I132" s="281">
        <v>1.0</v>
      </c>
      <c r="J132" s="284"/>
      <c r="K132" s="283">
        <v>1.0</v>
      </c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67"/>
      <c r="D133" s="227">
        <v>2.0</v>
      </c>
      <c r="E133" s="247"/>
      <c r="F133" s="235" t="s">
        <v>35</v>
      </c>
      <c r="G133" s="235"/>
      <c r="H133" s="272"/>
      <c r="I133" s="281">
        <v>1.0</v>
      </c>
      <c r="J133" s="284"/>
      <c r="K133" s="283">
        <v>1.0</v>
      </c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0.4</v>
      </c>
      <c r="N133" s="191"/>
      <c r="O133" s="247"/>
    </row>
    <row r="134">
      <c r="A134" s="12" t="s">
        <v>154</v>
      </c>
      <c r="B134" s="12" t="s">
        <v>155</v>
      </c>
      <c r="C134" s="267"/>
      <c r="D134" s="191"/>
      <c r="E134" s="247"/>
      <c r="F134" s="235" t="s">
        <v>35</v>
      </c>
      <c r="G134" s="235"/>
      <c r="H134" s="268"/>
      <c r="I134" s="281">
        <v>1.0</v>
      </c>
      <c r="J134" s="284"/>
      <c r="K134" s="283">
        <v>1.0</v>
      </c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>
        <v>1.0</v>
      </c>
      <c r="D135" s="227">
        <v>1.0</v>
      </c>
      <c r="E135" s="280"/>
      <c r="F135" s="235" t="s">
        <v>35</v>
      </c>
      <c r="G135" s="235"/>
      <c r="H135" s="272"/>
      <c r="I135" s="281">
        <v>1.0</v>
      </c>
      <c r="J135" s="282">
        <v>0.251</v>
      </c>
      <c r="K135" s="283">
        <v>1.0</v>
      </c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0.654</v>
      </c>
      <c r="N135" s="191"/>
      <c r="O135" s="247"/>
    </row>
    <row r="136">
      <c r="A136" s="12" t="s">
        <v>158</v>
      </c>
      <c r="B136" s="12" t="s">
        <v>34</v>
      </c>
      <c r="C136" s="271">
        <v>1.0</v>
      </c>
      <c r="D136" s="191"/>
      <c r="E136" s="247"/>
      <c r="F136" s="235" t="s">
        <v>35</v>
      </c>
      <c r="G136" s="235"/>
      <c r="H136" s="272"/>
      <c r="I136" s="281">
        <v>1.0</v>
      </c>
      <c r="J136" s="282">
        <v>0.318</v>
      </c>
      <c r="K136" s="283">
        <v>1.0</v>
      </c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0.163</v>
      </c>
      <c r="N136" s="191"/>
      <c r="O136" s="247"/>
    </row>
    <row r="137">
      <c r="A137" s="12" t="s">
        <v>159</v>
      </c>
      <c r="B137" s="12" t="s">
        <v>34</v>
      </c>
      <c r="C137" s="267"/>
      <c r="D137" s="191"/>
      <c r="E137" s="247"/>
      <c r="F137" s="235" t="s">
        <v>35</v>
      </c>
      <c r="G137" s="235"/>
      <c r="H137" s="268"/>
      <c r="I137" s="281">
        <v>1.0</v>
      </c>
      <c r="J137" s="284"/>
      <c r="K137" s="283">
        <v>1.0</v>
      </c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67"/>
      <c r="D138" s="191"/>
      <c r="E138" s="247"/>
      <c r="F138" s="235" t="s">
        <v>35</v>
      </c>
      <c r="G138" s="235"/>
      <c r="H138" s="272">
        <v>0.482</v>
      </c>
      <c r="I138" s="281">
        <v>1.0</v>
      </c>
      <c r="J138" s="282">
        <v>0.456</v>
      </c>
      <c r="K138" s="283">
        <v>1.0</v>
      </c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0.026</v>
      </c>
      <c r="N138" s="191"/>
      <c r="O138" s="247"/>
    </row>
    <row r="139">
      <c r="A139" s="12" t="s">
        <v>161</v>
      </c>
      <c r="B139" s="12" t="s">
        <v>34</v>
      </c>
      <c r="C139" s="267"/>
      <c r="D139" s="191"/>
      <c r="E139" s="247"/>
      <c r="F139" s="235" t="s">
        <v>35</v>
      </c>
      <c r="G139" s="235"/>
      <c r="H139" s="272">
        <v>0.413</v>
      </c>
      <c r="I139" s="281">
        <v>1.0</v>
      </c>
      <c r="J139" s="282">
        <v>0.318</v>
      </c>
      <c r="K139" s="283">
        <v>1.0</v>
      </c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0.095</v>
      </c>
      <c r="N139" s="191"/>
      <c r="O139" s="247"/>
    </row>
    <row r="140">
      <c r="A140" s="12" t="s">
        <v>162</v>
      </c>
      <c r="B140" s="12" t="s">
        <v>34</v>
      </c>
      <c r="C140" s="267"/>
      <c r="D140" s="191"/>
      <c r="E140" s="247"/>
      <c r="F140" s="235" t="s">
        <v>35</v>
      </c>
      <c r="G140" s="235"/>
      <c r="H140" s="272"/>
      <c r="I140" s="281">
        <v>1.0</v>
      </c>
      <c r="J140" s="282"/>
      <c r="K140" s="283">
        <v>1.0</v>
      </c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247"/>
    </row>
    <row r="141">
      <c r="A141" s="12" t="s">
        <v>163</v>
      </c>
      <c r="B141" s="12" t="s">
        <v>34</v>
      </c>
      <c r="C141" s="267"/>
      <c r="D141" s="227">
        <v>1.0</v>
      </c>
      <c r="E141" s="247"/>
      <c r="F141" s="235" t="s">
        <v>35</v>
      </c>
      <c r="G141" s="235"/>
      <c r="H141" s="272">
        <v>0.077</v>
      </c>
      <c r="I141" s="281">
        <v>1.0</v>
      </c>
      <c r="J141" s="282">
        <v>0.038</v>
      </c>
      <c r="K141" s="283">
        <v>1.0</v>
      </c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0.409</v>
      </c>
      <c r="N141" s="191"/>
      <c r="O141" s="247"/>
    </row>
    <row r="142">
      <c r="A142" s="12" t="s">
        <v>164</v>
      </c>
      <c r="B142" s="12" t="s">
        <v>155</v>
      </c>
      <c r="C142" s="271"/>
      <c r="D142" s="191"/>
      <c r="E142" s="247"/>
      <c r="F142" s="235" t="s">
        <v>35</v>
      </c>
      <c r="G142" s="235"/>
      <c r="H142" s="272">
        <v>0.107</v>
      </c>
      <c r="I142" s="281">
        <v>1.0</v>
      </c>
      <c r="J142" s="282"/>
      <c r="K142" s="283">
        <v>1.0</v>
      </c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0.003</v>
      </c>
      <c r="N142" s="191"/>
      <c r="O142" s="247"/>
    </row>
    <row r="143">
      <c r="A143" s="12" t="s">
        <v>165</v>
      </c>
      <c r="B143" s="12" t="s">
        <v>155</v>
      </c>
      <c r="C143" s="267"/>
      <c r="D143" s="191"/>
      <c r="E143" s="247"/>
      <c r="F143" s="235" t="s">
        <v>35</v>
      </c>
      <c r="G143" s="235"/>
      <c r="H143" s="268"/>
      <c r="I143" s="281">
        <v>1.0</v>
      </c>
      <c r="J143" s="284"/>
      <c r="K143" s="283">
        <v>1.0</v>
      </c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67"/>
      <c r="D144" s="191"/>
      <c r="E144" s="247"/>
      <c r="F144" s="235" t="s">
        <v>35</v>
      </c>
      <c r="G144" s="235"/>
      <c r="H144" s="272"/>
      <c r="I144" s="281">
        <v>1.0</v>
      </c>
      <c r="J144" s="284"/>
      <c r="K144" s="283">
        <v>1.0</v>
      </c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</v>
      </c>
      <c r="N144" s="191"/>
      <c r="O144" s="247"/>
    </row>
    <row r="145">
      <c r="A145" s="12" t="s">
        <v>167</v>
      </c>
      <c r="B145" s="12" t="s">
        <v>106</v>
      </c>
      <c r="C145" s="271">
        <v>1.0</v>
      </c>
      <c r="D145" s="191"/>
      <c r="E145" s="247"/>
      <c r="F145" s="235" t="s">
        <v>35</v>
      </c>
      <c r="G145" s="235"/>
      <c r="H145" s="272">
        <v>0.113</v>
      </c>
      <c r="I145" s="281">
        <v>1.0</v>
      </c>
      <c r="J145" s="282">
        <v>0.196</v>
      </c>
      <c r="K145" s="283">
        <v>1.0</v>
      </c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0.332</v>
      </c>
      <c r="N145" s="191"/>
      <c r="O145" s="247"/>
    </row>
    <row r="146">
      <c r="A146" s="12" t="s">
        <v>168</v>
      </c>
      <c r="B146" s="12" t="s">
        <v>17</v>
      </c>
      <c r="C146" s="267"/>
      <c r="D146" s="227"/>
      <c r="E146" s="247"/>
      <c r="F146" s="235" t="s">
        <v>35</v>
      </c>
      <c r="G146" s="235"/>
      <c r="H146" s="272">
        <v>0.899</v>
      </c>
      <c r="I146" s="281">
        <v>1.0</v>
      </c>
      <c r="J146" s="282">
        <v>0.699</v>
      </c>
      <c r="K146" s="283">
        <v>1.0</v>
      </c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0.2</v>
      </c>
      <c r="N146" s="191"/>
      <c r="O146" s="247"/>
    </row>
    <row r="147">
      <c r="A147" s="12" t="s">
        <v>169</v>
      </c>
      <c r="B147" s="12" t="s">
        <v>106</v>
      </c>
      <c r="C147" s="267"/>
      <c r="D147" s="191"/>
      <c r="E147" s="247"/>
      <c r="F147" s="235" t="s">
        <v>35</v>
      </c>
      <c r="G147" s="235"/>
      <c r="H147" s="268"/>
      <c r="I147" s="281">
        <v>1.0</v>
      </c>
      <c r="J147" s="284"/>
      <c r="K147" s="283">
        <v>1.0</v>
      </c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67"/>
      <c r="D148" s="191"/>
      <c r="E148" s="247"/>
      <c r="F148" s="235" t="s">
        <v>35</v>
      </c>
      <c r="G148" s="235"/>
      <c r="H148" s="268"/>
      <c r="I148" s="281">
        <v>1.0</v>
      </c>
      <c r="J148" s="284"/>
      <c r="K148" s="283">
        <v>1.0</v>
      </c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>
        <v>1.0</v>
      </c>
      <c r="D149" s="191"/>
      <c r="E149" s="247"/>
      <c r="F149" s="235" t="s">
        <v>14</v>
      </c>
      <c r="G149" s="235"/>
      <c r="H149" s="272">
        <v>0.057</v>
      </c>
      <c r="I149" s="281">
        <v>1.0</v>
      </c>
      <c r="J149" s="282">
        <v>0.057</v>
      </c>
      <c r="K149" s="283">
        <v>1.0</v>
      </c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0.375</v>
      </c>
      <c r="N149" s="191"/>
      <c r="O149" s="247"/>
    </row>
    <row r="150">
      <c r="A150" s="11" t="s">
        <v>173</v>
      </c>
      <c r="B150" s="11" t="s">
        <v>106</v>
      </c>
      <c r="C150" s="267"/>
      <c r="D150" s="287">
        <v>1.0</v>
      </c>
      <c r="E150" s="288"/>
      <c r="F150" s="235" t="s">
        <v>14</v>
      </c>
      <c r="G150" s="289"/>
      <c r="H150" s="290">
        <v>0.181</v>
      </c>
      <c r="I150" s="281">
        <v>1.0</v>
      </c>
      <c r="J150" s="301">
        <v>0.537</v>
      </c>
      <c r="K150" s="283">
        <v>1.0</v>
      </c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0.529</v>
      </c>
      <c r="N150" s="216"/>
      <c r="O150" s="292"/>
    </row>
    <row r="151">
      <c r="A151" s="22" t="s">
        <v>174</v>
      </c>
      <c r="B151" s="23" t="s">
        <v>106</v>
      </c>
      <c r="C151" s="267"/>
      <c r="D151" s="216"/>
      <c r="E151" s="288"/>
      <c r="F151" s="235" t="s">
        <v>14</v>
      </c>
      <c r="G151" s="289"/>
      <c r="H151" s="290">
        <v>0.41</v>
      </c>
      <c r="I151" s="281">
        <v>1.0</v>
      </c>
      <c r="J151" s="301">
        <v>0.403</v>
      </c>
      <c r="K151" s="283">
        <v>1.0</v>
      </c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0.007</v>
      </c>
      <c r="N151" s="216"/>
      <c r="O151" s="292"/>
    </row>
    <row r="152">
      <c r="A152" s="10" t="s">
        <v>175</v>
      </c>
      <c r="B152" s="11"/>
      <c r="C152" s="267"/>
      <c r="D152" s="191"/>
      <c r="E152" s="247"/>
      <c r="F152" s="235"/>
      <c r="G152" s="235"/>
      <c r="H152" s="268"/>
      <c r="I152" s="281">
        <v>1.0</v>
      </c>
      <c r="J152" s="284"/>
      <c r="K152" s="283">
        <v>1.0</v>
      </c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67"/>
      <c r="D153" s="227">
        <v>7.0</v>
      </c>
      <c r="E153" s="247"/>
      <c r="F153" s="235" t="s">
        <v>25</v>
      </c>
      <c r="G153" s="235"/>
      <c r="H153" s="272"/>
      <c r="I153" s="281">
        <v>1.0</v>
      </c>
      <c r="J153" s="284"/>
      <c r="K153" s="283">
        <v>1.0</v>
      </c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7</v>
      </c>
      <c r="N153" s="191"/>
      <c r="O153" s="247"/>
    </row>
    <row r="154">
      <c r="A154" s="12" t="s">
        <v>178</v>
      </c>
      <c r="B154" s="12" t="s">
        <v>35</v>
      </c>
      <c r="C154" s="271"/>
      <c r="D154" s="227">
        <v>10.0</v>
      </c>
      <c r="E154" s="280"/>
      <c r="F154" s="235" t="s">
        <v>35</v>
      </c>
      <c r="G154" s="235"/>
      <c r="H154" s="272">
        <v>0.5</v>
      </c>
      <c r="I154" s="281">
        <v>1.0</v>
      </c>
      <c r="J154" s="282">
        <f>0.5+0.5</f>
        <v>1</v>
      </c>
      <c r="K154" s="283">
        <v>1.0</v>
      </c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4.5</v>
      </c>
      <c r="N154" s="191"/>
      <c r="O154" s="247"/>
    </row>
    <row r="155">
      <c r="A155" s="12" t="s">
        <v>180</v>
      </c>
      <c r="B155" s="12" t="s">
        <v>35</v>
      </c>
      <c r="C155" s="267"/>
      <c r="D155" s="227">
        <v>0.33</v>
      </c>
      <c r="E155" s="247"/>
      <c r="F155" s="235" t="s">
        <v>35</v>
      </c>
      <c r="G155" s="235"/>
      <c r="H155" s="272">
        <v>0.88</v>
      </c>
      <c r="I155" s="281">
        <v>1.0</v>
      </c>
      <c r="J155" s="282">
        <v>0.3</v>
      </c>
      <c r="K155" s="283">
        <v>1.0</v>
      </c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0.943</v>
      </c>
      <c r="N155" s="191"/>
      <c r="O155" s="247"/>
    </row>
    <row r="156">
      <c r="A156" s="12" t="s">
        <v>181</v>
      </c>
      <c r="B156" s="12" t="s">
        <v>35</v>
      </c>
      <c r="C156" s="267"/>
      <c r="D156" s="227">
        <v>1.0</v>
      </c>
      <c r="E156" s="280"/>
      <c r="F156" s="235" t="s">
        <v>35</v>
      </c>
      <c r="G156" s="235"/>
      <c r="H156" s="272">
        <v>0.257</v>
      </c>
      <c r="I156" s="281">
        <v>1.0</v>
      </c>
      <c r="J156" s="282">
        <v>0.078</v>
      </c>
      <c r="K156" s="283">
        <v>1.0</v>
      </c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1.367</v>
      </c>
      <c r="N156" s="191"/>
      <c r="O156" s="247"/>
    </row>
    <row r="157">
      <c r="A157" s="12" t="s">
        <v>182</v>
      </c>
      <c r="B157" s="12" t="s">
        <v>35</v>
      </c>
      <c r="C157" s="271"/>
      <c r="D157" s="191"/>
      <c r="E157" s="247"/>
      <c r="F157" s="235" t="s">
        <v>35</v>
      </c>
      <c r="G157" s="285"/>
      <c r="H157" s="272">
        <v>2.592</v>
      </c>
      <c r="I157" s="281">
        <v>1.0</v>
      </c>
      <c r="J157" s="282"/>
      <c r="K157" s="283">
        <v>1.0</v>
      </c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2.572</v>
      </c>
      <c r="N157" s="191"/>
      <c r="O157" s="247"/>
    </row>
    <row r="158">
      <c r="A158" s="12" t="s">
        <v>183</v>
      </c>
      <c r="B158" s="12" t="s">
        <v>35</v>
      </c>
      <c r="C158" s="267"/>
      <c r="D158" s="191"/>
      <c r="E158" s="247"/>
      <c r="F158" s="235" t="s">
        <v>14</v>
      </c>
      <c r="G158" s="235"/>
      <c r="H158" s="268"/>
      <c r="I158" s="281">
        <v>1.0</v>
      </c>
      <c r="J158" s="284"/>
      <c r="K158" s="283">
        <v>1.0</v>
      </c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67"/>
      <c r="D159" s="191"/>
      <c r="E159" s="247"/>
      <c r="F159" s="235"/>
      <c r="G159" s="235"/>
      <c r="H159" s="268"/>
      <c r="I159" s="281">
        <v>1.0</v>
      </c>
      <c r="J159" s="284"/>
      <c r="K159" s="283">
        <v>1.0</v>
      </c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67"/>
      <c r="D160" s="227">
        <v>2.0</v>
      </c>
      <c r="E160" s="247"/>
      <c r="F160" s="235" t="s">
        <v>17</v>
      </c>
      <c r="G160" s="235"/>
      <c r="H160" s="272">
        <v>2.0</v>
      </c>
      <c r="I160" s="281">
        <v>1.0</v>
      </c>
      <c r="J160" s="282">
        <v>2.0</v>
      </c>
      <c r="K160" s="283">
        <v>1.0</v>
      </c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2</v>
      </c>
      <c r="N160" s="191"/>
      <c r="O160" s="247"/>
    </row>
    <row r="161">
      <c r="A161" s="12" t="s">
        <v>187</v>
      </c>
      <c r="B161" s="12" t="s">
        <v>17</v>
      </c>
      <c r="C161" s="267"/>
      <c r="D161" s="227">
        <v>3.0</v>
      </c>
      <c r="E161" s="247"/>
      <c r="F161" s="235" t="s">
        <v>17</v>
      </c>
      <c r="G161" s="235"/>
      <c r="H161" s="272">
        <v>1.5</v>
      </c>
      <c r="I161" s="281">
        <v>1.0</v>
      </c>
      <c r="J161" s="282"/>
      <c r="K161" s="283">
        <v>1.0</v>
      </c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4.5</v>
      </c>
      <c r="N161" s="191"/>
      <c r="O161" s="247"/>
    </row>
    <row r="162">
      <c r="A162" s="12" t="s">
        <v>188</v>
      </c>
      <c r="B162" s="12" t="s">
        <v>35</v>
      </c>
      <c r="C162" s="267"/>
      <c r="D162" s="227">
        <v>5.0</v>
      </c>
      <c r="E162" s="247"/>
      <c r="F162" s="235" t="s">
        <v>35</v>
      </c>
      <c r="G162" s="235"/>
      <c r="H162" s="272">
        <v>0.799</v>
      </c>
      <c r="I162" s="281">
        <v>1.0</v>
      </c>
      <c r="J162" s="284"/>
      <c r="K162" s="283">
        <v>1.0</v>
      </c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5.799</v>
      </c>
      <c r="N162" s="191"/>
      <c r="O162" s="247"/>
    </row>
    <row r="163">
      <c r="A163" s="12" t="s">
        <v>189</v>
      </c>
      <c r="B163" s="12" t="s">
        <v>17</v>
      </c>
      <c r="C163" s="267"/>
      <c r="D163" s="227">
        <v>1.0</v>
      </c>
      <c r="E163" s="280"/>
      <c r="F163" s="235" t="s">
        <v>17</v>
      </c>
      <c r="G163" s="235"/>
      <c r="H163" s="272">
        <v>1.0</v>
      </c>
      <c r="I163" s="281">
        <v>1.0</v>
      </c>
      <c r="J163" s="282">
        <v>1.0</v>
      </c>
      <c r="K163" s="283">
        <v>1.0</v>
      </c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1</v>
      </c>
      <c r="N163" s="191"/>
      <c r="O163" s="247"/>
    </row>
    <row r="164">
      <c r="A164" s="12" t="s">
        <v>190</v>
      </c>
      <c r="B164" s="12" t="s">
        <v>17</v>
      </c>
      <c r="C164" s="267"/>
      <c r="D164" s="191"/>
      <c r="E164" s="247"/>
      <c r="F164" s="235" t="s">
        <v>17</v>
      </c>
      <c r="G164" s="235"/>
      <c r="H164" s="268"/>
      <c r="I164" s="281">
        <v>1.0</v>
      </c>
      <c r="J164" s="284"/>
      <c r="K164" s="283">
        <v>1.0</v>
      </c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67"/>
      <c r="D165" s="227">
        <v>0.8</v>
      </c>
      <c r="E165" s="247"/>
      <c r="F165" s="235" t="s">
        <v>35</v>
      </c>
      <c r="G165" s="235"/>
      <c r="H165" s="272">
        <v>0.441</v>
      </c>
      <c r="I165" s="281">
        <v>1.0</v>
      </c>
      <c r="J165" s="284"/>
      <c r="K165" s="283">
        <v>1.0</v>
      </c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1.241</v>
      </c>
      <c r="N165" s="191"/>
      <c r="O165" s="247"/>
    </row>
    <row r="166">
      <c r="A166" s="12" t="s">
        <v>192</v>
      </c>
      <c r="B166" s="12" t="s">
        <v>35</v>
      </c>
      <c r="C166" s="267"/>
      <c r="D166" s="227">
        <v>1.5</v>
      </c>
      <c r="E166" s="247"/>
      <c r="F166" s="235" t="s">
        <v>35</v>
      </c>
      <c r="G166" s="285"/>
      <c r="H166" s="272"/>
      <c r="I166" s="281">
        <v>1.0</v>
      </c>
      <c r="J166" s="282"/>
      <c r="K166" s="283">
        <v>1.0</v>
      </c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1.5</v>
      </c>
      <c r="N166" s="191"/>
      <c r="O166" s="247"/>
    </row>
    <row r="167">
      <c r="A167" s="12" t="s">
        <v>193</v>
      </c>
      <c r="B167" s="12" t="s">
        <v>35</v>
      </c>
      <c r="C167" s="267"/>
      <c r="D167" s="227">
        <v>9.0</v>
      </c>
      <c r="E167" s="247"/>
      <c r="F167" s="235" t="s">
        <v>35</v>
      </c>
      <c r="G167" s="235"/>
      <c r="H167" s="272">
        <v>0.906</v>
      </c>
      <c r="I167" s="281">
        <v>1.0</v>
      </c>
      <c r="J167" s="282">
        <v>1.0</v>
      </c>
      <c r="K167" s="283">
        <v>1.0</v>
      </c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8.906</v>
      </c>
      <c r="N167" s="191"/>
      <c r="O167" s="247"/>
    </row>
    <row r="168">
      <c r="A168" s="12" t="s">
        <v>194</v>
      </c>
      <c r="B168" s="12" t="s">
        <v>17</v>
      </c>
      <c r="C168" s="267"/>
      <c r="D168" s="227">
        <v>3.0</v>
      </c>
      <c r="E168" s="247"/>
      <c r="F168" s="235" t="s">
        <v>17</v>
      </c>
      <c r="G168" s="235"/>
      <c r="H168" s="268"/>
      <c r="I168" s="281">
        <v>1.0</v>
      </c>
      <c r="J168" s="284"/>
      <c r="K168" s="283">
        <v>1.0</v>
      </c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3</v>
      </c>
      <c r="N168" s="191"/>
      <c r="O168" s="247"/>
    </row>
    <row r="169">
      <c r="A169" s="12" t="s">
        <v>195</v>
      </c>
      <c r="B169" s="12" t="s">
        <v>35</v>
      </c>
      <c r="C169" s="267"/>
      <c r="D169" s="227">
        <v>0.6</v>
      </c>
      <c r="E169" s="247"/>
      <c r="F169" s="235" t="s">
        <v>35</v>
      </c>
      <c r="G169" s="235"/>
      <c r="H169" s="272">
        <v>0.674</v>
      </c>
      <c r="I169" s="281">
        <v>1.0</v>
      </c>
      <c r="J169" s="282">
        <v>0.407</v>
      </c>
      <c r="K169" s="283">
        <v>1.0</v>
      </c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0.867</v>
      </c>
      <c r="N169" s="191"/>
      <c r="O169" s="247"/>
    </row>
    <row r="170">
      <c r="A170" s="12" t="s">
        <v>196</v>
      </c>
      <c r="B170" s="12" t="s">
        <v>35</v>
      </c>
      <c r="C170" s="267"/>
      <c r="D170" s="191"/>
      <c r="E170" s="247"/>
      <c r="F170" s="235" t="s">
        <v>35</v>
      </c>
      <c r="G170" s="235"/>
      <c r="H170" s="272">
        <v>0.716</v>
      </c>
      <c r="I170" s="281">
        <v>1.0</v>
      </c>
      <c r="J170" s="282"/>
      <c r="K170" s="283">
        <v>1.0</v>
      </c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0.716</v>
      </c>
      <c r="N170" s="191"/>
      <c r="O170" s="247"/>
    </row>
    <row r="171">
      <c r="A171" s="12" t="s">
        <v>197</v>
      </c>
      <c r="B171" s="12" t="s">
        <v>35</v>
      </c>
      <c r="C171" s="267"/>
      <c r="D171" s="191"/>
      <c r="E171" s="247"/>
      <c r="F171" s="235" t="s">
        <v>35</v>
      </c>
      <c r="G171" s="285"/>
      <c r="H171" s="272">
        <v>1.824</v>
      </c>
      <c r="I171" s="281">
        <v>1.0</v>
      </c>
      <c r="J171" s="282">
        <v>0.5</v>
      </c>
      <c r="K171" s="283">
        <v>1.0</v>
      </c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1.324</v>
      </c>
      <c r="N171" s="191"/>
      <c r="O171" s="247"/>
    </row>
    <row r="172">
      <c r="A172" s="12" t="s">
        <v>198</v>
      </c>
      <c r="B172" s="12" t="s">
        <v>35</v>
      </c>
      <c r="C172" s="267"/>
      <c r="D172" s="227">
        <v>0.8</v>
      </c>
      <c r="E172" s="247"/>
      <c r="F172" s="235" t="s">
        <v>35</v>
      </c>
      <c r="G172" s="235"/>
      <c r="H172" s="272">
        <v>0.68</v>
      </c>
      <c r="I172" s="281">
        <v>1.0</v>
      </c>
      <c r="J172" s="282">
        <v>0.181</v>
      </c>
      <c r="K172" s="283">
        <v>1.0</v>
      </c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1.299</v>
      </c>
      <c r="N172" s="191"/>
      <c r="O172" s="247"/>
    </row>
    <row r="173">
      <c r="A173" s="12" t="s">
        <v>199</v>
      </c>
      <c r="B173" s="12" t="s">
        <v>35</v>
      </c>
      <c r="C173" s="267"/>
      <c r="D173" s="227">
        <v>0.8</v>
      </c>
      <c r="E173" s="247"/>
      <c r="F173" s="235" t="s">
        <v>35</v>
      </c>
      <c r="G173" s="235"/>
      <c r="H173" s="272">
        <v>0.692</v>
      </c>
      <c r="I173" s="281">
        <v>1.0</v>
      </c>
      <c r="J173" s="282">
        <v>0.091</v>
      </c>
      <c r="K173" s="283">
        <v>1.0</v>
      </c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1.401</v>
      </c>
      <c r="N173" s="191"/>
      <c r="O173" s="247"/>
    </row>
    <row r="174">
      <c r="A174" s="12" t="s">
        <v>200</v>
      </c>
      <c r="B174" s="12" t="s">
        <v>35</v>
      </c>
      <c r="C174" s="267"/>
      <c r="D174" s="227">
        <v>0.8</v>
      </c>
      <c r="E174" s="247"/>
      <c r="F174" s="235" t="s">
        <v>35</v>
      </c>
      <c r="G174" s="235"/>
      <c r="H174" s="272">
        <v>0.654</v>
      </c>
      <c r="I174" s="281">
        <v>1.0</v>
      </c>
      <c r="J174" s="282">
        <v>0.214</v>
      </c>
      <c r="K174" s="283">
        <v>1.0</v>
      </c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1.24</v>
      </c>
      <c r="N174" s="191"/>
      <c r="O174" s="247"/>
    </row>
    <row r="175">
      <c r="A175" s="12" t="s">
        <v>201</v>
      </c>
      <c r="B175" s="12" t="s">
        <v>202</v>
      </c>
      <c r="C175" s="267"/>
      <c r="D175" s="191"/>
      <c r="E175" s="247"/>
      <c r="F175" s="235" t="s">
        <v>202</v>
      </c>
      <c r="G175" s="235"/>
      <c r="H175" s="268"/>
      <c r="I175" s="281">
        <v>1.0</v>
      </c>
      <c r="J175" s="284"/>
      <c r="K175" s="283">
        <v>1.0</v>
      </c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67"/>
      <c r="D176" s="227">
        <v>1.0</v>
      </c>
      <c r="E176" s="247"/>
      <c r="F176" s="235" t="s">
        <v>202</v>
      </c>
      <c r="G176" s="235"/>
      <c r="H176" s="272">
        <v>1.0</v>
      </c>
      <c r="I176" s="281">
        <v>1.0</v>
      </c>
      <c r="J176" s="282">
        <v>2.0</v>
      </c>
      <c r="K176" s="283">
        <v>1.0</v>
      </c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0</v>
      </c>
      <c r="N176" s="191"/>
      <c r="O176" s="247"/>
    </row>
    <row r="177">
      <c r="A177" s="12" t="s">
        <v>205</v>
      </c>
      <c r="B177" s="12" t="s">
        <v>202</v>
      </c>
      <c r="C177" s="267"/>
      <c r="D177" s="227">
        <v>5.0</v>
      </c>
      <c r="E177" s="247"/>
      <c r="F177" s="235" t="s">
        <v>202</v>
      </c>
      <c r="G177" s="235"/>
      <c r="H177" s="268"/>
      <c r="I177" s="281">
        <v>1.0</v>
      </c>
      <c r="J177" s="284"/>
      <c r="K177" s="283">
        <v>1.0</v>
      </c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5</v>
      </c>
      <c r="N177" s="191"/>
      <c r="O177" s="247"/>
    </row>
    <row r="178">
      <c r="A178" s="12" t="s">
        <v>206</v>
      </c>
      <c r="B178" s="12" t="s">
        <v>207</v>
      </c>
      <c r="C178" s="267"/>
      <c r="D178" s="227">
        <v>1.0</v>
      </c>
      <c r="E178" s="247"/>
      <c r="F178" s="235" t="s">
        <v>17</v>
      </c>
      <c r="G178" s="235"/>
      <c r="H178" s="272">
        <v>21.0</v>
      </c>
      <c r="I178" s="281">
        <v>1.0</v>
      </c>
      <c r="J178" s="282">
        <v>16.0</v>
      </c>
      <c r="K178" s="283">
        <v>1.0</v>
      </c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35</v>
      </c>
      <c r="N178" s="191"/>
      <c r="O178" s="247"/>
    </row>
    <row r="179">
      <c r="A179" s="12" t="s">
        <v>209</v>
      </c>
      <c r="B179" s="12" t="s">
        <v>17</v>
      </c>
      <c r="C179" s="267"/>
      <c r="D179" s="191"/>
      <c r="E179" s="247"/>
      <c r="F179" s="235" t="s">
        <v>17</v>
      </c>
      <c r="G179" s="235"/>
      <c r="H179" s="268"/>
      <c r="I179" s="281">
        <v>1.0</v>
      </c>
      <c r="J179" s="284"/>
      <c r="K179" s="283">
        <v>1.0</v>
      </c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67"/>
      <c r="D180" s="227">
        <v>1.0</v>
      </c>
      <c r="E180" s="247"/>
      <c r="F180" s="235" t="s">
        <v>202</v>
      </c>
      <c r="G180" s="285"/>
      <c r="H180" s="268"/>
      <c r="I180" s="281">
        <v>1.0</v>
      </c>
      <c r="J180" s="282">
        <v>1.0</v>
      </c>
      <c r="K180" s="283">
        <v>1.0</v>
      </c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0</v>
      </c>
      <c r="N180" s="191"/>
      <c r="O180" s="247"/>
    </row>
    <row r="181">
      <c r="A181" s="12" t="s">
        <v>211</v>
      </c>
      <c r="B181" s="12" t="s">
        <v>202</v>
      </c>
      <c r="C181" s="267"/>
      <c r="D181" s="227"/>
      <c r="E181" s="247"/>
      <c r="F181" s="235" t="s">
        <v>202</v>
      </c>
      <c r="G181" s="235"/>
      <c r="H181" s="272">
        <v>1.0</v>
      </c>
      <c r="I181" s="281">
        <v>1.0</v>
      </c>
      <c r="J181" s="282"/>
      <c r="K181" s="283">
        <v>1.0</v>
      </c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1</v>
      </c>
      <c r="N181" s="191"/>
      <c r="O181" s="247"/>
    </row>
    <row r="182">
      <c r="A182" s="12" t="s">
        <v>212</v>
      </c>
      <c r="B182" s="12" t="s">
        <v>202</v>
      </c>
      <c r="C182" s="267"/>
      <c r="D182" s="191"/>
      <c r="E182" s="247"/>
      <c r="F182" s="235" t="s">
        <v>202</v>
      </c>
      <c r="G182" s="235"/>
      <c r="H182" s="272">
        <v>1.0</v>
      </c>
      <c r="I182" s="281">
        <v>1.0</v>
      </c>
      <c r="J182" s="284"/>
      <c r="K182" s="283">
        <v>1.0</v>
      </c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1</v>
      </c>
      <c r="N182" s="191"/>
      <c r="O182" s="247"/>
    </row>
    <row r="183">
      <c r="A183" s="12" t="s">
        <v>213</v>
      </c>
      <c r="B183" s="12" t="s">
        <v>35</v>
      </c>
      <c r="C183" s="267"/>
      <c r="D183" s="191"/>
      <c r="E183" s="247"/>
      <c r="F183" s="235" t="s">
        <v>35</v>
      </c>
      <c r="G183" s="235"/>
      <c r="H183" s="268"/>
      <c r="I183" s="281">
        <v>1.0</v>
      </c>
      <c r="J183" s="284"/>
      <c r="K183" s="283">
        <v>1.0</v>
      </c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>
        <v>1.0</v>
      </c>
      <c r="D184" s="191"/>
      <c r="E184" s="247"/>
      <c r="F184" s="235" t="s">
        <v>35</v>
      </c>
      <c r="G184" s="235"/>
      <c r="H184" s="272">
        <v>0.067</v>
      </c>
      <c r="I184" s="281">
        <v>1.0</v>
      </c>
      <c r="J184" s="282">
        <v>0.25</v>
      </c>
      <c r="K184" s="283">
        <v>1.0</v>
      </c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0.067</v>
      </c>
      <c r="N184" s="191"/>
      <c r="O184" s="247"/>
    </row>
    <row r="185">
      <c r="A185" s="12" t="s">
        <v>215</v>
      </c>
      <c r="B185" s="12" t="s">
        <v>35</v>
      </c>
      <c r="C185" s="267"/>
      <c r="D185" s="227">
        <v>0.8</v>
      </c>
      <c r="E185" s="247"/>
      <c r="F185" s="235" t="s">
        <v>35</v>
      </c>
      <c r="G185" s="235"/>
      <c r="H185" s="272">
        <v>0.185</v>
      </c>
      <c r="I185" s="281">
        <v>1.0</v>
      </c>
      <c r="J185" s="284"/>
      <c r="K185" s="283">
        <v>1.0</v>
      </c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0.985</v>
      </c>
      <c r="N185" s="191"/>
      <c r="O185" s="247"/>
    </row>
    <row r="186">
      <c r="A186" s="12" t="s">
        <v>216</v>
      </c>
      <c r="B186" s="12" t="s">
        <v>17</v>
      </c>
      <c r="C186" s="267"/>
      <c r="D186" s="227">
        <v>1.0</v>
      </c>
      <c r="E186" s="247"/>
      <c r="F186" s="235" t="s">
        <v>17</v>
      </c>
      <c r="G186" s="235"/>
      <c r="H186" s="272">
        <v>1.0</v>
      </c>
      <c r="I186" s="281">
        <v>1.0</v>
      </c>
      <c r="J186" s="282">
        <v>1.0</v>
      </c>
      <c r="K186" s="283">
        <v>1.0</v>
      </c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1</v>
      </c>
      <c r="N186" s="191"/>
      <c r="O186" s="247"/>
    </row>
    <row r="187">
      <c r="A187" s="12" t="s">
        <v>217</v>
      </c>
      <c r="B187" s="12" t="s">
        <v>35</v>
      </c>
      <c r="C187" s="267"/>
      <c r="D187" s="227">
        <v>0.3</v>
      </c>
      <c r="E187" s="247"/>
      <c r="F187" s="235" t="s">
        <v>35</v>
      </c>
      <c r="G187" s="235"/>
      <c r="H187" s="272">
        <v>0.545</v>
      </c>
      <c r="I187" s="281">
        <v>1.0</v>
      </c>
      <c r="J187" s="282">
        <v>0.797</v>
      </c>
      <c r="K187" s="283">
        <v>1.0</v>
      </c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0.048</v>
      </c>
      <c r="N187" s="191"/>
      <c r="O187" s="247"/>
    </row>
    <row r="188">
      <c r="A188" s="12" t="s">
        <v>218</v>
      </c>
      <c r="B188" s="12" t="s">
        <v>17</v>
      </c>
      <c r="C188" s="267"/>
      <c r="D188" s="227">
        <v>3.0</v>
      </c>
      <c r="E188" s="247"/>
      <c r="F188" s="235" t="s">
        <v>17</v>
      </c>
      <c r="G188" s="235"/>
      <c r="H188" s="272">
        <v>2.5</v>
      </c>
      <c r="I188" s="281">
        <v>1.0</v>
      </c>
      <c r="J188" s="282">
        <v>4.0</v>
      </c>
      <c r="K188" s="283">
        <v>1.0</v>
      </c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1.5</v>
      </c>
      <c r="N188" s="191"/>
      <c r="O188" s="247"/>
    </row>
    <row r="189">
      <c r="A189" s="12" t="s">
        <v>220</v>
      </c>
      <c r="B189" s="12" t="s">
        <v>35</v>
      </c>
      <c r="C189" s="267"/>
      <c r="D189" s="191"/>
      <c r="E189" s="247"/>
      <c r="F189" s="235" t="s">
        <v>35</v>
      </c>
      <c r="G189" s="235"/>
      <c r="H189" s="272"/>
      <c r="I189" s="281">
        <v>1.0</v>
      </c>
      <c r="J189" s="284"/>
      <c r="K189" s="283">
        <v>1.0</v>
      </c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67"/>
      <c r="D190" s="227">
        <v>8.0</v>
      </c>
      <c r="E190" s="247"/>
      <c r="F190" s="235" t="s">
        <v>17</v>
      </c>
      <c r="G190" s="235"/>
      <c r="H190" s="272">
        <v>3.0</v>
      </c>
      <c r="I190" s="281">
        <v>1.0</v>
      </c>
      <c r="J190" s="282">
        <v>7.0</v>
      </c>
      <c r="K190" s="283">
        <v>1.0</v>
      </c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4</v>
      </c>
      <c r="N190" s="191"/>
      <c r="O190" s="247"/>
    </row>
    <row r="191">
      <c r="A191" s="12" t="s">
        <v>222</v>
      </c>
      <c r="B191" s="12" t="s">
        <v>17</v>
      </c>
      <c r="C191" s="267"/>
      <c r="D191" s="191"/>
      <c r="E191" s="247"/>
      <c r="F191" s="235" t="s">
        <v>17</v>
      </c>
      <c r="G191" s="235"/>
      <c r="H191" s="268"/>
      <c r="I191" s="281">
        <v>1.0</v>
      </c>
      <c r="J191" s="284"/>
      <c r="K191" s="283">
        <v>1.0</v>
      </c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67"/>
      <c r="D192" s="227">
        <v>1.0</v>
      </c>
      <c r="E192" s="247"/>
      <c r="F192" s="235" t="s">
        <v>17</v>
      </c>
      <c r="G192" s="235"/>
      <c r="H192" s="272">
        <v>2.0</v>
      </c>
      <c r="I192" s="281">
        <v>1.0</v>
      </c>
      <c r="J192" s="284"/>
      <c r="K192" s="283">
        <v>1.0</v>
      </c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3</v>
      </c>
      <c r="N192" s="191"/>
      <c r="O192" s="247"/>
    </row>
    <row r="193">
      <c r="A193" s="12" t="s">
        <v>224</v>
      </c>
      <c r="B193" s="12" t="s">
        <v>202</v>
      </c>
      <c r="C193" s="267"/>
      <c r="D193" s="227"/>
      <c r="E193" s="247"/>
      <c r="F193" s="235" t="s">
        <v>202</v>
      </c>
      <c r="G193" s="235"/>
      <c r="H193" s="272">
        <v>1.0</v>
      </c>
      <c r="I193" s="281">
        <v>1.0</v>
      </c>
      <c r="J193" s="282">
        <v>1.0</v>
      </c>
      <c r="K193" s="283">
        <v>1.0</v>
      </c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</v>
      </c>
      <c r="N193" s="191"/>
      <c r="O193" s="247"/>
    </row>
    <row r="194">
      <c r="A194" s="12" t="s">
        <v>225</v>
      </c>
      <c r="B194" s="12" t="s">
        <v>35</v>
      </c>
      <c r="C194" s="267"/>
      <c r="D194" s="191"/>
      <c r="E194" s="247"/>
      <c r="F194" s="235" t="s">
        <v>35</v>
      </c>
      <c r="G194" s="235"/>
      <c r="H194" s="272">
        <v>1.0</v>
      </c>
      <c r="I194" s="281">
        <v>1.0</v>
      </c>
      <c r="J194" s="282">
        <v>1.0</v>
      </c>
      <c r="K194" s="283">
        <v>1.0</v>
      </c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</v>
      </c>
      <c r="N194" s="191"/>
      <c r="O194" s="247"/>
    </row>
    <row r="195">
      <c r="A195" s="12" t="s">
        <v>227</v>
      </c>
      <c r="B195" s="12" t="s">
        <v>35</v>
      </c>
      <c r="C195" s="267"/>
      <c r="D195" s="191"/>
      <c r="E195" s="247"/>
      <c r="F195" s="235" t="s">
        <v>35</v>
      </c>
      <c r="G195" s="285">
        <v>0.009</v>
      </c>
      <c r="H195" s="272"/>
      <c r="I195" s="281">
        <v>1.0</v>
      </c>
      <c r="J195" s="282">
        <v>0.009</v>
      </c>
      <c r="K195" s="283">
        <v>1.0</v>
      </c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</v>
      </c>
      <c r="N195" s="191"/>
      <c r="O195" s="247"/>
    </row>
    <row r="196">
      <c r="A196" s="12" t="s">
        <v>228</v>
      </c>
      <c r="B196" s="12" t="s">
        <v>155</v>
      </c>
      <c r="C196" s="267"/>
      <c r="D196" s="227">
        <v>1.0</v>
      </c>
      <c r="E196" s="247"/>
      <c r="F196" s="235" t="s">
        <v>35</v>
      </c>
      <c r="G196" s="235"/>
      <c r="H196" s="272">
        <v>0.281</v>
      </c>
      <c r="I196" s="281">
        <v>1.0</v>
      </c>
      <c r="J196" s="282">
        <v>0.25</v>
      </c>
      <c r="K196" s="283">
        <v>1.0</v>
      </c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0.531</v>
      </c>
      <c r="N196" s="191"/>
      <c r="O196" s="247"/>
    </row>
    <row r="197">
      <c r="A197" s="12" t="s">
        <v>229</v>
      </c>
      <c r="B197" s="12" t="s">
        <v>17</v>
      </c>
      <c r="C197" s="267"/>
      <c r="D197" s="227">
        <v>0.5</v>
      </c>
      <c r="E197" s="247"/>
      <c r="F197" s="235" t="s">
        <v>17</v>
      </c>
      <c r="G197" s="235"/>
      <c r="H197" s="272">
        <v>1.0</v>
      </c>
      <c r="I197" s="281">
        <v>1.0</v>
      </c>
      <c r="J197" s="282"/>
      <c r="K197" s="283">
        <v>1.0</v>
      </c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1.5</v>
      </c>
      <c r="N197" s="191"/>
      <c r="O197" s="247"/>
    </row>
    <row r="198">
      <c r="A198" s="12" t="s">
        <v>231</v>
      </c>
      <c r="B198" s="12" t="s">
        <v>35</v>
      </c>
      <c r="C198" s="267"/>
      <c r="D198" s="227">
        <v>1.0</v>
      </c>
      <c r="E198" s="247"/>
      <c r="F198" s="235" t="s">
        <v>35</v>
      </c>
      <c r="G198" s="235"/>
      <c r="H198" s="272"/>
      <c r="I198" s="281">
        <v>1.0</v>
      </c>
      <c r="J198" s="282">
        <v>0.209</v>
      </c>
      <c r="K198" s="283">
        <v>1.0</v>
      </c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0.791</v>
      </c>
      <c r="N198" s="191"/>
      <c r="O198" s="247"/>
    </row>
    <row r="199">
      <c r="A199" s="12" t="s">
        <v>232</v>
      </c>
      <c r="B199" s="12" t="s">
        <v>202</v>
      </c>
      <c r="C199" s="267"/>
      <c r="D199" s="191"/>
      <c r="E199" s="247"/>
      <c r="F199" s="235" t="s">
        <v>202</v>
      </c>
      <c r="G199" s="285"/>
      <c r="H199" s="272">
        <v>1.0</v>
      </c>
      <c r="I199" s="281">
        <v>1.0</v>
      </c>
      <c r="J199" s="282">
        <v>1.0</v>
      </c>
      <c r="K199" s="283">
        <v>1.0</v>
      </c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</v>
      </c>
      <c r="N199" s="191"/>
      <c r="O199" s="247"/>
    </row>
    <row r="200">
      <c r="A200" s="12" t="s">
        <v>233</v>
      </c>
      <c r="B200" s="12" t="s">
        <v>17</v>
      </c>
      <c r="C200" s="267"/>
      <c r="D200" s="227">
        <v>2.0</v>
      </c>
      <c r="E200" s="280"/>
      <c r="F200" s="235" t="s">
        <v>234</v>
      </c>
      <c r="G200" s="285"/>
      <c r="H200" s="272">
        <v>1.5</v>
      </c>
      <c r="I200" s="281">
        <v>1.0</v>
      </c>
      <c r="J200" s="282">
        <v>0.5</v>
      </c>
      <c r="K200" s="283">
        <v>1.0</v>
      </c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3</v>
      </c>
      <c r="N200" s="191"/>
      <c r="O200" s="247"/>
    </row>
    <row r="201">
      <c r="A201" s="25" t="s">
        <v>235</v>
      </c>
      <c r="B201" s="26" t="s">
        <v>202</v>
      </c>
      <c r="C201" s="267"/>
      <c r="D201" s="227">
        <v>1.0</v>
      </c>
      <c r="E201" s="247"/>
      <c r="F201" s="235" t="s">
        <v>202</v>
      </c>
      <c r="G201" s="235"/>
      <c r="H201" s="272"/>
      <c r="I201" s="281">
        <v>1.0</v>
      </c>
      <c r="J201" s="284"/>
      <c r="K201" s="283">
        <v>1.0</v>
      </c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1</v>
      </c>
      <c r="N201" s="191"/>
      <c r="O201" s="247"/>
    </row>
    <row r="202">
      <c r="A202" s="25" t="s">
        <v>236</v>
      </c>
      <c r="B202" s="26" t="s">
        <v>237</v>
      </c>
      <c r="C202" s="267"/>
      <c r="D202" s="191"/>
      <c r="E202" s="247"/>
      <c r="F202" s="235" t="s">
        <v>35</v>
      </c>
      <c r="G202" s="235"/>
      <c r="H202" s="272">
        <v>1.0</v>
      </c>
      <c r="I202" s="281">
        <v>1.0</v>
      </c>
      <c r="J202" s="282"/>
      <c r="K202" s="283">
        <v>1.0</v>
      </c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1</v>
      </c>
      <c r="N202" s="191"/>
      <c r="O202" s="247"/>
    </row>
    <row r="203">
      <c r="A203" s="25" t="s">
        <v>238</v>
      </c>
      <c r="B203" s="26" t="s">
        <v>202</v>
      </c>
      <c r="C203" s="267"/>
      <c r="D203" s="227"/>
      <c r="E203" s="247"/>
      <c r="F203" s="235" t="s">
        <v>202</v>
      </c>
      <c r="G203" s="235"/>
      <c r="H203" s="268"/>
      <c r="I203" s="281">
        <v>1.0</v>
      </c>
      <c r="J203" s="282"/>
      <c r="K203" s="283">
        <v>1.0</v>
      </c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67"/>
      <c r="D204" s="191"/>
      <c r="E204" s="247"/>
      <c r="F204" s="235" t="s">
        <v>35</v>
      </c>
      <c r="G204" s="235"/>
      <c r="H204" s="268"/>
      <c r="I204" s="281">
        <v>1.0</v>
      </c>
      <c r="J204" s="284"/>
      <c r="K204" s="283">
        <v>1.0</v>
      </c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67"/>
      <c r="D205" s="227"/>
      <c r="E205" s="247"/>
      <c r="F205" s="235" t="s">
        <v>17</v>
      </c>
      <c r="G205" s="285">
        <v>4.0</v>
      </c>
      <c r="H205" s="272"/>
      <c r="I205" s="281">
        <v>1.0</v>
      </c>
      <c r="J205" s="282">
        <v>3.0</v>
      </c>
      <c r="K205" s="283">
        <v>1.0</v>
      </c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1</v>
      </c>
      <c r="N205" s="191"/>
      <c r="O205" s="247"/>
    </row>
    <row r="206">
      <c r="A206" s="12" t="s">
        <v>242</v>
      </c>
      <c r="B206" s="12" t="s">
        <v>35</v>
      </c>
      <c r="C206" s="267"/>
      <c r="D206" s="227"/>
      <c r="E206" s="247"/>
      <c r="F206" s="235" t="s">
        <v>35</v>
      </c>
      <c r="G206" s="285">
        <v>100.0</v>
      </c>
      <c r="H206" s="272">
        <v>75.0</v>
      </c>
      <c r="I206" s="281">
        <v>1.0</v>
      </c>
      <c r="J206" s="282">
        <v>109.0</v>
      </c>
      <c r="K206" s="283">
        <v>1.0</v>
      </c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66</v>
      </c>
      <c r="N206" s="191"/>
      <c r="O206" s="247"/>
    </row>
    <row r="207">
      <c r="A207" s="12" t="s">
        <v>243</v>
      </c>
      <c r="B207" s="12" t="s">
        <v>241</v>
      </c>
      <c r="C207" s="271"/>
      <c r="D207" s="227"/>
      <c r="E207" s="247"/>
      <c r="F207" s="235" t="s">
        <v>17</v>
      </c>
      <c r="G207" s="285">
        <v>10.0</v>
      </c>
      <c r="H207" s="272">
        <v>5.0</v>
      </c>
      <c r="I207" s="281">
        <v>1.0</v>
      </c>
      <c r="J207" s="282">
        <v>3.0</v>
      </c>
      <c r="K207" s="283">
        <v>1.0</v>
      </c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12</v>
      </c>
      <c r="N207" s="191"/>
      <c r="O207" s="247"/>
    </row>
    <row r="208">
      <c r="A208" s="10" t="s">
        <v>245</v>
      </c>
      <c r="B208" s="11"/>
      <c r="C208" s="267"/>
      <c r="D208" s="191"/>
      <c r="E208" s="247"/>
      <c r="F208" s="235"/>
      <c r="G208" s="235"/>
      <c r="H208" s="268"/>
      <c r="I208" s="281">
        <v>1.0</v>
      </c>
      <c r="J208" s="284"/>
      <c r="K208" s="283">
        <v>1.0</v>
      </c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67"/>
      <c r="D209" s="227"/>
      <c r="E209" s="247"/>
      <c r="F209" s="235" t="s">
        <v>155</v>
      </c>
      <c r="G209" s="285"/>
      <c r="H209" s="272">
        <v>2.0</v>
      </c>
      <c r="I209" s="281">
        <v>1.0</v>
      </c>
      <c r="J209" s="282"/>
      <c r="K209" s="283">
        <v>1.0</v>
      </c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1.988</v>
      </c>
      <c r="N209" s="191"/>
      <c r="O209" s="247"/>
    </row>
    <row r="210">
      <c r="A210" s="12" t="s">
        <v>247</v>
      </c>
      <c r="B210" s="13" t="s">
        <v>59</v>
      </c>
      <c r="C210" s="271"/>
      <c r="D210" s="191"/>
      <c r="E210" s="280"/>
      <c r="F210" s="235" t="s">
        <v>35</v>
      </c>
      <c r="G210" s="235"/>
      <c r="H210" s="272">
        <v>2.0</v>
      </c>
      <c r="I210" s="281">
        <v>1.0</v>
      </c>
      <c r="J210" s="282"/>
      <c r="K210" s="283">
        <v>1.0</v>
      </c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1.989</v>
      </c>
      <c r="N210" s="191"/>
      <c r="O210" s="247"/>
    </row>
    <row r="211">
      <c r="A211" s="12" t="s">
        <v>248</v>
      </c>
      <c r="B211" s="13" t="s">
        <v>59</v>
      </c>
      <c r="C211" s="271"/>
      <c r="D211" s="227"/>
      <c r="E211" s="280"/>
      <c r="F211" s="235" t="s">
        <v>35</v>
      </c>
      <c r="G211" s="285">
        <v>1.0</v>
      </c>
      <c r="H211" s="272"/>
      <c r="I211" s="281">
        <v>1.0</v>
      </c>
      <c r="J211" s="282">
        <v>1.0</v>
      </c>
      <c r="K211" s="283">
        <v>1.0</v>
      </c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0.003</v>
      </c>
      <c r="N211" s="191"/>
      <c r="O211" s="247"/>
    </row>
    <row r="212">
      <c r="A212" s="12" t="s">
        <v>250</v>
      </c>
      <c r="B212" s="13" t="s">
        <v>59</v>
      </c>
      <c r="C212" s="271"/>
      <c r="D212" s="227">
        <v>1.0</v>
      </c>
      <c r="E212" s="280"/>
      <c r="F212" s="235" t="s">
        <v>35</v>
      </c>
      <c r="G212" s="235"/>
      <c r="H212" s="272"/>
      <c r="I212" s="281">
        <v>1.0</v>
      </c>
      <c r="J212" s="282">
        <v>0.198</v>
      </c>
      <c r="K212" s="283">
        <v>1.0</v>
      </c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0.262</v>
      </c>
      <c r="N212" s="191"/>
      <c r="O212" s="247"/>
    </row>
    <row r="213">
      <c r="A213" s="12" t="s">
        <v>251</v>
      </c>
      <c r="B213" s="13" t="s">
        <v>34</v>
      </c>
      <c r="C213" s="267"/>
      <c r="D213" s="191"/>
      <c r="E213" s="247"/>
      <c r="F213" s="235" t="s">
        <v>35</v>
      </c>
      <c r="G213" s="235"/>
      <c r="H213" s="268"/>
      <c r="I213" s="281">
        <v>1.0</v>
      </c>
      <c r="J213" s="284"/>
      <c r="K213" s="283">
        <v>1.0</v>
      </c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67"/>
      <c r="D214" s="191"/>
      <c r="E214" s="247"/>
      <c r="F214" s="235"/>
      <c r="G214" s="235"/>
      <c r="H214" s="268"/>
      <c r="I214" s="281">
        <v>1.0</v>
      </c>
      <c r="J214" s="284"/>
      <c r="K214" s="283">
        <v>1.0</v>
      </c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67"/>
      <c r="D215" s="191"/>
      <c r="E215" s="247"/>
      <c r="F215" s="235" t="s">
        <v>254</v>
      </c>
      <c r="G215" s="235"/>
      <c r="H215" s="268"/>
      <c r="I215" s="281">
        <v>1.0</v>
      </c>
      <c r="J215" s="284"/>
      <c r="K215" s="283">
        <v>1.0</v>
      </c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67"/>
      <c r="D216" s="191"/>
      <c r="E216" s="247"/>
      <c r="F216" s="235" t="s">
        <v>234</v>
      </c>
      <c r="G216" s="235"/>
      <c r="H216" s="268"/>
      <c r="I216" s="281">
        <v>1.0</v>
      </c>
      <c r="J216" s="284"/>
      <c r="K216" s="283">
        <v>1.0</v>
      </c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67"/>
      <c r="D217" s="227">
        <v>5.0</v>
      </c>
      <c r="E217" s="247"/>
      <c r="F217" s="235" t="s">
        <v>17</v>
      </c>
      <c r="G217" s="235"/>
      <c r="H217" s="272">
        <v>13.0</v>
      </c>
      <c r="I217" s="281">
        <v>1.0</v>
      </c>
      <c r="J217" s="282">
        <v>14.0</v>
      </c>
      <c r="K217" s="283">
        <v>1.0</v>
      </c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4</v>
      </c>
      <c r="N217" s="191"/>
      <c r="O217" s="247"/>
    </row>
    <row r="218">
      <c r="A218" s="12" t="s">
        <v>260</v>
      </c>
      <c r="B218" s="12" t="s">
        <v>261</v>
      </c>
      <c r="C218" s="267"/>
      <c r="D218" s="191"/>
      <c r="E218" s="247"/>
      <c r="F218" s="235" t="s">
        <v>35</v>
      </c>
      <c r="G218" s="235"/>
      <c r="H218" s="272">
        <v>2.989</v>
      </c>
      <c r="I218" s="281">
        <v>1.0</v>
      </c>
      <c r="J218" s="282">
        <v>2.454</v>
      </c>
      <c r="K218" s="283">
        <v>1.0</v>
      </c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0.535</v>
      </c>
      <c r="N218" s="191"/>
      <c r="O218" s="247"/>
    </row>
    <row r="219">
      <c r="A219" s="12" t="s">
        <v>263</v>
      </c>
      <c r="B219" s="12" t="s">
        <v>17</v>
      </c>
      <c r="C219" s="267"/>
      <c r="D219" s="227">
        <v>50.0</v>
      </c>
      <c r="E219" s="247"/>
      <c r="F219" s="235" t="s">
        <v>17</v>
      </c>
      <c r="G219" s="235"/>
      <c r="H219" s="272">
        <v>41.0</v>
      </c>
      <c r="I219" s="281">
        <v>1.0</v>
      </c>
      <c r="J219" s="282">
        <v>16.0</v>
      </c>
      <c r="K219" s="283">
        <v>1.0</v>
      </c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75</v>
      </c>
      <c r="N219" s="191"/>
      <c r="O219" s="247"/>
    </row>
    <row r="220">
      <c r="A220" s="12" t="s">
        <v>264</v>
      </c>
      <c r="B220" s="12" t="s">
        <v>261</v>
      </c>
      <c r="C220" s="267"/>
      <c r="D220" s="191"/>
      <c r="E220" s="247"/>
      <c r="F220" s="235" t="s">
        <v>35</v>
      </c>
      <c r="G220" s="235"/>
      <c r="H220" s="272">
        <v>1.354</v>
      </c>
      <c r="I220" s="281">
        <v>1.0</v>
      </c>
      <c r="J220" s="282">
        <v>1.105</v>
      </c>
      <c r="K220" s="283">
        <v>1.0</v>
      </c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0.249</v>
      </c>
      <c r="N220" s="191"/>
      <c r="O220" s="247"/>
    </row>
    <row r="221">
      <c r="A221" s="12" t="s">
        <v>265</v>
      </c>
      <c r="B221" s="12" t="s">
        <v>40</v>
      </c>
      <c r="C221" s="271"/>
      <c r="D221" s="227">
        <v>1.0</v>
      </c>
      <c r="E221" s="247"/>
      <c r="F221" s="235" t="s">
        <v>17</v>
      </c>
      <c r="G221" s="235"/>
      <c r="H221" s="272">
        <v>81.0</v>
      </c>
      <c r="I221" s="281">
        <v>1.0</v>
      </c>
      <c r="J221" s="282">
        <v>34.0</v>
      </c>
      <c r="K221" s="283">
        <v>1.0</v>
      </c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72</v>
      </c>
      <c r="N221" s="191"/>
      <c r="O221" s="247"/>
    </row>
    <row r="222">
      <c r="A222" s="12" t="s">
        <v>266</v>
      </c>
      <c r="B222" s="12" t="s">
        <v>267</v>
      </c>
      <c r="C222" s="271"/>
      <c r="D222" s="191"/>
      <c r="E222" s="247"/>
      <c r="F222" s="235" t="s">
        <v>17</v>
      </c>
      <c r="G222" s="235"/>
      <c r="H222" s="272">
        <v>52.0</v>
      </c>
      <c r="I222" s="281">
        <v>1.0</v>
      </c>
      <c r="J222" s="282">
        <v>41.0</v>
      </c>
      <c r="K222" s="283">
        <v>1.0</v>
      </c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11</v>
      </c>
      <c r="N222" s="191"/>
      <c r="O222" s="247"/>
    </row>
    <row r="223">
      <c r="A223" s="12" t="s">
        <v>268</v>
      </c>
      <c r="B223" s="12" t="s">
        <v>40</v>
      </c>
      <c r="C223" s="267"/>
      <c r="D223" s="227">
        <v>1.0</v>
      </c>
      <c r="E223" s="247"/>
      <c r="F223" s="235" t="s">
        <v>17</v>
      </c>
      <c r="G223" s="235"/>
      <c r="H223" s="272">
        <v>12.0</v>
      </c>
      <c r="I223" s="281">
        <v>1.0</v>
      </c>
      <c r="J223" s="282">
        <v>3.0</v>
      </c>
      <c r="K223" s="283">
        <v>1.0</v>
      </c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34</v>
      </c>
      <c r="N223" s="191"/>
      <c r="O223" s="247"/>
    </row>
    <row r="224">
      <c r="A224" s="12" t="s">
        <v>269</v>
      </c>
      <c r="B224" s="294" t="s">
        <v>40</v>
      </c>
      <c r="C224" s="227"/>
      <c r="D224" s="227">
        <v>1.0</v>
      </c>
      <c r="E224" s="191"/>
      <c r="F224" s="191" t="s">
        <v>17</v>
      </c>
      <c r="G224" s="191"/>
      <c r="H224" s="227">
        <v>31.0</v>
      </c>
      <c r="I224" s="281">
        <v>1.0</v>
      </c>
      <c r="J224" s="227">
        <v>59.0</v>
      </c>
      <c r="K224" s="283">
        <v>1.0</v>
      </c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22</v>
      </c>
      <c r="N224" s="191"/>
      <c r="O224" s="247"/>
    </row>
    <row r="225">
      <c r="A225" s="12" t="s">
        <v>270</v>
      </c>
      <c r="B225" s="294" t="s">
        <v>40</v>
      </c>
      <c r="C225" s="227"/>
      <c r="D225" s="191"/>
      <c r="E225" s="191"/>
      <c r="F225" s="191" t="s">
        <v>17</v>
      </c>
      <c r="G225" s="191"/>
      <c r="H225" s="227">
        <v>48.0</v>
      </c>
      <c r="I225" s="281">
        <v>1.0</v>
      </c>
      <c r="J225" s="227">
        <v>33.0</v>
      </c>
      <c r="K225" s="283">
        <v>1.0</v>
      </c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15</v>
      </c>
      <c r="N225" s="191"/>
      <c r="O225" s="247"/>
    </row>
    <row r="226">
      <c r="A226" s="12" t="s">
        <v>271</v>
      </c>
      <c r="B226" s="294" t="s">
        <v>40</v>
      </c>
      <c r="C226" s="227"/>
      <c r="D226" s="227">
        <v>1.0</v>
      </c>
      <c r="E226" s="191"/>
      <c r="F226" s="191" t="s">
        <v>17</v>
      </c>
      <c r="G226" s="191"/>
      <c r="H226" s="227">
        <v>44.0</v>
      </c>
      <c r="I226" s="281">
        <v>1.0</v>
      </c>
      <c r="J226" s="227">
        <v>22.0</v>
      </c>
      <c r="K226" s="283">
        <v>1.0</v>
      </c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72</v>
      </c>
      <c r="N226" s="191"/>
      <c r="O226" s="247"/>
    </row>
    <row r="227">
      <c r="A227" s="12" t="s">
        <v>272</v>
      </c>
      <c r="B227" s="294" t="s">
        <v>40</v>
      </c>
      <c r="C227" s="296"/>
      <c r="D227" s="297">
        <v>5.0</v>
      </c>
      <c r="E227" s="296"/>
      <c r="F227" s="296" t="s">
        <v>17</v>
      </c>
      <c r="G227" s="296"/>
      <c r="H227" s="297">
        <v>9.0</v>
      </c>
      <c r="I227" s="281">
        <v>1.0</v>
      </c>
      <c r="J227" s="297">
        <v>12.0</v>
      </c>
      <c r="K227" s="283">
        <v>1.0</v>
      </c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2</v>
      </c>
      <c r="N227" s="296"/>
      <c r="O227" s="299"/>
    </row>
    <row r="228">
      <c r="A228" s="23"/>
      <c r="B228" s="11"/>
      <c r="C228" s="11"/>
      <c r="D228" s="11"/>
      <c r="E228" s="11"/>
      <c r="F228" s="11"/>
      <c r="G228" s="11"/>
      <c r="H228" s="11"/>
      <c r="I228" s="11"/>
      <c r="J228" s="11"/>
      <c r="K228" s="283"/>
      <c r="L228" s="11"/>
      <c r="M228" s="11"/>
      <c r="N228" s="11"/>
      <c r="O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283"/>
      <c r="L229" s="11"/>
      <c r="M229" s="11"/>
      <c r="N229" s="11"/>
      <c r="O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283"/>
      <c r="L230" s="11"/>
      <c r="M230" s="11"/>
      <c r="N230" s="11"/>
      <c r="O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283"/>
      <c r="L231" s="11"/>
      <c r="M231" s="11"/>
      <c r="N231" s="11"/>
      <c r="O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283"/>
      <c r="L232" s="11"/>
      <c r="M232" s="11"/>
      <c r="N232" s="11"/>
      <c r="O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283"/>
      <c r="L233" s="11"/>
      <c r="M233" s="11"/>
      <c r="N233" s="11"/>
      <c r="O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283"/>
      <c r="L234" s="11"/>
      <c r="M234" s="11"/>
      <c r="N234" s="11"/>
      <c r="O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283"/>
      <c r="L235" s="11"/>
      <c r="M235" s="11"/>
      <c r="N235" s="11"/>
      <c r="O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283"/>
      <c r="L236" s="11"/>
      <c r="M236" s="11"/>
      <c r="N236" s="11"/>
      <c r="O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283"/>
      <c r="L237" s="11"/>
      <c r="M237" s="11"/>
      <c r="N237" s="11"/>
      <c r="O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19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</sheetData>
  <mergeCells count="4">
    <mergeCell ref="A1:O1"/>
    <mergeCell ref="B2:E2"/>
    <mergeCell ref="F2:K2"/>
    <mergeCell ref="L2:O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1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f>'26TH-25THAPRIL'!E5</f>
        <v>20</v>
      </c>
      <c r="D5" s="272">
        <f>1+20</f>
        <v>21</v>
      </c>
      <c r="E5" s="273">
        <v>12.0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87</v>
      </c>
      <c r="N5" s="268"/>
      <c r="O5" s="269"/>
    </row>
    <row r="6">
      <c r="A6" s="192" t="s">
        <v>401</v>
      </c>
      <c r="B6" s="191" t="s">
        <v>402</v>
      </c>
      <c r="C6" s="271">
        <f>'26TH-25THAPRIL'!E6</f>
        <v>7</v>
      </c>
      <c r="D6" s="272">
        <v>5.0</v>
      </c>
      <c r="E6" s="273">
        <v>1.0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22</v>
      </c>
      <c r="N6" s="268"/>
      <c r="O6" s="269"/>
    </row>
    <row r="7">
      <c r="A7" s="192" t="s">
        <v>404</v>
      </c>
      <c r="B7" s="191" t="s">
        <v>402</v>
      </c>
      <c r="C7" s="271">
        <f>'26TH-25THAPRIL'!E7</f>
        <v>7</v>
      </c>
      <c r="D7" s="272">
        <v>8.0</v>
      </c>
      <c r="E7" s="273">
        <v>8.0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35</v>
      </c>
      <c r="N7" s="268"/>
      <c r="O7" s="269"/>
    </row>
    <row r="8">
      <c r="A8" s="192" t="s">
        <v>406</v>
      </c>
      <c r="B8" s="191" t="s">
        <v>402</v>
      </c>
      <c r="C8" s="271">
        <f>'26TH-25THAPRIL'!E8</f>
        <v>12</v>
      </c>
      <c r="D8" s="272">
        <v>8.0</v>
      </c>
      <c r="E8" s="273">
        <v>1.0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19</v>
      </c>
      <c r="N8" s="268"/>
      <c r="O8" s="269"/>
    </row>
    <row r="9">
      <c r="A9" s="192" t="s">
        <v>409</v>
      </c>
      <c r="B9" s="191" t="s">
        <v>402</v>
      </c>
      <c r="C9" s="271">
        <f>'26TH-25THAPRIL'!E9</f>
        <v>1</v>
      </c>
      <c r="D9" s="268"/>
      <c r="E9" s="273"/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1</v>
      </c>
      <c r="N9" s="268"/>
      <c r="O9" s="269"/>
    </row>
    <row r="10">
      <c r="A10" s="192" t="s">
        <v>411</v>
      </c>
      <c r="B10" s="191" t="s">
        <v>402</v>
      </c>
      <c r="C10" s="271">
        <f>'26TH-25THAPRIL'!E10</f>
        <v>7</v>
      </c>
      <c r="D10" s="272">
        <v>4.0</v>
      </c>
      <c r="E10" s="273">
        <v>2.0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72</v>
      </c>
      <c r="N10" s="268"/>
      <c r="O10" s="269"/>
    </row>
    <row r="11">
      <c r="A11" s="204" t="s">
        <v>413</v>
      </c>
      <c r="B11" s="191" t="s">
        <v>402</v>
      </c>
      <c r="C11" s="271">
        <f>'26TH-25THAPRIL'!E11</f>
        <v>15</v>
      </c>
      <c r="D11" s="272">
        <v>11.0</v>
      </c>
      <c r="E11" s="273">
        <v>7.0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19</v>
      </c>
      <c r="N11" s="268"/>
      <c r="O11" s="269"/>
    </row>
    <row r="12">
      <c r="A12" s="192" t="s">
        <v>414</v>
      </c>
      <c r="B12" s="191" t="s">
        <v>402</v>
      </c>
      <c r="C12" s="271" t="str">
        <f>'26TH-25THAPRIL'!E12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>
        <f>'26TH-25THAPRIL'!E13</f>
        <v>4</v>
      </c>
      <c r="D13" s="272">
        <v>15.0</v>
      </c>
      <c r="E13" s="273">
        <v>5.0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126</v>
      </c>
      <c r="N13" s="268"/>
      <c r="O13" s="269"/>
    </row>
    <row r="14">
      <c r="A14" s="204" t="s">
        <v>418</v>
      </c>
      <c r="B14" s="191" t="s">
        <v>402</v>
      </c>
      <c r="C14" s="271">
        <f>'26TH-25THAPRIL'!E14</f>
        <v>17</v>
      </c>
      <c r="D14" s="272">
        <v>8.0</v>
      </c>
      <c r="E14" s="273"/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25</v>
      </c>
      <c r="N14" s="268"/>
      <c r="O14" s="269"/>
    </row>
    <row r="15">
      <c r="A15" s="204" t="s">
        <v>420</v>
      </c>
      <c r="B15" s="191" t="s">
        <v>402</v>
      </c>
      <c r="C15" s="271">
        <f>'26TH-25THAPRIL'!E15</f>
        <v>8</v>
      </c>
      <c r="D15" s="268"/>
      <c r="E15" s="273">
        <v>7.0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4</v>
      </c>
      <c r="N15" s="268"/>
      <c r="O15" s="269"/>
    </row>
    <row r="16">
      <c r="A16" s="192" t="s">
        <v>422</v>
      </c>
      <c r="B16" s="191" t="s">
        <v>402</v>
      </c>
      <c r="C16" s="271">
        <f>'26TH-25THAPRIL'!E16</f>
        <v>3</v>
      </c>
      <c r="D16" s="272">
        <v>7.0</v>
      </c>
      <c r="E16" s="273">
        <v>6.0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16</v>
      </c>
      <c r="N16" s="268"/>
      <c r="O16" s="269"/>
    </row>
    <row r="17">
      <c r="A17" s="192" t="s">
        <v>423</v>
      </c>
      <c r="B17" s="191" t="s">
        <v>402</v>
      </c>
      <c r="C17" s="271">
        <f>'26TH-25THAPRIL'!E17</f>
        <v>4</v>
      </c>
      <c r="D17" s="272">
        <v>16.0</v>
      </c>
      <c r="E17" s="273">
        <v>4.0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32</v>
      </c>
      <c r="N17" s="268"/>
      <c r="O17" s="269"/>
    </row>
    <row r="18">
      <c r="A18" s="192" t="s">
        <v>425</v>
      </c>
      <c r="B18" s="191" t="s">
        <v>402</v>
      </c>
      <c r="C18" s="271">
        <f>'26TH-25THAPRIL'!E18</f>
        <v>4</v>
      </c>
      <c r="D18" s="268"/>
      <c r="E18" s="273">
        <v>2.0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4</v>
      </c>
      <c r="N18" s="268"/>
      <c r="O18" s="269"/>
    </row>
    <row r="19">
      <c r="A19" s="192" t="s">
        <v>426</v>
      </c>
      <c r="B19" s="191" t="s">
        <v>402</v>
      </c>
      <c r="C19" s="271">
        <f>'26TH-25THAPRIL'!E19</f>
        <v>3</v>
      </c>
      <c r="D19" s="268"/>
      <c r="E19" s="273">
        <v>1.0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2</v>
      </c>
      <c r="N19" s="268"/>
      <c r="O19" s="269"/>
    </row>
    <row r="20">
      <c r="A20" s="192" t="s">
        <v>428</v>
      </c>
      <c r="B20" s="191" t="s">
        <v>402</v>
      </c>
      <c r="C20" s="271">
        <f>'26TH-25THAPRIL'!E20</f>
        <v>7</v>
      </c>
      <c r="D20" s="268"/>
      <c r="E20" s="273">
        <v>3.0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4</v>
      </c>
      <c r="N20" s="268"/>
      <c r="O20" s="269"/>
    </row>
    <row r="21">
      <c r="A21" s="204" t="s">
        <v>429</v>
      </c>
      <c r="B21" s="191" t="s">
        <v>402</v>
      </c>
      <c r="C21" s="271">
        <f>'26TH-25THAPRIL'!E21</f>
        <v>6</v>
      </c>
      <c r="D21" s="272">
        <v>1.0</v>
      </c>
      <c r="E21" s="273">
        <v>6.0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4</v>
      </c>
      <c r="N21" s="268"/>
      <c r="O21" s="269"/>
    </row>
    <row r="22">
      <c r="A22" s="204" t="s">
        <v>431</v>
      </c>
      <c r="B22" s="191" t="s">
        <v>402</v>
      </c>
      <c r="C22" s="271" t="str">
        <f>'26TH-25THAPRIL'!E22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>
        <f>'26TH-25THAPRIL'!E23</f>
        <v>5</v>
      </c>
      <c r="D23" s="272">
        <v>8.0</v>
      </c>
      <c r="E23" s="273">
        <v>2.0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22</v>
      </c>
      <c r="N23" s="268"/>
      <c r="O23" s="269"/>
    </row>
    <row r="24">
      <c r="A24" s="192" t="s">
        <v>433</v>
      </c>
      <c r="B24" s="191" t="s">
        <v>402</v>
      </c>
      <c r="C24" s="271">
        <f>'26TH-25THAPRIL'!E24</f>
        <v>11</v>
      </c>
      <c r="D24" s="272">
        <f>5+25</f>
        <v>30</v>
      </c>
      <c r="E24" s="273">
        <v>10.0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31</v>
      </c>
      <c r="N24" s="268"/>
      <c r="O24" s="269"/>
    </row>
    <row r="25">
      <c r="A25" s="204" t="s">
        <v>435</v>
      </c>
      <c r="B25" s="191" t="s">
        <v>402</v>
      </c>
      <c r="C25" s="271">
        <f>'26TH-25THAPRIL'!E25</f>
        <v>4</v>
      </c>
      <c r="D25" s="272">
        <v>10.0</v>
      </c>
      <c r="E25" s="273">
        <v>9.0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5</v>
      </c>
      <c r="N25" s="268"/>
      <c r="O25" s="269"/>
    </row>
    <row r="26">
      <c r="A26" s="192" t="s">
        <v>438</v>
      </c>
      <c r="B26" s="191" t="s">
        <v>402</v>
      </c>
      <c r="C26" s="271">
        <f>'26TH-25THAPRIL'!E26</f>
        <v>5</v>
      </c>
      <c r="D26" s="268"/>
      <c r="E26" s="273">
        <v>3.0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2</v>
      </c>
      <c r="N26" s="268"/>
      <c r="O26" s="269"/>
    </row>
    <row r="27">
      <c r="A27" s="192" t="s">
        <v>439</v>
      </c>
      <c r="B27" s="191" t="s">
        <v>402</v>
      </c>
      <c r="C27" s="271" t="str">
        <f>'26TH-25THAPRIL'!E27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f>'26TH-25THAPRIL'!E28</f>
        <v>9</v>
      </c>
      <c r="D28" s="272">
        <v>10.0</v>
      </c>
      <c r="E28" s="273">
        <v>7.0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12</v>
      </c>
      <c r="N28" s="268"/>
      <c r="O28" s="269"/>
    </row>
    <row r="29">
      <c r="A29" s="204" t="s">
        <v>441</v>
      </c>
      <c r="B29" s="191" t="s">
        <v>402</v>
      </c>
      <c r="C29" s="271">
        <f>'26TH-25THAPRIL'!E29</f>
        <v>11</v>
      </c>
      <c r="D29" s="272">
        <v>10.0</v>
      </c>
      <c r="E29" s="273">
        <v>10.0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22</v>
      </c>
      <c r="N29" s="268"/>
      <c r="O29" s="269"/>
    </row>
    <row r="30">
      <c r="A30" s="204" t="s">
        <v>442</v>
      </c>
      <c r="B30" s="191" t="s">
        <v>402</v>
      </c>
      <c r="C30" s="271">
        <f>'26TH-25THAPRIL'!E30</f>
        <v>4</v>
      </c>
      <c r="D30" s="272">
        <v>10.0</v>
      </c>
      <c r="E30" s="273">
        <v>7.0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7</v>
      </c>
      <c r="N30" s="268"/>
      <c r="O30" s="269"/>
    </row>
    <row r="31">
      <c r="A31" s="204" t="s">
        <v>444</v>
      </c>
      <c r="B31" s="191" t="s">
        <v>402</v>
      </c>
      <c r="C31" s="271">
        <f>'26TH-25THAPRIL'!E31</f>
        <v>5</v>
      </c>
      <c r="D31" s="268"/>
      <c r="E31" s="273">
        <v>5.0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0</v>
      </c>
      <c r="N31" s="268"/>
      <c r="O31" s="269"/>
    </row>
    <row r="32">
      <c r="A32" s="204" t="s">
        <v>445</v>
      </c>
      <c r="B32" s="191" t="s">
        <v>402</v>
      </c>
      <c r="C32" s="271">
        <f>'26TH-25THAPRIL'!E32</f>
        <v>8</v>
      </c>
      <c r="D32" s="268"/>
      <c r="E32" s="273">
        <v>3.0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20</v>
      </c>
      <c r="N32" s="268"/>
      <c r="O32" s="269"/>
    </row>
    <row r="33">
      <c r="A33" s="192" t="s">
        <v>446</v>
      </c>
      <c r="B33" s="191" t="s">
        <v>402</v>
      </c>
      <c r="C33" s="271">
        <f>'26TH-25THAPRIL'!E33</f>
        <v>1</v>
      </c>
      <c r="D33" s="272">
        <v>1.0</v>
      </c>
      <c r="E33" s="273">
        <v>1.0</v>
      </c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1</v>
      </c>
      <c r="N33" s="268"/>
      <c r="O33" s="269"/>
    </row>
    <row r="34">
      <c r="A34" s="192" t="s">
        <v>447</v>
      </c>
      <c r="B34" s="191" t="s">
        <v>402</v>
      </c>
      <c r="C34" s="271">
        <f>'26TH-25THAPRIL'!E34</f>
        <v>4</v>
      </c>
      <c r="D34" s="272">
        <v>7.0</v>
      </c>
      <c r="E34" s="273">
        <v>4.0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7</v>
      </c>
      <c r="N34" s="268"/>
      <c r="O34" s="269"/>
    </row>
    <row r="35">
      <c r="A35" s="204" t="s">
        <v>449</v>
      </c>
      <c r="B35" s="191" t="s">
        <v>402</v>
      </c>
      <c r="C35" s="271" t="str">
        <f>'26TH-25THAPRIL'!E35</f>
        <v/>
      </c>
      <c r="D35" s="272">
        <v>5.0</v>
      </c>
      <c r="E35" s="273">
        <v>4.0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1</v>
      </c>
      <c r="N35" s="268"/>
      <c r="O35" s="269"/>
    </row>
    <row r="36">
      <c r="A36" s="192" t="s">
        <v>451</v>
      </c>
      <c r="B36" s="191" t="s">
        <v>402</v>
      </c>
      <c r="C36" s="271">
        <f>'26TH-25THAPRIL'!E36</f>
        <v>10</v>
      </c>
      <c r="D36" s="272">
        <v>10.0</v>
      </c>
      <c r="E36" s="273">
        <v>11.0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18</v>
      </c>
      <c r="N36" s="268"/>
      <c r="O36" s="269"/>
    </row>
    <row r="37">
      <c r="A37" s="225" t="s">
        <v>452</v>
      </c>
      <c r="B37" s="191" t="s">
        <v>402</v>
      </c>
      <c r="C37" s="271">
        <f>'26TH-25THAPRIL'!E37</f>
        <v>3</v>
      </c>
      <c r="D37" s="272">
        <v>3.0</v>
      </c>
      <c r="E37" s="273">
        <v>6.0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0</v>
      </c>
      <c r="N37" s="268"/>
      <c r="O37" s="269"/>
    </row>
    <row r="38">
      <c r="A38" s="225" t="s">
        <v>454</v>
      </c>
      <c r="B38" s="191" t="s">
        <v>402</v>
      </c>
      <c r="C38" s="271">
        <f>'26TH-25THAPRIL'!E38</f>
        <v>3</v>
      </c>
      <c r="D38" s="268"/>
      <c r="E38" s="273">
        <v>3.0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23" t="s">
        <v>455</v>
      </c>
      <c r="B39" s="191" t="s">
        <v>402</v>
      </c>
      <c r="C39" s="271">
        <f>'26TH-25THAPRIL'!E39</f>
        <v>5</v>
      </c>
      <c r="D39" s="268"/>
      <c r="E39" s="273">
        <v>1.0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16</v>
      </c>
      <c r="N39" s="268"/>
      <c r="O39" s="269"/>
    </row>
    <row r="40">
      <c r="A40" s="223" t="s">
        <v>456</v>
      </c>
      <c r="B40" s="191" t="s">
        <v>402</v>
      </c>
      <c r="C40" s="271">
        <f>'26TH-25THAPRIL'!E40</f>
        <v>6</v>
      </c>
      <c r="D40" s="272">
        <v>4.0</v>
      </c>
      <c r="E40" s="273">
        <v>4.0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6</v>
      </c>
      <c r="N40" s="268"/>
      <c r="O40" s="269"/>
    </row>
    <row r="41">
      <c r="A41" s="223" t="s">
        <v>457</v>
      </c>
      <c r="B41" s="191" t="s">
        <v>402</v>
      </c>
      <c r="C41" s="271" t="str">
        <f>'26TH-25THAPRIL'!E41</f>
        <v/>
      </c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307" t="s">
        <v>762</v>
      </c>
      <c r="B42" s="191"/>
      <c r="C42" s="271" t="str">
        <f>'26TH-25THAPRIL'!E42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'26TH-25THAPRIL'!E43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>
        <f>'26TH-25THAPRIL'!E44</f>
        <v>2.25</v>
      </c>
      <c r="D44" s="227">
        <v>2.0</v>
      </c>
      <c r="E44" s="280">
        <f>'1stMay-30thApril'!C44</f>
        <v>1.5</v>
      </c>
      <c r="F44" s="235" t="s">
        <v>14</v>
      </c>
      <c r="G44" s="235"/>
      <c r="H44" s="272" t="str">
        <f>'26TH-25THAPRIL'!J44</f>
        <v/>
      </c>
      <c r="I44" s="281">
        <v>1.0</v>
      </c>
      <c r="J44" s="282" t="str">
        <f>'1stMay-30thApril'!H44</f>
        <v/>
      </c>
      <c r="K44" s="282">
        <f>'1stMay-30thApril'!I44</f>
        <v>1</v>
      </c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2.75</v>
      </c>
      <c r="N44" s="191"/>
      <c r="O44" s="247"/>
    </row>
    <row r="45">
      <c r="A45" s="12" t="s">
        <v>16</v>
      </c>
      <c r="B45" s="13" t="s">
        <v>17</v>
      </c>
      <c r="C45" s="271">
        <f>'26TH-25THAPRIL'!E45</f>
        <v>14</v>
      </c>
      <c r="D45" s="227">
        <v>6.0</v>
      </c>
      <c r="E45" s="280">
        <f>'1stMay-30thApril'!C45</f>
        <v>10</v>
      </c>
      <c r="F45" s="235" t="s">
        <v>17</v>
      </c>
      <c r="G45" s="235"/>
      <c r="H45" s="272" t="str">
        <f>'26TH-25THAPRIL'!J45</f>
        <v/>
      </c>
      <c r="I45" s="281">
        <v>1.0</v>
      </c>
      <c r="J45" s="282" t="str">
        <f>'1stMay-30thApril'!H45</f>
        <v/>
      </c>
      <c r="K45" s="282">
        <f>'1stMay-30thApril'!I45</f>
        <v>1</v>
      </c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10</v>
      </c>
      <c r="N45" s="191"/>
      <c r="O45" s="247"/>
    </row>
    <row r="46">
      <c r="A46" s="15" t="s">
        <v>19</v>
      </c>
      <c r="B46" s="13" t="s">
        <v>17</v>
      </c>
      <c r="C46" s="271">
        <f>'26TH-25THAPRIL'!E46</f>
        <v>9</v>
      </c>
      <c r="D46" s="227"/>
      <c r="E46" s="280">
        <f>'1stMay-30thApril'!C46</f>
        <v>5</v>
      </c>
      <c r="F46" s="235" t="s">
        <v>17</v>
      </c>
      <c r="G46" s="235"/>
      <c r="H46" s="272" t="str">
        <f>'26TH-25THAPRIL'!J46</f>
        <v/>
      </c>
      <c r="I46" s="281">
        <v>1.0</v>
      </c>
      <c r="J46" s="282" t="str">
        <f>'1stMay-30thApril'!H46</f>
        <v/>
      </c>
      <c r="K46" s="282">
        <f>'1stMay-30thApril'!I46</f>
        <v>1</v>
      </c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4</v>
      </c>
      <c r="N46" s="191"/>
      <c r="O46" s="247"/>
    </row>
    <row r="47">
      <c r="A47" s="12" t="s">
        <v>20</v>
      </c>
      <c r="B47" s="13" t="s">
        <v>17</v>
      </c>
      <c r="C47" s="271">
        <f>'26TH-25THAPRIL'!E47</f>
        <v>9</v>
      </c>
      <c r="D47" s="227">
        <v>5.0</v>
      </c>
      <c r="E47" s="280">
        <f>'1stMay-30thApril'!C47</f>
        <v>10</v>
      </c>
      <c r="F47" s="235" t="s">
        <v>17</v>
      </c>
      <c r="G47" s="235"/>
      <c r="H47" s="272" t="str">
        <f>'26TH-25THAPRIL'!J47</f>
        <v/>
      </c>
      <c r="I47" s="281">
        <v>1.0</v>
      </c>
      <c r="J47" s="282" t="str">
        <f>'1stMay-30thApril'!H47</f>
        <v/>
      </c>
      <c r="K47" s="282">
        <f>'1stMay-30thApril'!I47</f>
        <v>1</v>
      </c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4</v>
      </c>
      <c r="N47" s="191"/>
      <c r="O47" s="247"/>
    </row>
    <row r="48">
      <c r="A48" s="12" t="s">
        <v>21</v>
      </c>
      <c r="B48" s="13" t="s">
        <v>17</v>
      </c>
      <c r="C48" s="271">
        <f>'26TH-25THAPRIL'!E48</f>
        <v>6.5</v>
      </c>
      <c r="D48" s="227">
        <v>5.0</v>
      </c>
      <c r="E48" s="280">
        <f>'1stMay-30thApril'!C48</f>
        <v>5.5</v>
      </c>
      <c r="F48" s="235" t="s">
        <v>17</v>
      </c>
      <c r="G48" s="235"/>
      <c r="H48" s="272" t="str">
        <f>'26TH-25THAPRIL'!J48</f>
        <v/>
      </c>
      <c r="I48" s="281">
        <v>1.0</v>
      </c>
      <c r="J48" s="282" t="str">
        <f>'1stMay-30thApril'!H48</f>
        <v/>
      </c>
      <c r="K48" s="282">
        <f>'1stMay-30thApril'!I48</f>
        <v>1</v>
      </c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6</v>
      </c>
      <c r="N48" s="191"/>
      <c r="O48" s="247"/>
    </row>
    <row r="49">
      <c r="A49" s="12" t="s">
        <v>22</v>
      </c>
      <c r="B49" s="13" t="s">
        <v>17</v>
      </c>
      <c r="C49" s="271" t="str">
        <f>'26TH-25THAPRIL'!E49</f>
        <v/>
      </c>
      <c r="D49" s="191"/>
      <c r="E49" s="280" t="str">
        <f>'1stMay-30thApril'!C49</f>
        <v/>
      </c>
      <c r="F49" s="235" t="s">
        <v>17</v>
      </c>
      <c r="G49" s="235"/>
      <c r="H49" s="272" t="str">
        <f>'26TH-25THAPRIL'!J49</f>
        <v/>
      </c>
      <c r="I49" s="281">
        <v>1.0</v>
      </c>
      <c r="J49" s="282" t="str">
        <f>'1stMay-30thApril'!H49</f>
        <v/>
      </c>
      <c r="K49" s="282">
        <f>'1stMay-30thApril'!I49</f>
        <v>1</v>
      </c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 t="str">
        <f>'26TH-25THAPRIL'!E50</f>
        <v/>
      </c>
      <c r="D50" s="227">
        <v>1.0</v>
      </c>
      <c r="E50" s="280" t="str">
        <f>'1stMay-30thApril'!C50</f>
        <v/>
      </c>
      <c r="F50" s="235" t="s">
        <v>25</v>
      </c>
      <c r="G50" s="235"/>
      <c r="H50" s="272">
        <f>'26TH-25THAPRIL'!J50</f>
        <v>0.229</v>
      </c>
      <c r="I50" s="281">
        <v>1.0</v>
      </c>
      <c r="J50" s="282">
        <f>'1stMay-30thApril'!H50</f>
        <v>0.092</v>
      </c>
      <c r="K50" s="282">
        <f>'1stMay-30thApril'!I50</f>
        <v>1</v>
      </c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0.837</v>
      </c>
      <c r="N50" s="191"/>
      <c r="O50" s="247"/>
    </row>
    <row r="51">
      <c r="A51" s="12" t="s">
        <v>27</v>
      </c>
      <c r="B51" s="12" t="s">
        <v>24</v>
      </c>
      <c r="C51" s="271" t="str">
        <f>'26TH-25THAPRIL'!E51</f>
        <v/>
      </c>
      <c r="D51" s="191"/>
      <c r="E51" s="280" t="str">
        <f>'1stMay-30thApril'!C51</f>
        <v/>
      </c>
      <c r="F51" s="235" t="s">
        <v>24</v>
      </c>
      <c r="G51" s="235"/>
      <c r="H51" s="272" t="str">
        <f>'26TH-25THAPRIL'!J51</f>
        <v/>
      </c>
      <c r="I51" s="281">
        <v>1.0</v>
      </c>
      <c r="J51" s="282" t="str">
        <f>'1stMay-30thApril'!H51</f>
        <v/>
      </c>
      <c r="K51" s="282">
        <f>'1stMay-30thApril'!I51</f>
        <v>1</v>
      </c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>
        <f>'26TH-25THAPRIL'!E52</f>
        <v>1</v>
      </c>
      <c r="D52" s="227">
        <v>1.0</v>
      </c>
      <c r="E52" s="280" t="str">
        <f>'1stMay-30thApril'!C52</f>
        <v/>
      </c>
      <c r="F52" s="235" t="s">
        <v>14</v>
      </c>
      <c r="G52" s="285"/>
      <c r="H52" s="272" t="str">
        <f>'26TH-25THAPRIL'!J52</f>
        <v/>
      </c>
      <c r="I52" s="281">
        <v>1.0</v>
      </c>
      <c r="J52" s="282" t="str">
        <f>'1stMay-30thApril'!H52</f>
        <v/>
      </c>
      <c r="K52" s="282">
        <f>'1stMay-30thApril'!I52</f>
        <v>1</v>
      </c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0.946</v>
      </c>
      <c r="N52" s="191"/>
      <c r="O52" s="247"/>
    </row>
    <row r="53">
      <c r="A53" s="16" t="s">
        <v>30</v>
      </c>
      <c r="B53" s="12" t="s">
        <v>24</v>
      </c>
      <c r="C53" s="271" t="str">
        <f>'26TH-25THAPRIL'!E53</f>
        <v/>
      </c>
      <c r="D53" s="227">
        <v>1.0</v>
      </c>
      <c r="E53" s="280" t="str">
        <f>'1stMay-30thApril'!C53</f>
        <v/>
      </c>
      <c r="F53" s="235" t="s">
        <v>35</v>
      </c>
      <c r="G53" s="235"/>
      <c r="H53" s="272">
        <f>'26TH-25THAPRIL'!J53</f>
        <v>0.425</v>
      </c>
      <c r="I53" s="281">
        <v>1.0</v>
      </c>
      <c r="J53" s="282">
        <f>'1stMay-30thApril'!H53</f>
        <v>0.84</v>
      </c>
      <c r="K53" s="282">
        <f>'1stMay-30thApril'!I53</f>
        <v>1</v>
      </c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0.085</v>
      </c>
      <c r="N53" s="191"/>
      <c r="O53" s="247"/>
    </row>
    <row r="54">
      <c r="A54" s="12" t="s">
        <v>33</v>
      </c>
      <c r="B54" s="12" t="s">
        <v>34</v>
      </c>
      <c r="C54" s="271" t="str">
        <f>'26TH-25THAPRIL'!E54</f>
        <v/>
      </c>
      <c r="D54" s="227">
        <v>3.0</v>
      </c>
      <c r="E54" s="280" t="str">
        <f>'1stMay-30thApril'!C54</f>
        <v/>
      </c>
      <c r="F54" s="235" t="s">
        <v>35</v>
      </c>
      <c r="G54" s="235"/>
      <c r="H54" s="272" t="str">
        <f>'26TH-25THAPRIL'!J54</f>
        <v/>
      </c>
      <c r="I54" s="281">
        <v>1.0</v>
      </c>
      <c r="J54" s="282">
        <f>'1stMay-30thApril'!H54</f>
        <v>0.2</v>
      </c>
      <c r="K54" s="282">
        <f>'1stMay-30thApril'!I54</f>
        <v>1</v>
      </c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1.063</v>
      </c>
      <c r="N54" s="191"/>
      <c r="O54" s="247"/>
    </row>
    <row r="55">
      <c r="A55" s="12" t="s">
        <v>37</v>
      </c>
      <c r="B55" s="12" t="s">
        <v>17</v>
      </c>
      <c r="C55" s="271" t="str">
        <f>'26TH-25THAPRIL'!E55</f>
        <v/>
      </c>
      <c r="D55" s="191"/>
      <c r="E55" s="280" t="str">
        <f>'1stMay-30thApril'!C55</f>
        <v/>
      </c>
      <c r="F55" s="235" t="s">
        <v>752</v>
      </c>
      <c r="G55" s="235"/>
      <c r="H55" s="272" t="str">
        <f>'26TH-25THAPRIL'!J55</f>
        <v/>
      </c>
      <c r="I55" s="281">
        <v>1.0</v>
      </c>
      <c r="J55" s="282" t="str">
        <f>'1stMay-30thApril'!H55</f>
        <v/>
      </c>
      <c r="K55" s="282">
        <f>'1stMay-30thApril'!I55</f>
        <v>1</v>
      </c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 t="str">
        <f>'26TH-25THAPRIL'!E56</f>
        <v/>
      </c>
      <c r="D56" s="191"/>
      <c r="E56" s="280" t="str">
        <f>'1stMay-30thApril'!C56</f>
        <v/>
      </c>
      <c r="F56" s="235" t="s">
        <v>17</v>
      </c>
      <c r="G56" s="235"/>
      <c r="H56" s="272" t="str">
        <f>'26TH-25THAPRIL'!J56</f>
        <v/>
      </c>
      <c r="I56" s="281">
        <v>1.0</v>
      </c>
      <c r="J56" s="282" t="str">
        <f>'1stMay-30thApril'!H56</f>
        <v/>
      </c>
      <c r="K56" s="282">
        <f>'1stMay-30thApril'!I56</f>
        <v>1</v>
      </c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0</v>
      </c>
      <c r="N56" s="191"/>
      <c r="O56" s="247"/>
    </row>
    <row r="57">
      <c r="A57" s="12" t="s">
        <v>42</v>
      </c>
      <c r="B57" s="12" t="s">
        <v>24</v>
      </c>
      <c r="C57" s="271" t="str">
        <f>'26TH-25THAPRIL'!E57</f>
        <v/>
      </c>
      <c r="D57" s="227">
        <v>1.0</v>
      </c>
      <c r="E57" s="280" t="str">
        <f>'1stMay-30thApril'!C57</f>
        <v/>
      </c>
      <c r="F57" s="235" t="s">
        <v>35</v>
      </c>
      <c r="G57" s="235"/>
      <c r="H57" s="272">
        <f>'26TH-25THAPRIL'!J57</f>
        <v>0.355</v>
      </c>
      <c r="I57" s="281">
        <v>1.0</v>
      </c>
      <c r="J57" s="282">
        <f>'1stMay-30thApril'!H57</f>
        <v>0.14</v>
      </c>
      <c r="K57" s="282">
        <f>'1stMay-30thApril'!I57</f>
        <v>1</v>
      </c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0.612</v>
      </c>
      <c r="N57" s="191"/>
      <c r="O57" s="247"/>
    </row>
    <row r="58">
      <c r="A58" s="12" t="s">
        <v>44</v>
      </c>
      <c r="B58" s="12" t="s">
        <v>24</v>
      </c>
      <c r="C58" s="271" t="str">
        <f>'26TH-25THAPRIL'!E58</f>
        <v/>
      </c>
      <c r="D58" s="227">
        <v>1.0</v>
      </c>
      <c r="E58" s="280">
        <f>'1stMay-30thApril'!C58</f>
        <v>1</v>
      </c>
      <c r="F58" s="235" t="s">
        <v>25</v>
      </c>
      <c r="G58" s="235"/>
      <c r="H58" s="272">
        <f>'26TH-25THAPRIL'!J58</f>
        <v>0.402</v>
      </c>
      <c r="I58" s="281">
        <v>1.0</v>
      </c>
      <c r="J58" s="282">
        <f>'1stMay-30thApril'!H58</f>
        <v>0.28</v>
      </c>
      <c r="K58" s="282">
        <f>'1stMay-30thApril'!I58</f>
        <v>1</v>
      </c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0.122</v>
      </c>
      <c r="N58" s="191"/>
      <c r="O58" s="247"/>
    </row>
    <row r="59">
      <c r="A59" s="12" t="s">
        <v>45</v>
      </c>
      <c r="B59" s="12" t="s">
        <v>24</v>
      </c>
      <c r="C59" s="271" t="str">
        <f>'26TH-25THAPRIL'!E59</f>
        <v/>
      </c>
      <c r="D59" s="191"/>
      <c r="E59" s="280" t="str">
        <f>'1stMay-30thApril'!C59</f>
        <v/>
      </c>
      <c r="F59" s="235" t="s">
        <v>25</v>
      </c>
      <c r="G59" s="235"/>
      <c r="H59" s="272">
        <f>'26TH-25THAPRIL'!J59</f>
        <v>0.933</v>
      </c>
      <c r="I59" s="281">
        <v>1.0</v>
      </c>
      <c r="J59" s="282">
        <f>'1stMay-30thApril'!H59</f>
        <v>0.925</v>
      </c>
      <c r="K59" s="282">
        <f>'1stMay-30thApril'!I59</f>
        <v>1</v>
      </c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0.008</v>
      </c>
      <c r="N59" s="191"/>
      <c r="O59" s="247"/>
    </row>
    <row r="60">
      <c r="A60" s="17" t="s">
        <v>46</v>
      </c>
      <c r="B60" s="12" t="s">
        <v>47</v>
      </c>
      <c r="C60" s="271" t="str">
        <f>'26TH-25THAPRIL'!E60</f>
        <v/>
      </c>
      <c r="D60" s="191"/>
      <c r="E60" s="280" t="str">
        <f>'1stMay-30thApril'!C60</f>
        <v/>
      </c>
      <c r="F60" s="235" t="s">
        <v>51</v>
      </c>
      <c r="G60" s="235"/>
      <c r="H60" s="272" t="str">
        <f>'26TH-25THAPRIL'!J60</f>
        <v/>
      </c>
      <c r="I60" s="281">
        <v>1.0</v>
      </c>
      <c r="J60" s="282" t="str">
        <f>'1stMay-30thApril'!H60</f>
        <v/>
      </c>
      <c r="K60" s="282">
        <f>'1stMay-30thApril'!I60</f>
        <v>1</v>
      </c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'26TH-25THAPRIL'!E61</f>
        <v/>
      </c>
      <c r="D61" s="191"/>
      <c r="E61" s="280" t="str">
        <f>'1stMay-30thApril'!C61</f>
        <v/>
      </c>
      <c r="F61" s="235" t="s">
        <v>51</v>
      </c>
      <c r="G61" s="235"/>
      <c r="H61" s="272" t="str">
        <f>'26TH-25THAPRIL'!J61</f>
        <v/>
      </c>
      <c r="I61" s="281">
        <v>1.0</v>
      </c>
      <c r="J61" s="282" t="str">
        <f>'1stMay-30thApril'!H61</f>
        <v/>
      </c>
      <c r="K61" s="282">
        <f>'1stMay-30thApril'!I61</f>
        <v>1</v>
      </c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'26TH-25THAPRIL'!E62</f>
        <v/>
      </c>
      <c r="D62" s="191"/>
      <c r="E62" s="280" t="str">
        <f>'1stMay-30thApril'!C62</f>
        <v/>
      </c>
      <c r="F62" s="235" t="s">
        <v>51</v>
      </c>
      <c r="G62" s="235"/>
      <c r="H62" s="272">
        <f>'26TH-25THAPRIL'!J62</f>
        <v>0.637</v>
      </c>
      <c r="I62" s="281">
        <v>1.0</v>
      </c>
      <c r="J62" s="282">
        <f>'1stMay-30thApril'!H62</f>
        <v>0.6</v>
      </c>
      <c r="K62" s="282">
        <f>'1stMay-30thApril'!I62</f>
        <v>1</v>
      </c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0.037</v>
      </c>
      <c r="N62" s="191"/>
      <c r="O62" s="247"/>
    </row>
    <row r="63">
      <c r="A63" s="12" t="s">
        <v>53</v>
      </c>
      <c r="B63" s="12" t="s">
        <v>35</v>
      </c>
      <c r="C63" s="271" t="str">
        <f>'26TH-25THAPRIL'!E63</f>
        <v/>
      </c>
      <c r="D63" s="227">
        <v>3.2</v>
      </c>
      <c r="E63" s="280" t="str">
        <f>'1stMay-30thApril'!C63</f>
        <v/>
      </c>
      <c r="F63" s="235" t="s">
        <v>35</v>
      </c>
      <c r="G63" s="235"/>
      <c r="H63" s="272">
        <f>'26TH-25THAPRIL'!J63</f>
        <v>0.215</v>
      </c>
      <c r="I63" s="281">
        <v>1.0</v>
      </c>
      <c r="J63" s="282">
        <f>'1stMay-30thApril'!H63</f>
        <v>0.516</v>
      </c>
      <c r="K63" s="282">
        <f>'1stMay-30thApril'!I63</f>
        <v>1</v>
      </c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2.899</v>
      </c>
      <c r="N63" s="191"/>
      <c r="O63" s="247"/>
    </row>
    <row r="64">
      <c r="A64" s="11" t="s">
        <v>55</v>
      </c>
      <c r="B64" s="11" t="s">
        <v>56</v>
      </c>
      <c r="C64" s="271" t="str">
        <f>'26TH-25THAPRIL'!E64</f>
        <v/>
      </c>
      <c r="D64" s="191"/>
      <c r="E64" s="280" t="str">
        <f>'1stMay-30thApril'!C64</f>
        <v/>
      </c>
      <c r="F64" s="235" t="s">
        <v>14</v>
      </c>
      <c r="G64" s="235"/>
      <c r="H64" s="272">
        <f>'26TH-25THAPRIL'!J64</f>
        <v>4.192</v>
      </c>
      <c r="I64" s="281">
        <v>1.0</v>
      </c>
      <c r="J64" s="282">
        <f>'1stMay-30thApril'!H64</f>
        <v>2.807</v>
      </c>
      <c r="K64" s="282">
        <f>'1stMay-30thApril'!I64</f>
        <v>1</v>
      </c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1.385</v>
      </c>
      <c r="N64" s="191"/>
      <c r="O64" s="247"/>
    </row>
    <row r="65">
      <c r="A65" s="10" t="s">
        <v>57</v>
      </c>
      <c r="B65" s="11"/>
      <c r="C65" s="271" t="str">
        <f>'26TH-25THAPRIL'!E65</f>
        <v/>
      </c>
      <c r="D65" s="191"/>
      <c r="E65" s="280" t="str">
        <f>'1stMay-30thApril'!C65</f>
        <v/>
      </c>
      <c r="F65" s="235"/>
      <c r="G65" s="235"/>
      <c r="H65" s="272" t="str">
        <f>'26TH-25THAPRIL'!J65</f>
        <v/>
      </c>
      <c r="I65" s="281">
        <v>1.0</v>
      </c>
      <c r="J65" s="282" t="str">
        <f>'1stMay-30thApril'!H65</f>
        <v/>
      </c>
      <c r="K65" s="282">
        <f>'1stMay-30thApril'!I65</f>
        <v>1</v>
      </c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 t="str">
        <f>'26TH-25THAPRIL'!E66</f>
        <v/>
      </c>
      <c r="D66" s="227">
        <v>4.0</v>
      </c>
      <c r="E66" s="280" t="str">
        <f>'1stMay-30thApril'!C66</f>
        <v/>
      </c>
      <c r="F66" s="235" t="s">
        <v>35</v>
      </c>
      <c r="G66" s="235"/>
      <c r="H66" s="272">
        <f>'26TH-25THAPRIL'!J66</f>
        <v>1.159</v>
      </c>
      <c r="I66" s="281">
        <v>1.0</v>
      </c>
      <c r="J66" s="282">
        <f>'1stMay-30thApril'!H66</f>
        <v>1.25</v>
      </c>
      <c r="K66" s="282">
        <f>'1stMay-30thApril'!I66</f>
        <v>1</v>
      </c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7.909</v>
      </c>
      <c r="N66" s="191"/>
      <c r="O66" s="247"/>
    </row>
    <row r="67">
      <c r="A67" s="12" t="s">
        <v>61</v>
      </c>
      <c r="B67" s="12" t="s">
        <v>59</v>
      </c>
      <c r="C67" s="271" t="str">
        <f>'26TH-25THAPRIL'!E67</f>
        <v/>
      </c>
      <c r="D67" s="227">
        <v>1.0</v>
      </c>
      <c r="E67" s="280" t="str">
        <f>'1stMay-30thApril'!C67</f>
        <v/>
      </c>
      <c r="F67" s="235" t="s">
        <v>35</v>
      </c>
      <c r="G67" s="235"/>
      <c r="H67" s="272">
        <f>'26TH-25THAPRIL'!J67</f>
        <v>0.02</v>
      </c>
      <c r="I67" s="281">
        <v>1.0</v>
      </c>
      <c r="J67" s="282">
        <f>'1stMay-30thApril'!H67</f>
        <v>0.109</v>
      </c>
      <c r="K67" s="282">
        <f>'1stMay-30thApril'!I67</f>
        <v>1</v>
      </c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0.011</v>
      </c>
      <c r="N67" s="191"/>
      <c r="O67" s="247"/>
    </row>
    <row r="68">
      <c r="A68" s="12" t="s">
        <v>62</v>
      </c>
      <c r="B68" s="12" t="s">
        <v>35</v>
      </c>
      <c r="C68" s="271" t="str">
        <f>'26TH-25THAPRIL'!E68</f>
        <v/>
      </c>
      <c r="D68" s="227">
        <v>5.0</v>
      </c>
      <c r="E68" s="280" t="str">
        <f>'1stMay-30thApril'!C68</f>
        <v/>
      </c>
      <c r="F68" s="235" t="s">
        <v>35</v>
      </c>
      <c r="G68" s="235"/>
      <c r="H68" s="272">
        <f>'26TH-25THAPRIL'!J68</f>
        <v>3.6</v>
      </c>
      <c r="I68" s="281">
        <v>1.0</v>
      </c>
      <c r="J68" s="282">
        <f>'1stMay-30thApril'!H68</f>
        <v>4.35</v>
      </c>
      <c r="K68" s="282">
        <f>'1stMay-30thApril'!I68</f>
        <v>1</v>
      </c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4.25</v>
      </c>
      <c r="N68" s="191"/>
      <c r="O68" s="247"/>
    </row>
    <row r="69">
      <c r="A69" s="12" t="s">
        <v>64</v>
      </c>
      <c r="B69" s="12" t="s">
        <v>59</v>
      </c>
      <c r="C69" s="271" t="str">
        <f>'26TH-25THAPRIL'!E69</f>
        <v/>
      </c>
      <c r="D69" s="227">
        <v>2.0</v>
      </c>
      <c r="E69" s="280" t="str">
        <f>'1stMay-30thApril'!C69</f>
        <v/>
      </c>
      <c r="F69" s="235" t="s">
        <v>35</v>
      </c>
      <c r="G69" s="235"/>
      <c r="H69" s="272">
        <f>'26TH-25THAPRIL'!J69</f>
        <v>0.333</v>
      </c>
      <c r="I69" s="281">
        <v>1.0</v>
      </c>
      <c r="J69" s="282">
        <f>'1stMay-30thApril'!H69</f>
        <v>0.34</v>
      </c>
      <c r="K69" s="282">
        <f>'1stMay-30thApril'!I69</f>
        <v>1</v>
      </c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0.793</v>
      </c>
      <c r="N69" s="191"/>
      <c r="O69" s="247"/>
    </row>
    <row r="70">
      <c r="A70" s="10" t="s">
        <v>65</v>
      </c>
      <c r="B70" s="11"/>
      <c r="C70" s="271" t="str">
        <f>'26TH-25THAPRIL'!E70</f>
        <v/>
      </c>
      <c r="D70" s="191"/>
      <c r="E70" s="280" t="str">
        <f>'1stMay-30thApril'!C70</f>
        <v/>
      </c>
      <c r="F70" s="235"/>
      <c r="G70" s="235"/>
      <c r="H70" s="272" t="str">
        <f>'26TH-25THAPRIL'!J70</f>
        <v/>
      </c>
      <c r="I70" s="281">
        <v>1.0</v>
      </c>
      <c r="J70" s="282" t="str">
        <f>'1stMay-30thApril'!H70</f>
        <v/>
      </c>
      <c r="K70" s="282">
        <f>'1stMay-30thApril'!I70</f>
        <v>1</v>
      </c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'26TH-25THAPRIL'!E71</f>
        <v/>
      </c>
      <c r="D71" s="227">
        <v>1.0</v>
      </c>
      <c r="E71" s="280" t="str">
        <f>'1stMay-30thApril'!C71</f>
        <v/>
      </c>
      <c r="F71" s="235" t="s">
        <v>25</v>
      </c>
      <c r="G71" s="285">
        <v>11.8</v>
      </c>
      <c r="H71" s="272" t="str">
        <f>'26TH-25THAPRIL'!J71</f>
        <v/>
      </c>
      <c r="I71" s="281">
        <v>1.0</v>
      </c>
      <c r="J71" s="282">
        <f>'1stMay-30thApril'!H71</f>
        <v>0.8</v>
      </c>
      <c r="K71" s="282">
        <f>'1stMay-30thApril'!I71</f>
        <v>1</v>
      </c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30.21</v>
      </c>
      <c r="N71" s="191"/>
      <c r="O71" s="247"/>
    </row>
    <row r="72">
      <c r="A72" s="12" t="s">
        <v>68</v>
      </c>
      <c r="B72" s="12" t="s">
        <v>35</v>
      </c>
      <c r="C72" s="271" t="str">
        <f>'26TH-25THAPRIL'!E72</f>
        <v/>
      </c>
      <c r="D72" s="227"/>
      <c r="E72" s="280" t="str">
        <f>'1stMay-30thApril'!C72</f>
        <v/>
      </c>
      <c r="F72" s="235" t="s">
        <v>35</v>
      </c>
      <c r="G72" s="285">
        <v>1.0</v>
      </c>
      <c r="H72" s="272" t="str">
        <f>'26TH-25THAPRIL'!J72</f>
        <v/>
      </c>
      <c r="I72" s="281">
        <v>1.0</v>
      </c>
      <c r="J72" s="282">
        <f>'1stMay-30thApril'!H72</f>
        <v>0.1</v>
      </c>
      <c r="K72" s="282">
        <f>'1stMay-30thApril'!I72</f>
        <v>1</v>
      </c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0.9</v>
      </c>
      <c r="N72" s="191"/>
      <c r="O72" s="247"/>
    </row>
    <row r="73">
      <c r="A73" s="12" t="s">
        <v>70</v>
      </c>
      <c r="B73" s="12" t="s">
        <v>35</v>
      </c>
      <c r="C73" s="271" t="str">
        <f>'26TH-25THAPRIL'!E73</f>
        <v/>
      </c>
      <c r="D73" s="227">
        <v>1.0</v>
      </c>
      <c r="E73" s="280" t="str">
        <f>'1stMay-30thApril'!C73</f>
        <v/>
      </c>
      <c r="F73" s="235" t="s">
        <v>35</v>
      </c>
      <c r="G73" s="235"/>
      <c r="H73" s="272" t="str">
        <f>'26TH-25THAPRIL'!J73</f>
        <v/>
      </c>
      <c r="I73" s="281">
        <v>1.0</v>
      </c>
      <c r="J73" s="282" t="str">
        <f>'1stMay-30thApril'!H73</f>
        <v/>
      </c>
      <c r="K73" s="282">
        <f>'1stMay-30thApril'!I73</f>
        <v>1</v>
      </c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1</v>
      </c>
      <c r="N73" s="191"/>
      <c r="O73" s="247"/>
    </row>
    <row r="74">
      <c r="A74" s="12" t="s">
        <v>71</v>
      </c>
      <c r="B74" s="12" t="s">
        <v>72</v>
      </c>
      <c r="C74" s="271" t="str">
        <f>'26TH-25THAPRIL'!E74</f>
        <v/>
      </c>
      <c r="D74" s="227">
        <v>2.0</v>
      </c>
      <c r="E74" s="280" t="str">
        <f>'1stMay-30thApril'!C74</f>
        <v/>
      </c>
      <c r="F74" s="235" t="s">
        <v>25</v>
      </c>
      <c r="G74" s="235"/>
      <c r="H74" s="272">
        <f>'26TH-25THAPRIL'!J74</f>
        <v>0.956</v>
      </c>
      <c r="I74" s="281">
        <v>1.0</v>
      </c>
      <c r="J74" s="282">
        <f>'1stMay-30thApril'!H74</f>
        <v>0.22</v>
      </c>
      <c r="K74" s="282">
        <f>'1stMay-30thApril'!I74</f>
        <v>1</v>
      </c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2.736</v>
      </c>
      <c r="N74" s="191"/>
      <c r="O74" s="247"/>
    </row>
    <row r="75">
      <c r="A75" s="12" t="s">
        <v>74</v>
      </c>
      <c r="B75" s="12" t="s">
        <v>17</v>
      </c>
      <c r="C75" s="271" t="str">
        <f>'26TH-25THAPRIL'!E75</f>
        <v/>
      </c>
      <c r="D75" s="191"/>
      <c r="E75" s="280" t="str">
        <f>'1stMay-30thApril'!C75</f>
        <v/>
      </c>
      <c r="F75" s="235" t="s">
        <v>25</v>
      </c>
      <c r="G75" s="235"/>
      <c r="H75" s="272">
        <f>'26TH-25THAPRIL'!J75</f>
        <v>0.645</v>
      </c>
      <c r="I75" s="281">
        <v>1.0</v>
      </c>
      <c r="J75" s="282">
        <f>'1stMay-30thApril'!H75</f>
        <v>0.496</v>
      </c>
      <c r="K75" s="282">
        <f>'1stMay-30thApril'!I75</f>
        <v>1</v>
      </c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0.149</v>
      </c>
      <c r="N75" s="191"/>
      <c r="O75" s="247"/>
    </row>
    <row r="76">
      <c r="A76" s="12" t="s">
        <v>76</v>
      </c>
      <c r="B76" s="12" t="s">
        <v>72</v>
      </c>
      <c r="C76" s="271">
        <f>'26TH-25THAPRIL'!E76</f>
        <v>1</v>
      </c>
      <c r="D76" s="191"/>
      <c r="E76" s="280">
        <f>'1stMay-30thApril'!C76</f>
        <v>1</v>
      </c>
      <c r="F76" s="235" t="s">
        <v>35</v>
      </c>
      <c r="G76" s="235"/>
      <c r="H76" s="272" t="str">
        <f>'26TH-25THAPRIL'!J76</f>
        <v/>
      </c>
      <c r="I76" s="281">
        <v>1.0</v>
      </c>
      <c r="J76" s="282" t="str">
        <f>'1stMay-30thApril'!H76</f>
        <v/>
      </c>
      <c r="K76" s="282">
        <f>'1stMay-30thApril'!I76</f>
        <v>1</v>
      </c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'26TH-25THAPRIL'!E77</f>
        <v/>
      </c>
      <c r="D77" s="191"/>
      <c r="E77" s="280" t="str">
        <f>'1stMay-30thApril'!C77</f>
        <v/>
      </c>
      <c r="F77" s="235" t="s">
        <v>25</v>
      </c>
      <c r="G77" s="235"/>
      <c r="H77" s="272">
        <f>'26TH-25THAPRIL'!J77</f>
        <v>1.821</v>
      </c>
      <c r="I77" s="281">
        <v>1.0</v>
      </c>
      <c r="J77" s="282" t="str">
        <f>'1stMay-30thApril'!H77</f>
        <v/>
      </c>
      <c r="K77" s="282">
        <f>'1stMay-30thApril'!I77</f>
        <v>1</v>
      </c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1.741</v>
      </c>
      <c r="N77" s="191"/>
      <c r="O77" s="247"/>
    </row>
    <row r="78">
      <c r="A78" s="12" t="s">
        <v>80</v>
      </c>
      <c r="B78" s="12" t="s">
        <v>56</v>
      </c>
      <c r="C78" s="271" t="str">
        <f>'26TH-25THAPRIL'!E78</f>
        <v/>
      </c>
      <c r="D78" s="191"/>
      <c r="E78" s="280" t="str">
        <f>'1stMay-30thApril'!C78</f>
        <v/>
      </c>
      <c r="F78" s="235" t="s">
        <v>35</v>
      </c>
      <c r="G78" s="235"/>
      <c r="H78" s="272" t="str">
        <f>'26TH-25THAPRIL'!J78</f>
        <v/>
      </c>
      <c r="I78" s="281">
        <v>1.0</v>
      </c>
      <c r="J78" s="282" t="str">
        <f>'1stMay-30thApril'!H78</f>
        <v/>
      </c>
      <c r="K78" s="282">
        <f>'1stMay-30thApril'!I78</f>
        <v>1</v>
      </c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'26TH-25THAPRIL'!E79</f>
        <v/>
      </c>
      <c r="D79" s="191"/>
      <c r="E79" s="280" t="str">
        <f>'1stMay-30thApril'!C79</f>
        <v/>
      </c>
      <c r="F79" s="235" t="s">
        <v>35</v>
      </c>
      <c r="G79" s="235"/>
      <c r="H79" s="272">
        <v>0.6</v>
      </c>
      <c r="I79" s="281">
        <v>1.0</v>
      </c>
      <c r="J79" s="282">
        <f>'1stMay-30thApril'!H79</f>
        <v>0.45</v>
      </c>
      <c r="K79" s="282">
        <f>'1stMay-30thApril'!I79</f>
        <v>1</v>
      </c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0.15</v>
      </c>
      <c r="N79" s="191"/>
      <c r="O79" s="247"/>
    </row>
    <row r="80">
      <c r="A80" s="10" t="s">
        <v>85</v>
      </c>
      <c r="B80" s="11"/>
      <c r="C80" s="271" t="str">
        <f>'26TH-25THAPRIL'!E80</f>
        <v/>
      </c>
      <c r="D80" s="191"/>
      <c r="E80" s="280" t="str">
        <f>'1stMay-30thApril'!C80</f>
        <v/>
      </c>
      <c r="F80" s="235"/>
      <c r="G80" s="235"/>
      <c r="H80" s="272" t="str">
        <f>'26TH-25THAPRIL'!J80</f>
        <v/>
      </c>
      <c r="I80" s="281">
        <v>1.0</v>
      </c>
      <c r="J80" s="282" t="str">
        <f>'1stMay-30thApril'!H80</f>
        <v/>
      </c>
      <c r="K80" s="282">
        <f>'1stMay-30thApril'!I80</f>
        <v>1</v>
      </c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'26TH-25THAPRIL'!E81</f>
        <v/>
      </c>
      <c r="D81" s="227">
        <v>3.0</v>
      </c>
      <c r="E81" s="280" t="str">
        <f>'1stMay-30thApril'!C81</f>
        <v/>
      </c>
      <c r="F81" s="235" t="s">
        <v>25</v>
      </c>
      <c r="G81" s="235"/>
      <c r="H81" s="272" t="str">
        <f>'26TH-25THAPRIL'!J81</f>
        <v/>
      </c>
      <c r="I81" s="281">
        <v>1.0</v>
      </c>
      <c r="J81" s="282">
        <f>'1stMay-30thApril'!H81</f>
        <v>0.47</v>
      </c>
      <c r="K81" s="282">
        <f>'1stMay-30thApril'!I81</f>
        <v>1</v>
      </c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1.442</v>
      </c>
      <c r="N81" s="191"/>
      <c r="O81" s="247"/>
    </row>
    <row r="82">
      <c r="A82" s="12" t="s">
        <v>87</v>
      </c>
      <c r="B82" s="12" t="s">
        <v>83</v>
      </c>
      <c r="C82" s="271" t="str">
        <f>'26TH-25THAPRIL'!E82</f>
        <v/>
      </c>
      <c r="D82" s="227">
        <v>2.0</v>
      </c>
      <c r="E82" s="280" t="str">
        <f>'1stMay-30thApril'!C82</f>
        <v/>
      </c>
      <c r="F82" s="235" t="s">
        <v>25</v>
      </c>
      <c r="G82" s="235"/>
      <c r="H82" s="272">
        <f>'26TH-25THAPRIL'!J82</f>
        <v>0.442</v>
      </c>
      <c r="I82" s="281">
        <v>1.0</v>
      </c>
      <c r="J82" s="282">
        <f>'1stMay-30thApril'!H82</f>
        <v>0.44</v>
      </c>
      <c r="K82" s="282">
        <f>'1stMay-30thApril'!I82</f>
        <v>1</v>
      </c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1.002</v>
      </c>
      <c r="N82" s="191"/>
      <c r="O82" s="247"/>
    </row>
    <row r="83">
      <c r="A83" s="12" t="s">
        <v>88</v>
      </c>
      <c r="B83" s="12" t="s">
        <v>83</v>
      </c>
      <c r="C83" s="271" t="str">
        <f>'26TH-25THAPRIL'!E83</f>
        <v/>
      </c>
      <c r="D83" s="227">
        <v>1.0</v>
      </c>
      <c r="E83" s="280" t="str">
        <f>'1stMay-30thApril'!C83</f>
        <v/>
      </c>
      <c r="F83" s="235" t="s">
        <v>25</v>
      </c>
      <c r="G83" s="235"/>
      <c r="H83" s="272">
        <f>'26TH-25THAPRIL'!J83</f>
        <v>0.826</v>
      </c>
      <c r="I83" s="281">
        <v>1.0</v>
      </c>
      <c r="J83" s="282">
        <f>'1stMay-30thApril'!H83</f>
        <v>0.71</v>
      </c>
      <c r="K83" s="282">
        <f>'1stMay-30thApril'!I83</f>
        <v>1</v>
      </c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0.926</v>
      </c>
      <c r="N83" s="191"/>
      <c r="O83" s="247"/>
    </row>
    <row r="84">
      <c r="A84" s="12" t="s">
        <v>89</v>
      </c>
      <c r="B84" s="12" t="s">
        <v>83</v>
      </c>
      <c r="C84" s="271" t="str">
        <f>'26TH-25THAPRIL'!E84</f>
        <v/>
      </c>
      <c r="D84" s="227">
        <v>4.0</v>
      </c>
      <c r="E84" s="280" t="str">
        <f>'1stMay-30thApril'!C84</f>
        <v/>
      </c>
      <c r="F84" s="235" t="s">
        <v>25</v>
      </c>
      <c r="G84" s="235"/>
      <c r="H84" s="272">
        <f>'26TH-25THAPRIL'!J84</f>
        <v>0.501</v>
      </c>
      <c r="I84" s="281">
        <v>1.0</v>
      </c>
      <c r="J84" s="282">
        <f>'1stMay-30thApril'!H84</f>
        <v>0.42</v>
      </c>
      <c r="K84" s="282">
        <f>'1stMay-30thApril'!I84</f>
        <v>1</v>
      </c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2.121</v>
      </c>
      <c r="N84" s="191"/>
      <c r="O84" s="247"/>
    </row>
    <row r="85">
      <c r="A85" s="12" t="s">
        <v>90</v>
      </c>
      <c r="B85" s="12" t="s">
        <v>24</v>
      </c>
      <c r="C85" s="271" t="str">
        <f>'26TH-25THAPRIL'!E85</f>
        <v/>
      </c>
      <c r="D85" s="227">
        <v>1.0</v>
      </c>
      <c r="E85" s="280" t="str">
        <f>'1stMay-30thApril'!C85</f>
        <v/>
      </c>
      <c r="F85" s="235" t="s">
        <v>25</v>
      </c>
      <c r="G85" s="235"/>
      <c r="H85" s="272">
        <f>'26TH-25THAPRIL'!J85</f>
        <v>0.227</v>
      </c>
      <c r="I85" s="281">
        <v>1.0</v>
      </c>
      <c r="J85" s="282">
        <f>'1stMay-30thApril'!H85</f>
        <v>0.087</v>
      </c>
      <c r="K85" s="282">
        <f>'1stMay-30thApril'!I85</f>
        <v>1</v>
      </c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0.435</v>
      </c>
      <c r="N85" s="191"/>
      <c r="O85" s="247"/>
    </row>
    <row r="86">
      <c r="A86" s="12" t="s">
        <v>91</v>
      </c>
      <c r="B86" s="12" t="s">
        <v>56</v>
      </c>
      <c r="C86" s="271" t="str">
        <f>'26TH-25THAPRIL'!E86</f>
        <v/>
      </c>
      <c r="D86" s="227">
        <v>1.0</v>
      </c>
      <c r="E86" s="280" t="str">
        <f>'1stMay-30thApril'!C86</f>
        <v/>
      </c>
      <c r="F86" s="235" t="s">
        <v>25</v>
      </c>
      <c r="G86" s="235"/>
      <c r="H86" s="272">
        <f>'26TH-25THAPRIL'!J86</f>
        <v>3.247</v>
      </c>
      <c r="I86" s="281">
        <v>1.0</v>
      </c>
      <c r="J86" s="282">
        <f>'1stMay-30thApril'!H86</f>
        <v>1.25</v>
      </c>
      <c r="K86" s="282">
        <f>'1stMay-30thApril'!I86</f>
        <v>1</v>
      </c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6.997</v>
      </c>
      <c r="N86" s="191"/>
      <c r="O86" s="247"/>
    </row>
    <row r="87">
      <c r="A87" s="12" t="s">
        <v>92</v>
      </c>
      <c r="B87" s="12" t="s">
        <v>83</v>
      </c>
      <c r="C87" s="271" t="str">
        <f>'26TH-25THAPRIL'!E87</f>
        <v/>
      </c>
      <c r="D87" s="227">
        <v>1.0</v>
      </c>
      <c r="E87" s="280" t="str">
        <f>'1stMay-30thApril'!C87</f>
        <v/>
      </c>
      <c r="F87" s="235" t="s">
        <v>25</v>
      </c>
      <c r="G87" s="235"/>
      <c r="H87" s="272">
        <f>'26TH-25THAPRIL'!J87</f>
        <v>0.378</v>
      </c>
      <c r="I87" s="281">
        <v>1.0</v>
      </c>
      <c r="J87" s="282">
        <f>'1stMay-30thApril'!H87</f>
        <v>0.735</v>
      </c>
      <c r="K87" s="282">
        <f>'1stMay-30thApril'!I87</f>
        <v>1</v>
      </c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0.393</v>
      </c>
      <c r="N87" s="191"/>
      <c r="O87" s="247"/>
    </row>
    <row r="88">
      <c r="A88" s="12" t="s">
        <v>93</v>
      </c>
      <c r="B88" s="12" t="s">
        <v>83</v>
      </c>
      <c r="C88" s="271" t="str">
        <f>'26TH-25THAPRIL'!E88</f>
        <v/>
      </c>
      <c r="D88" s="191"/>
      <c r="E88" s="280" t="str">
        <f>'1stMay-30thApril'!C88</f>
        <v/>
      </c>
      <c r="F88" s="235" t="s">
        <v>25</v>
      </c>
      <c r="G88" s="235"/>
      <c r="H88" s="272">
        <f>'26TH-25THAPRIL'!J88</f>
        <v>0.856</v>
      </c>
      <c r="I88" s="281">
        <v>1.0</v>
      </c>
      <c r="J88" s="282">
        <f>'1stMay-30thApril'!H88</f>
        <v>0.85</v>
      </c>
      <c r="K88" s="282">
        <f>'1stMay-30thApril'!I88</f>
        <v>1</v>
      </c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0.006</v>
      </c>
      <c r="N88" s="191"/>
      <c r="O88" s="247"/>
    </row>
    <row r="89">
      <c r="A89" s="12" t="s">
        <v>95</v>
      </c>
      <c r="B89" s="12" t="s">
        <v>83</v>
      </c>
      <c r="C89" s="271" t="str">
        <f>'26TH-25THAPRIL'!E89</f>
        <v/>
      </c>
      <c r="D89" s="191"/>
      <c r="E89" s="280" t="str">
        <f>'1stMay-30thApril'!C89</f>
        <v/>
      </c>
      <c r="F89" s="235" t="s">
        <v>25</v>
      </c>
      <c r="G89" s="235"/>
      <c r="H89" s="272" t="str">
        <f>'26TH-25THAPRIL'!J89</f>
        <v/>
      </c>
      <c r="I89" s="281">
        <v>1.0</v>
      </c>
      <c r="J89" s="282" t="str">
        <f>'1stMay-30thApril'!H89</f>
        <v/>
      </c>
      <c r="K89" s="282">
        <f>'1stMay-30thApril'!I89</f>
        <v>1</v>
      </c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</v>
      </c>
      <c r="N89" s="191"/>
      <c r="O89" s="247"/>
    </row>
    <row r="90">
      <c r="A90" s="10" t="s">
        <v>96</v>
      </c>
      <c r="B90" s="11"/>
      <c r="C90" s="271" t="str">
        <f>'26TH-25THAPRIL'!E90</f>
        <v/>
      </c>
      <c r="D90" s="191"/>
      <c r="E90" s="280" t="str">
        <f>'1stMay-30thApril'!C90</f>
        <v/>
      </c>
      <c r="F90" s="235"/>
      <c r="G90" s="235"/>
      <c r="H90" s="272" t="str">
        <f>'26TH-25THAPRIL'!J90</f>
        <v/>
      </c>
      <c r="I90" s="281">
        <v>1.0</v>
      </c>
      <c r="J90" s="282" t="str">
        <f>'1stMay-30thApril'!H90</f>
        <v/>
      </c>
      <c r="K90" s="282">
        <f>'1stMay-30thApril'!I90</f>
        <v>1</v>
      </c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'26TH-25THAPRIL'!E91</f>
        <v/>
      </c>
      <c r="D91" s="227">
        <v>2.0</v>
      </c>
      <c r="E91" s="280" t="str">
        <f>'1stMay-30thApril'!C91</f>
        <v/>
      </c>
      <c r="F91" s="235" t="s">
        <v>35</v>
      </c>
      <c r="G91" s="235"/>
      <c r="H91" s="272" t="str">
        <f>'26TH-25THAPRIL'!J91</f>
        <v/>
      </c>
      <c r="I91" s="281">
        <v>1.0</v>
      </c>
      <c r="J91" s="282">
        <f>'1stMay-30thApril'!H91</f>
        <v>0.439</v>
      </c>
      <c r="K91" s="282">
        <f>'1stMay-30thApril'!I91</f>
        <v>1</v>
      </c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1.572</v>
      </c>
      <c r="N91" s="191"/>
      <c r="O91" s="247"/>
    </row>
    <row r="92">
      <c r="A92" s="12" t="s">
        <v>99</v>
      </c>
      <c r="B92" s="12" t="s">
        <v>40</v>
      </c>
      <c r="C92" s="271" t="str">
        <f>'26TH-25THAPRIL'!E92</f>
        <v/>
      </c>
      <c r="D92" s="227">
        <v>2.0</v>
      </c>
      <c r="E92" s="280">
        <f>'1stMay-30thApril'!C92</f>
        <v>2</v>
      </c>
      <c r="F92" s="235" t="s">
        <v>35</v>
      </c>
      <c r="G92" s="235"/>
      <c r="H92" s="272">
        <f>'26TH-25THAPRIL'!J92</f>
        <v>0.51</v>
      </c>
      <c r="I92" s="281">
        <v>1.0</v>
      </c>
      <c r="J92" s="282">
        <f>'1stMay-30thApril'!H92</f>
        <v>0.089</v>
      </c>
      <c r="K92" s="282">
        <f>'1stMay-30thApril'!I92</f>
        <v>1</v>
      </c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0.421</v>
      </c>
      <c r="N92" s="191"/>
      <c r="O92" s="247"/>
    </row>
    <row r="93">
      <c r="A93" s="12" t="s">
        <v>100</v>
      </c>
      <c r="B93" s="12" t="s">
        <v>40</v>
      </c>
      <c r="C93" s="271" t="str">
        <f>'26TH-25THAPRIL'!E93</f>
        <v/>
      </c>
      <c r="D93" s="227">
        <v>2.0</v>
      </c>
      <c r="E93" s="280" t="str">
        <f>'1stMay-30thApril'!C93</f>
        <v/>
      </c>
      <c r="F93" s="235" t="s">
        <v>35</v>
      </c>
      <c r="G93" s="235"/>
      <c r="H93" s="272">
        <f>'26TH-25THAPRIL'!J93</f>
        <v>0.084</v>
      </c>
      <c r="I93" s="281">
        <v>1.0</v>
      </c>
      <c r="J93" s="282">
        <f>'1stMay-30thApril'!H93</f>
        <v>0.421</v>
      </c>
      <c r="K93" s="282">
        <f>'1stMay-30thApril'!I93</f>
        <v>1</v>
      </c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0.163</v>
      </c>
      <c r="N93" s="191"/>
      <c r="O93" s="247"/>
    </row>
    <row r="94">
      <c r="A94" s="12" t="s">
        <v>101</v>
      </c>
      <c r="B94" s="12" t="s">
        <v>40</v>
      </c>
      <c r="C94" s="271" t="str">
        <f>'26TH-25THAPRIL'!E94</f>
        <v/>
      </c>
      <c r="D94" s="191"/>
      <c r="E94" s="280" t="str">
        <f>'1stMay-30thApril'!C94</f>
        <v/>
      </c>
      <c r="F94" s="235" t="s">
        <v>35</v>
      </c>
      <c r="G94" s="235"/>
      <c r="H94" s="272" t="str">
        <f>'26TH-25THAPRIL'!J94</f>
        <v/>
      </c>
      <c r="I94" s="281">
        <v>1.0</v>
      </c>
      <c r="J94" s="282" t="str">
        <f>'1stMay-30thApril'!H94</f>
        <v/>
      </c>
      <c r="K94" s="282">
        <f>'1stMay-30thApril'!I94</f>
        <v>1</v>
      </c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'26TH-25THAPRIL'!E95</f>
        <v/>
      </c>
      <c r="D95" s="227">
        <v>1.0</v>
      </c>
      <c r="E95" s="280" t="str">
        <f>'1stMay-30thApril'!C95</f>
        <v/>
      </c>
      <c r="F95" s="235" t="s">
        <v>35</v>
      </c>
      <c r="G95" s="235"/>
      <c r="H95" s="272">
        <f>'26TH-25THAPRIL'!J95</f>
        <v>0.243</v>
      </c>
      <c r="I95" s="281">
        <v>1.0</v>
      </c>
      <c r="J95" s="282">
        <f>'1stMay-30thApril'!H95</f>
        <v>0.5</v>
      </c>
      <c r="K95" s="282">
        <f>'1stMay-30thApril'!I95</f>
        <v>1</v>
      </c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0.743</v>
      </c>
      <c r="N95" s="191"/>
      <c r="O95" s="247"/>
    </row>
    <row r="96">
      <c r="A96" s="12" t="s">
        <v>103</v>
      </c>
      <c r="B96" s="12" t="s">
        <v>40</v>
      </c>
      <c r="C96" s="271" t="str">
        <f>'26TH-25THAPRIL'!E96</f>
        <v/>
      </c>
      <c r="D96" s="191"/>
      <c r="E96" s="280" t="str">
        <f>'1stMay-30thApril'!C96</f>
        <v/>
      </c>
      <c r="F96" s="235" t="s">
        <v>35</v>
      </c>
      <c r="G96" s="235"/>
      <c r="H96" s="272">
        <f>'26TH-25THAPRIL'!J96</f>
        <v>0.5</v>
      </c>
      <c r="I96" s="281">
        <v>1.0</v>
      </c>
      <c r="J96" s="282" t="str">
        <f>'1stMay-30thApril'!H96</f>
        <v/>
      </c>
      <c r="K96" s="282">
        <f>'1stMay-30thApril'!I96</f>
        <v>1</v>
      </c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0.496</v>
      </c>
      <c r="N96" s="191"/>
      <c r="O96" s="247"/>
    </row>
    <row r="97">
      <c r="A97" s="12" t="s">
        <v>104</v>
      </c>
      <c r="B97" s="12" t="s">
        <v>40</v>
      </c>
      <c r="C97" s="271" t="str">
        <f>'26TH-25THAPRIL'!E97</f>
        <v/>
      </c>
      <c r="D97" s="191"/>
      <c r="E97" s="280" t="str">
        <f>'1stMay-30thApril'!C97</f>
        <v/>
      </c>
      <c r="F97" s="235" t="s">
        <v>35</v>
      </c>
      <c r="G97" s="235"/>
      <c r="H97" s="272">
        <f>'26TH-25THAPRIL'!J97</f>
        <v>0.442</v>
      </c>
      <c r="I97" s="281">
        <v>1.0</v>
      </c>
      <c r="J97" s="282" t="str">
        <f>'1stMay-30thApril'!H97</f>
        <v/>
      </c>
      <c r="K97" s="282">
        <f>'1stMay-30thApril'!I97</f>
        <v>1</v>
      </c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0.425</v>
      </c>
      <c r="N97" s="191"/>
      <c r="O97" s="247"/>
    </row>
    <row r="98">
      <c r="A98" s="12" t="s">
        <v>105</v>
      </c>
      <c r="B98" s="12" t="s">
        <v>106</v>
      </c>
      <c r="C98" s="271" t="str">
        <f>'26TH-25THAPRIL'!E98</f>
        <v/>
      </c>
      <c r="D98" s="191"/>
      <c r="E98" s="280" t="str">
        <f>'1stMay-30thApril'!C98</f>
        <v/>
      </c>
      <c r="F98" s="235" t="s">
        <v>35</v>
      </c>
      <c r="G98" s="235"/>
      <c r="H98" s="272">
        <f>'26TH-25THAPRIL'!J98</f>
        <v>0.347</v>
      </c>
      <c r="I98" s="281">
        <v>1.0</v>
      </c>
      <c r="J98" s="282">
        <f>'1stMay-30thApril'!H98</f>
        <v>0.193</v>
      </c>
      <c r="K98" s="282">
        <f>'1stMay-30thApril'!I98</f>
        <v>1</v>
      </c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0.154</v>
      </c>
      <c r="N98" s="191"/>
      <c r="O98" s="247"/>
    </row>
    <row r="99">
      <c r="A99" s="12" t="s">
        <v>108</v>
      </c>
      <c r="B99" s="12" t="s">
        <v>40</v>
      </c>
      <c r="C99" s="271" t="str">
        <f>'26TH-25THAPRIL'!E99</f>
        <v/>
      </c>
      <c r="D99" s="191"/>
      <c r="E99" s="280" t="str">
        <f>'1stMay-30thApril'!C99</f>
        <v/>
      </c>
      <c r="F99" s="235" t="s">
        <v>35</v>
      </c>
      <c r="G99" s="235"/>
      <c r="H99" s="272">
        <v>0.6</v>
      </c>
      <c r="I99" s="281">
        <v>1.0</v>
      </c>
      <c r="J99" s="282">
        <f>'1stMay-30thApril'!H99</f>
        <v>0.525</v>
      </c>
      <c r="K99" s="282">
        <f>'1stMay-30thApril'!I99</f>
        <v>1</v>
      </c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0.075</v>
      </c>
      <c r="N99" s="191"/>
      <c r="O99" s="247"/>
    </row>
    <row r="100">
      <c r="A100" s="12" t="s">
        <v>109</v>
      </c>
      <c r="B100" s="12" t="s">
        <v>40</v>
      </c>
      <c r="C100" s="271" t="str">
        <f>'26TH-25THAPRIL'!E100</f>
        <v/>
      </c>
      <c r="D100" s="191"/>
      <c r="E100" s="280" t="str">
        <f>'1stMay-30thApril'!C100</f>
        <v/>
      </c>
      <c r="F100" s="235" t="s">
        <v>35</v>
      </c>
      <c r="G100" s="235"/>
      <c r="H100" s="272">
        <f>'26TH-25THAPRIL'!J100</f>
        <v>0.527</v>
      </c>
      <c r="I100" s="281">
        <v>1.0</v>
      </c>
      <c r="J100" s="282">
        <f>'1stMay-30thApril'!H100</f>
        <v>0.451</v>
      </c>
      <c r="K100" s="282">
        <f>'1stMay-30thApril'!I100</f>
        <v>1</v>
      </c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0.076</v>
      </c>
      <c r="N100" s="191"/>
      <c r="O100" s="247"/>
    </row>
    <row r="101">
      <c r="A101" s="12" t="s">
        <v>110</v>
      </c>
      <c r="B101" s="12" t="s">
        <v>40</v>
      </c>
      <c r="C101" s="271" t="str">
        <f>'26TH-25THAPRIL'!E101</f>
        <v/>
      </c>
      <c r="D101" s="191"/>
      <c r="E101" s="280" t="str">
        <f>'1stMay-30thApril'!C101</f>
        <v/>
      </c>
      <c r="F101" s="235" t="s">
        <v>35</v>
      </c>
      <c r="G101" s="235"/>
      <c r="H101" s="272">
        <f>'26TH-25THAPRIL'!J101</f>
        <v>0.358</v>
      </c>
      <c r="I101" s="281">
        <v>1.0</v>
      </c>
      <c r="J101" s="282">
        <f>'1stMay-30thApril'!H101</f>
        <v>0.318</v>
      </c>
      <c r="K101" s="282">
        <f>'1stMay-30thApril'!I101</f>
        <v>1</v>
      </c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0.04</v>
      </c>
      <c r="N101" s="191"/>
      <c r="O101" s="247"/>
    </row>
    <row r="102">
      <c r="A102" s="12" t="s">
        <v>111</v>
      </c>
      <c r="B102" s="12" t="s">
        <v>40</v>
      </c>
      <c r="C102" s="271" t="str">
        <f>'26TH-25THAPRIL'!E102</f>
        <v/>
      </c>
      <c r="D102" s="191"/>
      <c r="E102" s="280" t="str">
        <f>'1stMay-30thApril'!C102</f>
        <v/>
      </c>
      <c r="F102" s="235" t="s">
        <v>35</v>
      </c>
      <c r="G102" s="235"/>
      <c r="H102" s="272" t="str">
        <f>'26TH-25THAPRIL'!J102</f>
        <v/>
      </c>
      <c r="I102" s="281">
        <v>1.0</v>
      </c>
      <c r="J102" s="282" t="str">
        <f>'1stMay-30thApril'!H102</f>
        <v/>
      </c>
      <c r="K102" s="282">
        <f>'1stMay-30thApril'!I102</f>
        <v>1</v>
      </c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>
        <f>'26TH-25THAPRIL'!E103</f>
        <v>1</v>
      </c>
      <c r="D103" s="191"/>
      <c r="E103" s="280" t="str">
        <f>'1stMay-30thApril'!C103</f>
        <v/>
      </c>
      <c r="F103" s="235" t="s">
        <v>35</v>
      </c>
      <c r="G103" s="235"/>
      <c r="H103" s="272" t="str">
        <f>'26TH-25THAPRIL'!J103</f>
        <v/>
      </c>
      <c r="I103" s="281">
        <v>1.0</v>
      </c>
      <c r="J103" s="282">
        <f>'1stMay-30thApril'!H103</f>
        <v>0.315</v>
      </c>
      <c r="K103" s="282">
        <f>'1stMay-30thApril'!I103</f>
        <v>1</v>
      </c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0.198</v>
      </c>
      <c r="N103" s="191"/>
      <c r="O103" s="247"/>
    </row>
    <row r="104">
      <c r="A104" s="12" t="s">
        <v>114</v>
      </c>
      <c r="B104" s="12" t="s">
        <v>40</v>
      </c>
      <c r="C104" s="271" t="str">
        <f>'26TH-25THAPRIL'!E104</f>
        <v/>
      </c>
      <c r="D104" s="227">
        <v>1.0</v>
      </c>
      <c r="E104" s="280" t="str">
        <f>'1stMay-30thApril'!C104</f>
        <v/>
      </c>
      <c r="F104" s="235" t="s">
        <v>35</v>
      </c>
      <c r="G104" s="285"/>
      <c r="H104" s="272">
        <f>'26TH-25THAPRIL'!J104</f>
        <v>0.5</v>
      </c>
      <c r="I104" s="281">
        <v>1.0</v>
      </c>
      <c r="J104" s="282">
        <f>'1stMay-30thApril'!H104</f>
        <v>0.49</v>
      </c>
      <c r="K104" s="282">
        <f>'1stMay-30thApril'!I104</f>
        <v>1</v>
      </c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0.51</v>
      </c>
      <c r="N104" s="191"/>
      <c r="O104" s="247"/>
    </row>
    <row r="105">
      <c r="A105" s="12" t="s">
        <v>116</v>
      </c>
      <c r="B105" s="12" t="s">
        <v>40</v>
      </c>
      <c r="C105" s="271" t="str">
        <f>'26TH-25THAPRIL'!E105</f>
        <v/>
      </c>
      <c r="D105" s="191"/>
      <c r="E105" s="280" t="str">
        <f>'1stMay-30thApril'!C105</f>
        <v/>
      </c>
      <c r="F105" s="235" t="s">
        <v>35</v>
      </c>
      <c r="G105" s="235"/>
      <c r="H105" s="272" t="str">
        <f>'26TH-25THAPRIL'!J105</f>
        <v/>
      </c>
      <c r="I105" s="281">
        <v>1.0</v>
      </c>
      <c r="J105" s="282" t="str">
        <f>'1stMay-30thApril'!H105</f>
        <v/>
      </c>
      <c r="K105" s="282">
        <f>'1stMay-30thApril'!I105</f>
        <v>1</v>
      </c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'26TH-25THAPRIL'!E106</f>
        <v/>
      </c>
      <c r="D106" s="191"/>
      <c r="E106" s="280" t="str">
        <f>'1stMay-30thApril'!C106</f>
        <v/>
      </c>
      <c r="F106" s="235" t="s">
        <v>35</v>
      </c>
      <c r="G106" s="285"/>
      <c r="H106" s="272">
        <f>'26TH-25THAPRIL'!J106</f>
        <v>0.055</v>
      </c>
      <c r="I106" s="281">
        <v>1.0</v>
      </c>
      <c r="J106" s="282" t="str">
        <f>'1stMay-30thApril'!H106</f>
        <v/>
      </c>
      <c r="K106" s="282">
        <f>'1stMay-30thApril'!I106</f>
        <v>1</v>
      </c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0.042</v>
      </c>
      <c r="N106" s="191"/>
      <c r="O106" s="247"/>
    </row>
    <row r="107">
      <c r="A107" s="12" t="s">
        <v>118</v>
      </c>
      <c r="B107" s="12" t="s">
        <v>40</v>
      </c>
      <c r="C107" s="271" t="str">
        <f>'26TH-25THAPRIL'!E107</f>
        <v/>
      </c>
      <c r="D107" s="227">
        <v>1.0</v>
      </c>
      <c r="E107" s="280" t="str">
        <f>'1stMay-30thApril'!C107</f>
        <v/>
      </c>
      <c r="F107" s="235" t="s">
        <v>35</v>
      </c>
      <c r="G107" s="235"/>
      <c r="H107" s="272" t="str">
        <f>'26TH-25THAPRIL'!J107</f>
        <v/>
      </c>
      <c r="I107" s="281">
        <v>1.0</v>
      </c>
      <c r="J107" s="282">
        <f>'1stMay-30thApril'!H107</f>
        <v>0.425</v>
      </c>
      <c r="K107" s="282">
        <f>'1stMay-30thApril'!I107</f>
        <v>1</v>
      </c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0.088</v>
      </c>
      <c r="N107" s="191"/>
      <c r="O107" s="247"/>
    </row>
    <row r="108">
      <c r="A108" s="12" t="s">
        <v>119</v>
      </c>
      <c r="B108" s="12" t="s">
        <v>40</v>
      </c>
      <c r="C108" s="271" t="str">
        <f>'26TH-25THAPRIL'!E108</f>
        <v/>
      </c>
      <c r="D108" s="191"/>
      <c r="E108" s="280" t="str">
        <f>'1stMay-30thApril'!C108</f>
        <v/>
      </c>
      <c r="F108" s="235" t="s">
        <v>35</v>
      </c>
      <c r="G108" s="235"/>
      <c r="H108" s="272">
        <f>'26TH-25THAPRIL'!J108</f>
        <v>0.861</v>
      </c>
      <c r="I108" s="281">
        <v>1.0</v>
      </c>
      <c r="J108" s="282">
        <f>'1stMay-30thApril'!H108</f>
        <v>0.751</v>
      </c>
      <c r="K108" s="282">
        <f>'1stMay-30thApril'!I108</f>
        <v>1</v>
      </c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0.11</v>
      </c>
      <c r="N108" s="191"/>
      <c r="O108" s="247"/>
    </row>
    <row r="109">
      <c r="A109" s="12" t="s">
        <v>120</v>
      </c>
      <c r="B109" s="12" t="s">
        <v>40</v>
      </c>
      <c r="C109" s="271" t="str">
        <f>'26TH-25THAPRIL'!E109</f>
        <v/>
      </c>
      <c r="D109" s="227">
        <v>1.0</v>
      </c>
      <c r="E109" s="280" t="str">
        <f>'1stMay-30thApril'!C109</f>
        <v/>
      </c>
      <c r="F109" s="235" t="s">
        <v>35</v>
      </c>
      <c r="G109" s="235"/>
      <c r="H109" s="272">
        <f>'26TH-25THAPRIL'!J109</f>
        <v>0.048</v>
      </c>
      <c r="I109" s="281">
        <v>1.0</v>
      </c>
      <c r="J109" s="282">
        <f>'1stMay-30thApril'!H109</f>
        <v>0.156</v>
      </c>
      <c r="K109" s="282">
        <f>'1stMay-30thApril'!I109</f>
        <v>1</v>
      </c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0.892</v>
      </c>
      <c r="N109" s="191"/>
      <c r="O109" s="247"/>
    </row>
    <row r="110">
      <c r="A110" s="12" t="s">
        <v>121</v>
      </c>
      <c r="B110" s="12" t="s">
        <v>40</v>
      </c>
      <c r="C110" s="271" t="str">
        <f>'26TH-25THAPRIL'!E110</f>
        <v/>
      </c>
      <c r="D110" s="191"/>
      <c r="E110" s="280" t="str">
        <f>'1stMay-30thApril'!C110</f>
        <v/>
      </c>
      <c r="F110" s="235" t="s">
        <v>35</v>
      </c>
      <c r="G110" s="235"/>
      <c r="H110" s="272">
        <f>'26TH-25THAPRIL'!J110</f>
        <v>0.683</v>
      </c>
      <c r="I110" s="281">
        <v>1.0</v>
      </c>
      <c r="J110" s="282">
        <f>'1stMay-30thApril'!H110</f>
        <v>0.393</v>
      </c>
      <c r="K110" s="282">
        <f>'1stMay-30thApril'!I110</f>
        <v>1</v>
      </c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0.29</v>
      </c>
      <c r="N110" s="191"/>
      <c r="O110" s="247"/>
    </row>
    <row r="111">
      <c r="A111" s="12" t="s">
        <v>122</v>
      </c>
      <c r="B111" s="12" t="s">
        <v>40</v>
      </c>
      <c r="C111" s="271" t="str">
        <f>'26TH-25THAPRIL'!E111</f>
        <v/>
      </c>
      <c r="D111" s="191"/>
      <c r="E111" s="280" t="str">
        <f>'1stMay-30thApril'!C111</f>
        <v/>
      </c>
      <c r="F111" s="235" t="s">
        <v>35</v>
      </c>
      <c r="G111" s="235"/>
      <c r="H111" s="272" t="str">
        <f>'26TH-25THAPRIL'!J111</f>
        <v/>
      </c>
      <c r="I111" s="281">
        <v>1.0</v>
      </c>
      <c r="J111" s="282" t="str">
        <f>'1stMay-30thApril'!H111</f>
        <v/>
      </c>
      <c r="K111" s="282">
        <f>'1stMay-30thApril'!I111</f>
        <v>1</v>
      </c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'26TH-25THAPRIL'!E112</f>
        <v/>
      </c>
      <c r="D112" s="191"/>
      <c r="E112" s="280" t="str">
        <f>'1stMay-30thApril'!C112</f>
        <v/>
      </c>
      <c r="F112" s="235" t="s">
        <v>35</v>
      </c>
      <c r="G112" s="235"/>
      <c r="H112" s="272">
        <f>'26TH-25THAPRIL'!J112</f>
        <v>0.098</v>
      </c>
      <c r="I112" s="281">
        <v>1.0</v>
      </c>
      <c r="J112" s="282">
        <f>'1stMay-30thApril'!H112</f>
        <v>0.086</v>
      </c>
      <c r="K112" s="282">
        <f>'1stMay-30thApril'!I112</f>
        <v>1</v>
      </c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0.012</v>
      </c>
      <c r="N112" s="191"/>
      <c r="O112" s="247"/>
    </row>
    <row r="113">
      <c r="A113" s="12" t="s">
        <v>124</v>
      </c>
      <c r="B113" s="12" t="s">
        <v>40</v>
      </c>
      <c r="C113" s="271" t="str">
        <f>'26TH-25THAPRIL'!E113</f>
        <v/>
      </c>
      <c r="D113" s="191"/>
      <c r="E113" s="280" t="str">
        <f>'1stMay-30thApril'!C113</f>
        <v/>
      </c>
      <c r="F113" s="235" t="s">
        <v>35</v>
      </c>
      <c r="G113" s="235"/>
      <c r="H113" s="272">
        <f>'26TH-25THAPRIL'!J113</f>
        <v>0.217</v>
      </c>
      <c r="I113" s="281">
        <v>1.0</v>
      </c>
      <c r="J113" s="282">
        <f>'1stMay-30thApril'!H113</f>
        <v>0.148</v>
      </c>
      <c r="K113" s="282">
        <f>'1stMay-30thApril'!I113</f>
        <v>1</v>
      </c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0.069</v>
      </c>
      <c r="N113" s="191"/>
      <c r="O113" s="247"/>
    </row>
    <row r="114">
      <c r="A114" s="12" t="s">
        <v>125</v>
      </c>
      <c r="B114" s="12" t="s">
        <v>40</v>
      </c>
      <c r="C114" s="271" t="str">
        <f>'26TH-25THAPRIL'!E114</f>
        <v/>
      </c>
      <c r="D114" s="191"/>
      <c r="E114" s="280" t="str">
        <f>'1stMay-30thApril'!C114</f>
        <v/>
      </c>
      <c r="F114" s="235" t="s">
        <v>35</v>
      </c>
      <c r="G114" s="235"/>
      <c r="H114" s="272" t="str">
        <f>'26TH-25THAPRIL'!J114</f>
        <v/>
      </c>
      <c r="I114" s="281">
        <v>1.0</v>
      </c>
      <c r="J114" s="282" t="str">
        <f>'1stMay-30thApril'!H114</f>
        <v/>
      </c>
      <c r="K114" s="282">
        <f>'1stMay-30thApril'!I114</f>
        <v>1</v>
      </c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'26TH-25THAPRIL'!E115</f>
        <v/>
      </c>
      <c r="D115" s="227">
        <v>1.0</v>
      </c>
      <c r="E115" s="280" t="str">
        <f>'1stMay-30thApril'!C115</f>
        <v/>
      </c>
      <c r="F115" s="235" t="s">
        <v>35</v>
      </c>
      <c r="G115" s="235"/>
      <c r="H115" s="272">
        <f>'26TH-25THAPRIL'!J115</f>
        <v>0.119</v>
      </c>
      <c r="I115" s="281">
        <v>1.0</v>
      </c>
      <c r="J115" s="282">
        <f>'1stMay-30thApril'!H115</f>
        <v>1.02</v>
      </c>
      <c r="K115" s="282">
        <f>'1stMay-30thApril'!I115</f>
        <v>1</v>
      </c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0.099</v>
      </c>
      <c r="N115" s="191"/>
      <c r="O115" s="247"/>
    </row>
    <row r="116">
      <c r="A116" s="12" t="s">
        <v>127</v>
      </c>
      <c r="B116" s="12" t="s">
        <v>40</v>
      </c>
      <c r="C116" s="271" t="str">
        <f>'26TH-25THAPRIL'!E116</f>
        <v/>
      </c>
      <c r="D116" s="191"/>
      <c r="E116" s="280" t="str">
        <f>'1stMay-30thApril'!C116</f>
        <v/>
      </c>
      <c r="F116" s="235" t="s">
        <v>35</v>
      </c>
      <c r="G116" s="235"/>
      <c r="H116" s="272">
        <f>'26TH-25THAPRIL'!J116</f>
        <v>0.098</v>
      </c>
      <c r="I116" s="281">
        <v>1.0</v>
      </c>
      <c r="J116" s="282">
        <f>'1stMay-30thApril'!H116</f>
        <v>0.088</v>
      </c>
      <c r="K116" s="282">
        <f>'1stMay-30thApril'!I116</f>
        <v>1</v>
      </c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0.01</v>
      </c>
      <c r="N116" s="191"/>
      <c r="O116" s="247"/>
    </row>
    <row r="117">
      <c r="A117" s="12" t="s">
        <v>128</v>
      </c>
      <c r="B117" s="12" t="s">
        <v>40</v>
      </c>
      <c r="C117" s="271" t="str">
        <f>'26TH-25THAPRIL'!E117</f>
        <v/>
      </c>
      <c r="D117" s="227">
        <v>1.0</v>
      </c>
      <c r="E117" s="280">
        <f>'1stMay-30thApril'!C117</f>
        <v>1</v>
      </c>
      <c r="F117" s="235" t="s">
        <v>35</v>
      </c>
      <c r="G117" s="235"/>
      <c r="H117" s="272">
        <f>'26TH-25THAPRIL'!J117</f>
        <v>0.028</v>
      </c>
      <c r="I117" s="281">
        <v>1.0</v>
      </c>
      <c r="J117" s="282">
        <f>'1stMay-30thApril'!H117</f>
        <v>0.01</v>
      </c>
      <c r="K117" s="282">
        <f>'1stMay-30thApril'!I117</f>
        <v>1</v>
      </c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0.018</v>
      </c>
      <c r="N117" s="191"/>
      <c r="O117" s="247"/>
    </row>
    <row r="118">
      <c r="A118" s="12" t="s">
        <v>129</v>
      </c>
      <c r="B118" s="12" t="s">
        <v>40</v>
      </c>
      <c r="C118" s="271" t="str">
        <f>'26TH-25THAPRIL'!E118</f>
        <v/>
      </c>
      <c r="D118" s="191"/>
      <c r="E118" s="280" t="str">
        <f>'1stMay-30thApril'!C118</f>
        <v/>
      </c>
      <c r="F118" s="235" t="s">
        <v>35</v>
      </c>
      <c r="G118" s="235"/>
      <c r="H118" s="272">
        <f>'26TH-25THAPRIL'!J118</f>
        <v>0.179</v>
      </c>
      <c r="I118" s="281">
        <v>1.0</v>
      </c>
      <c r="J118" s="282" t="str">
        <f>'1stMay-30thApril'!H118</f>
        <v/>
      </c>
      <c r="K118" s="282">
        <f>'1stMay-30thApril'!I118</f>
        <v>1</v>
      </c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0.168</v>
      </c>
      <c r="N118" s="191"/>
      <c r="O118" s="247"/>
    </row>
    <row r="119">
      <c r="A119" s="12" t="s">
        <v>130</v>
      </c>
      <c r="B119" s="12" t="s">
        <v>40</v>
      </c>
      <c r="C119" s="271" t="str">
        <f>'26TH-25THAPRIL'!E119</f>
        <v/>
      </c>
      <c r="D119" s="227">
        <v>1.0</v>
      </c>
      <c r="E119" s="280" t="str">
        <f>'1stMay-30thApril'!C119</f>
        <v/>
      </c>
      <c r="F119" s="235" t="s">
        <v>35</v>
      </c>
      <c r="G119" s="235"/>
      <c r="H119" s="272">
        <f>'26TH-25THAPRIL'!J119</f>
        <v>0.111</v>
      </c>
      <c r="I119" s="281">
        <v>1.0</v>
      </c>
      <c r="J119" s="282">
        <f>'1stMay-30thApril'!H119</f>
        <v>0.596</v>
      </c>
      <c r="K119" s="282">
        <f>'1stMay-30thApril'!I119</f>
        <v>1</v>
      </c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0.015</v>
      </c>
      <c r="N119" s="191"/>
      <c r="O119" s="247"/>
    </row>
    <row r="120">
      <c r="A120" s="12" t="s">
        <v>131</v>
      </c>
      <c r="B120" s="12" t="s">
        <v>40</v>
      </c>
      <c r="C120" s="271" t="str">
        <f>'26TH-25THAPRIL'!E120</f>
        <v/>
      </c>
      <c r="D120" s="191"/>
      <c r="E120" s="280" t="str">
        <f>'1stMay-30thApril'!C120</f>
        <v/>
      </c>
      <c r="F120" s="235" t="s">
        <v>35</v>
      </c>
      <c r="G120" s="235"/>
      <c r="H120" s="272">
        <f>'26TH-25THAPRIL'!J120</f>
        <v>0.115</v>
      </c>
      <c r="I120" s="281">
        <v>1.0</v>
      </c>
      <c r="J120" s="282">
        <f>'1stMay-30thApril'!H120</f>
        <v>0.099</v>
      </c>
      <c r="K120" s="282">
        <f>'1stMay-30thApril'!I120</f>
        <v>1</v>
      </c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0.016</v>
      </c>
      <c r="N120" s="191"/>
      <c r="O120" s="247"/>
    </row>
    <row r="121">
      <c r="A121" s="12" t="s">
        <v>132</v>
      </c>
      <c r="B121" s="12" t="s">
        <v>40</v>
      </c>
      <c r="C121" s="271" t="str">
        <f>'26TH-25THAPRIL'!E121</f>
        <v/>
      </c>
      <c r="D121" s="191"/>
      <c r="E121" s="280" t="str">
        <f>'1stMay-30thApril'!C121</f>
        <v/>
      </c>
      <c r="F121" s="235" t="s">
        <v>35</v>
      </c>
      <c r="G121" s="235"/>
      <c r="H121" s="272">
        <f>'26TH-25THAPRIL'!J121</f>
        <v>0.207</v>
      </c>
      <c r="I121" s="281">
        <v>1.0</v>
      </c>
      <c r="J121" s="282">
        <f>'1stMay-30thApril'!H121</f>
        <v>0.167</v>
      </c>
      <c r="K121" s="282">
        <f>'1stMay-30thApril'!I121</f>
        <v>1</v>
      </c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0.04</v>
      </c>
      <c r="N121" s="191"/>
      <c r="O121" s="247"/>
    </row>
    <row r="122">
      <c r="A122" s="12" t="s">
        <v>133</v>
      </c>
      <c r="B122" s="12" t="s">
        <v>40</v>
      </c>
      <c r="C122" s="271" t="str">
        <f>'26TH-25THAPRIL'!E122</f>
        <v/>
      </c>
      <c r="D122" s="227">
        <v>1.0</v>
      </c>
      <c r="E122" s="280" t="str">
        <f>'1stMay-30thApril'!C122</f>
        <v/>
      </c>
      <c r="F122" s="235" t="s">
        <v>35</v>
      </c>
      <c r="G122" s="235"/>
      <c r="H122" s="272">
        <f>'26TH-25THAPRIL'!J122</f>
        <v>0.01</v>
      </c>
      <c r="I122" s="281">
        <v>1.0</v>
      </c>
      <c r="J122" s="282">
        <f>'1stMay-30thApril'!H122</f>
        <v>0.087</v>
      </c>
      <c r="K122" s="282">
        <f>'1stMay-30thApril'!I122</f>
        <v>1</v>
      </c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0.023</v>
      </c>
      <c r="N122" s="191"/>
      <c r="O122" s="247"/>
    </row>
    <row r="123">
      <c r="A123" s="12" t="s">
        <v>134</v>
      </c>
      <c r="B123" s="12" t="s">
        <v>40</v>
      </c>
      <c r="C123" s="271" t="str">
        <f>'26TH-25THAPRIL'!E123</f>
        <v/>
      </c>
      <c r="D123" s="191"/>
      <c r="E123" s="280" t="str">
        <f>'1stMay-30thApril'!C123</f>
        <v/>
      </c>
      <c r="F123" s="235" t="s">
        <v>35</v>
      </c>
      <c r="G123" s="235"/>
      <c r="H123" s="272" t="str">
        <f>'26TH-25THAPRIL'!J123</f>
        <v/>
      </c>
      <c r="I123" s="281">
        <v>1.0</v>
      </c>
      <c r="J123" s="282" t="str">
        <f>'1stMay-30thApril'!H123</f>
        <v/>
      </c>
      <c r="K123" s="282">
        <f>'1stMay-30thApril'!I123</f>
        <v>1</v>
      </c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'26TH-25THAPRIL'!E124</f>
        <v/>
      </c>
      <c r="D124" s="191"/>
      <c r="E124" s="280" t="str">
        <f>'1stMay-30thApril'!C124</f>
        <v/>
      </c>
      <c r="F124" s="235" t="s">
        <v>35</v>
      </c>
      <c r="G124" s="235"/>
      <c r="H124" s="272" t="str">
        <f>'26TH-25THAPRIL'!J124</f>
        <v/>
      </c>
      <c r="I124" s="281">
        <v>1.0</v>
      </c>
      <c r="J124" s="282" t="str">
        <f>'1stMay-30thApril'!H124</f>
        <v/>
      </c>
      <c r="K124" s="282">
        <f>'1stMay-30thApril'!I124</f>
        <v>1</v>
      </c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'26TH-25THAPRIL'!E125</f>
        <v/>
      </c>
      <c r="D125" s="227"/>
      <c r="E125" s="280" t="str">
        <f>'1stMay-30thApril'!C125</f>
        <v/>
      </c>
      <c r="F125" s="15" t="s">
        <v>139</v>
      </c>
      <c r="G125" s="285">
        <v>8.0</v>
      </c>
      <c r="H125" s="272" t="str">
        <f>'26TH-25THAPRIL'!J125</f>
        <v/>
      </c>
      <c r="I125" s="281">
        <v>1.0</v>
      </c>
      <c r="J125" s="282" t="str">
        <f>'1stMay-30thApril'!H125</f>
        <v/>
      </c>
      <c r="K125" s="282">
        <f>'1stMay-30thApril'!I125</f>
        <v>1</v>
      </c>
      <c r="L125" s="15" t="s">
        <v>139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8</v>
      </c>
      <c r="N125" s="191"/>
      <c r="O125" s="247"/>
    </row>
    <row r="126">
      <c r="A126" s="21" t="s">
        <v>143</v>
      </c>
      <c r="B126" s="15" t="s">
        <v>40</v>
      </c>
      <c r="C126" s="271" t="str">
        <f>'26TH-25THAPRIL'!E126</f>
        <v/>
      </c>
      <c r="D126" s="191"/>
      <c r="E126" s="280" t="str">
        <f>'1stMay-30thApril'!C126</f>
        <v/>
      </c>
      <c r="F126" s="285" t="s">
        <v>35</v>
      </c>
      <c r="G126" s="235"/>
      <c r="H126" s="272">
        <f>'26TH-25THAPRIL'!J126</f>
        <v>0.248</v>
      </c>
      <c r="I126" s="281">
        <v>1.0</v>
      </c>
      <c r="J126" s="282">
        <f>'1stMay-30thApril'!H126</f>
        <v>0.242</v>
      </c>
      <c r="K126" s="282">
        <f>'1stMay-30thApril'!I126</f>
        <v>1</v>
      </c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0.006</v>
      </c>
      <c r="N126" s="191"/>
      <c r="O126" s="247"/>
    </row>
    <row r="127">
      <c r="A127" s="10" t="s">
        <v>146</v>
      </c>
      <c r="B127" s="11"/>
      <c r="C127" s="271" t="str">
        <f>'26TH-25THAPRIL'!E127</f>
        <v/>
      </c>
      <c r="D127" s="191"/>
      <c r="E127" s="280" t="str">
        <f>'1stMay-30thApril'!C127</f>
        <v/>
      </c>
      <c r="F127" s="235"/>
      <c r="G127" s="235"/>
      <c r="H127" s="272" t="str">
        <f>'26TH-25THAPRIL'!J127</f>
        <v/>
      </c>
      <c r="I127" s="281">
        <v>1.0</v>
      </c>
      <c r="J127" s="282" t="str">
        <f>'1stMay-30thApril'!H127</f>
        <v/>
      </c>
      <c r="K127" s="282">
        <f>'1stMay-30thApril'!I127</f>
        <v>1</v>
      </c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'26TH-25THAPRIL'!E128</f>
        <v/>
      </c>
      <c r="D128" s="227">
        <v>1.0</v>
      </c>
      <c r="E128" s="280" t="str">
        <f>'1stMay-30thApril'!C128</f>
        <v/>
      </c>
      <c r="F128" s="235" t="s">
        <v>35</v>
      </c>
      <c r="G128" s="235"/>
      <c r="H128" s="272" t="str">
        <f>'26TH-25THAPRIL'!J128</f>
        <v/>
      </c>
      <c r="I128" s="281">
        <v>1.0</v>
      </c>
      <c r="J128" s="282" t="str">
        <f>'1stMay-30thApril'!H128</f>
        <v/>
      </c>
      <c r="K128" s="282">
        <f>'1stMay-30thApril'!I128</f>
        <v>1</v>
      </c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1</v>
      </c>
      <c r="N128" s="191"/>
      <c r="O128" s="247"/>
    </row>
    <row r="129">
      <c r="A129" s="12" t="s">
        <v>148</v>
      </c>
      <c r="B129" s="12" t="s">
        <v>35</v>
      </c>
      <c r="C129" s="271" t="str">
        <f>'26TH-25THAPRIL'!E129</f>
        <v/>
      </c>
      <c r="D129" s="227">
        <v>1.0</v>
      </c>
      <c r="E129" s="280" t="str">
        <f>'1stMay-30thApril'!C129</f>
        <v/>
      </c>
      <c r="F129" s="235" t="s">
        <v>35</v>
      </c>
      <c r="G129" s="235"/>
      <c r="H129" s="272">
        <f>'26TH-25THAPRIL'!J129</f>
        <v>0.432</v>
      </c>
      <c r="I129" s="281">
        <v>1.0</v>
      </c>
      <c r="J129" s="282">
        <f>'1stMay-30thApril'!H129</f>
        <v>0.898</v>
      </c>
      <c r="K129" s="282">
        <f>'1stMay-30thApril'!I129</f>
        <v>1</v>
      </c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0.534</v>
      </c>
      <c r="N129" s="191"/>
      <c r="O129" s="247"/>
    </row>
    <row r="130">
      <c r="A130" s="12" t="s">
        <v>149</v>
      </c>
      <c r="B130" s="12" t="s">
        <v>40</v>
      </c>
      <c r="C130" s="271" t="str">
        <f>'26TH-25THAPRIL'!E130</f>
        <v/>
      </c>
      <c r="D130" s="227">
        <v>1.0</v>
      </c>
      <c r="E130" s="280" t="str">
        <f>'1stMay-30thApril'!C130</f>
        <v/>
      </c>
      <c r="F130" s="235" t="s">
        <v>35</v>
      </c>
      <c r="G130" s="235"/>
      <c r="H130" s="272">
        <f>'26TH-25THAPRIL'!J130</f>
        <v>0.17</v>
      </c>
      <c r="I130" s="281">
        <v>1.0</v>
      </c>
      <c r="J130" s="282">
        <f>'1stMay-30thApril'!H130</f>
        <v>0.295</v>
      </c>
      <c r="K130" s="282">
        <f>'1stMay-30thApril'!I130</f>
        <v>1</v>
      </c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0.375</v>
      </c>
      <c r="N130" s="191"/>
      <c r="O130" s="247"/>
    </row>
    <row r="131">
      <c r="A131" s="12" t="s">
        <v>150</v>
      </c>
      <c r="B131" s="12" t="s">
        <v>24</v>
      </c>
      <c r="C131" s="271" t="str">
        <f>'26TH-25THAPRIL'!E131</f>
        <v/>
      </c>
      <c r="D131" s="191"/>
      <c r="E131" s="280" t="str">
        <f>'1stMay-30thApril'!C131</f>
        <v/>
      </c>
      <c r="F131" s="235" t="s">
        <v>25</v>
      </c>
      <c r="G131" s="235"/>
      <c r="H131" s="272" t="str">
        <f>'26TH-25THAPRIL'!J131</f>
        <v/>
      </c>
      <c r="I131" s="281">
        <v>1.0</v>
      </c>
      <c r="J131" s="282" t="str">
        <f>'1stMay-30thApril'!H131</f>
        <v/>
      </c>
      <c r="K131" s="282">
        <f>'1stMay-30thApril'!I131</f>
        <v>1</v>
      </c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'26TH-25THAPRIL'!E132</f>
        <v/>
      </c>
      <c r="D132" s="191"/>
      <c r="E132" s="280" t="str">
        <f>'1stMay-30thApril'!C132</f>
        <v/>
      </c>
      <c r="F132" s="235"/>
      <c r="G132" s="235"/>
      <c r="H132" s="272" t="str">
        <f>'26TH-25THAPRIL'!J132</f>
        <v/>
      </c>
      <c r="I132" s="281">
        <v>1.0</v>
      </c>
      <c r="J132" s="282" t="str">
        <f>'1stMay-30thApril'!H132</f>
        <v/>
      </c>
      <c r="K132" s="282">
        <f>'1stMay-30thApril'!I132</f>
        <v>1</v>
      </c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'26TH-25THAPRIL'!E133</f>
        <v/>
      </c>
      <c r="D133" s="227">
        <v>2.0</v>
      </c>
      <c r="E133" s="280" t="str">
        <f>'1stMay-30thApril'!C133</f>
        <v/>
      </c>
      <c r="F133" s="235" t="s">
        <v>35</v>
      </c>
      <c r="G133" s="235"/>
      <c r="H133" s="272">
        <f>'26TH-25THAPRIL'!J133</f>
        <v>0.088</v>
      </c>
      <c r="I133" s="281">
        <v>1.0</v>
      </c>
      <c r="J133" s="282" t="str">
        <f>'1stMay-30thApril'!H133</f>
        <v/>
      </c>
      <c r="K133" s="282">
        <f>'1stMay-30thApril'!I133</f>
        <v>1</v>
      </c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0.452</v>
      </c>
      <c r="N133" s="191"/>
      <c r="O133" s="247"/>
    </row>
    <row r="134">
      <c r="A134" s="12" t="s">
        <v>154</v>
      </c>
      <c r="B134" s="12" t="s">
        <v>155</v>
      </c>
      <c r="C134" s="271" t="str">
        <f>'26TH-25THAPRIL'!E134</f>
        <v/>
      </c>
      <c r="D134" s="227">
        <v>8.0</v>
      </c>
      <c r="E134" s="280" t="str">
        <f>'1stMay-30thApril'!C134</f>
        <v/>
      </c>
      <c r="F134" s="235" t="s">
        <v>35</v>
      </c>
      <c r="G134" s="235"/>
      <c r="H134" s="272" t="str">
        <f>'26TH-25THAPRIL'!J134</f>
        <v/>
      </c>
      <c r="I134" s="281">
        <v>1.0</v>
      </c>
      <c r="J134" s="282" t="str">
        <f>'1stMay-30thApril'!H134</f>
        <v/>
      </c>
      <c r="K134" s="282">
        <f>'1stMay-30thApril'!I134</f>
        <v>1</v>
      </c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4</v>
      </c>
      <c r="N134" s="191"/>
      <c r="O134" s="247"/>
    </row>
    <row r="135">
      <c r="A135" s="12" t="s">
        <v>157</v>
      </c>
      <c r="B135" s="12" t="s">
        <v>34</v>
      </c>
      <c r="C135" s="271">
        <f>'26TH-25THAPRIL'!E135</f>
        <v>1</v>
      </c>
      <c r="D135" s="227">
        <v>1.0</v>
      </c>
      <c r="E135" s="280">
        <f>'1stMay-30thApril'!C135</f>
        <v>1</v>
      </c>
      <c r="F135" s="235" t="s">
        <v>35</v>
      </c>
      <c r="G135" s="235"/>
      <c r="H135" s="272">
        <f>'26TH-25THAPRIL'!J135</f>
        <v>0.038</v>
      </c>
      <c r="I135" s="281">
        <v>1.0</v>
      </c>
      <c r="J135" s="282" t="str">
        <f>'1stMay-30thApril'!H135</f>
        <v/>
      </c>
      <c r="K135" s="282">
        <f>'1stMay-30thApril'!I135</f>
        <v>1</v>
      </c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0.408</v>
      </c>
      <c r="N135" s="191"/>
      <c r="O135" s="247"/>
    </row>
    <row r="136">
      <c r="A136" s="12" t="s">
        <v>158</v>
      </c>
      <c r="B136" s="12" t="s">
        <v>34</v>
      </c>
      <c r="C136" s="271" t="str">
        <f>'26TH-25THAPRIL'!E136</f>
        <v/>
      </c>
      <c r="D136" s="227">
        <v>1.0</v>
      </c>
      <c r="E136" s="280">
        <f>'1stMay-30thApril'!C136</f>
        <v>1</v>
      </c>
      <c r="F136" s="235" t="s">
        <v>35</v>
      </c>
      <c r="G136" s="235"/>
      <c r="H136" s="272">
        <f>'26TH-25THAPRIL'!J136</f>
        <v>0.418</v>
      </c>
      <c r="I136" s="281">
        <v>1.0</v>
      </c>
      <c r="J136" s="282" t="str">
        <f>'1stMay-30thApril'!H136</f>
        <v/>
      </c>
      <c r="K136" s="282">
        <f>'1stMay-30thApril'!I136</f>
        <v>1</v>
      </c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0.362</v>
      </c>
      <c r="N136" s="191"/>
      <c r="O136" s="247"/>
    </row>
    <row r="137">
      <c r="A137" s="12" t="s">
        <v>159</v>
      </c>
      <c r="B137" s="12" t="s">
        <v>34</v>
      </c>
      <c r="C137" s="271" t="str">
        <f>'26TH-25THAPRIL'!E137</f>
        <v/>
      </c>
      <c r="D137" s="191"/>
      <c r="E137" s="280" t="str">
        <f>'1stMay-30thApril'!C137</f>
        <v/>
      </c>
      <c r="F137" s="235" t="s">
        <v>35</v>
      </c>
      <c r="G137" s="235"/>
      <c r="H137" s="272" t="str">
        <f>'26TH-25THAPRIL'!J137</f>
        <v/>
      </c>
      <c r="I137" s="281">
        <v>1.0</v>
      </c>
      <c r="J137" s="282" t="str">
        <f>'1stMay-30thApril'!H137</f>
        <v/>
      </c>
      <c r="K137" s="282">
        <f>'1stMay-30thApril'!I137</f>
        <v>1</v>
      </c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'26TH-25THAPRIL'!E138</f>
        <v/>
      </c>
      <c r="D138" s="191"/>
      <c r="E138" s="280" t="str">
        <f>'1stMay-30thApril'!C138</f>
        <v/>
      </c>
      <c r="F138" s="235" t="s">
        <v>35</v>
      </c>
      <c r="G138" s="235"/>
      <c r="H138" s="272">
        <f>'26TH-25THAPRIL'!J138</f>
        <v>0.494</v>
      </c>
      <c r="I138" s="281">
        <v>1.0</v>
      </c>
      <c r="J138" s="282">
        <f>'1stMay-30thApril'!H138</f>
        <v>0.482</v>
      </c>
      <c r="K138" s="282">
        <f>'1stMay-30thApril'!I138</f>
        <v>1</v>
      </c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0.012</v>
      </c>
      <c r="N138" s="191"/>
      <c r="O138" s="247"/>
    </row>
    <row r="139">
      <c r="A139" s="12" t="s">
        <v>161</v>
      </c>
      <c r="B139" s="12" t="s">
        <v>34</v>
      </c>
      <c r="C139" s="271" t="str">
        <f>'26TH-25THAPRIL'!E139</f>
        <v/>
      </c>
      <c r="D139" s="227">
        <v>1.0</v>
      </c>
      <c r="E139" s="280" t="str">
        <f>'1stMay-30thApril'!C139</f>
        <v/>
      </c>
      <c r="F139" s="235" t="s">
        <v>35</v>
      </c>
      <c r="G139" s="235"/>
      <c r="H139" s="272">
        <f>'26TH-25THAPRIL'!J139</f>
        <v>0.419</v>
      </c>
      <c r="I139" s="281">
        <v>1.0</v>
      </c>
      <c r="J139" s="282">
        <f>'1stMay-30thApril'!H139</f>
        <v>0.413</v>
      </c>
      <c r="K139" s="282">
        <f>'1stMay-30thApril'!I139</f>
        <v>1</v>
      </c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0.346</v>
      </c>
      <c r="N139" s="191"/>
      <c r="O139" s="247"/>
    </row>
    <row r="140">
      <c r="A140" s="12" t="s">
        <v>162</v>
      </c>
      <c r="B140" s="12" t="s">
        <v>34</v>
      </c>
      <c r="C140" s="271" t="str">
        <f>'26TH-25THAPRIL'!E140</f>
        <v/>
      </c>
      <c r="D140" s="191"/>
      <c r="E140" s="280" t="str">
        <f>'1stMay-30thApril'!C140</f>
        <v/>
      </c>
      <c r="F140" s="235" t="s">
        <v>35</v>
      </c>
      <c r="G140" s="235"/>
      <c r="H140" s="272">
        <f>'26TH-25THAPRIL'!J140</f>
        <v>0.302</v>
      </c>
      <c r="I140" s="281">
        <v>1.0</v>
      </c>
      <c r="J140" s="282" t="str">
        <f>'1stMay-30thApril'!H140</f>
        <v/>
      </c>
      <c r="K140" s="282">
        <f>'1stMay-30thApril'!I140</f>
        <v>1</v>
      </c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0.182</v>
      </c>
      <c r="N140" s="191"/>
      <c r="O140" s="247"/>
    </row>
    <row r="141">
      <c r="A141" s="12" t="s">
        <v>163</v>
      </c>
      <c r="B141" s="12" t="s">
        <v>34</v>
      </c>
      <c r="C141" s="271" t="str">
        <f>'26TH-25THAPRIL'!E141</f>
        <v/>
      </c>
      <c r="D141" s="191"/>
      <c r="E141" s="280" t="str">
        <f>'1stMay-30thApril'!C141</f>
        <v/>
      </c>
      <c r="F141" s="235" t="s">
        <v>35</v>
      </c>
      <c r="G141" s="235"/>
      <c r="H141" s="272">
        <f>'26TH-25THAPRIL'!J141</f>
        <v>0.857</v>
      </c>
      <c r="I141" s="281">
        <v>1.0</v>
      </c>
      <c r="J141" s="282">
        <f>'1stMay-30thApril'!H141</f>
        <v>0.077</v>
      </c>
      <c r="K141" s="282">
        <f>'1stMay-30thApril'!I141</f>
        <v>1</v>
      </c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0.78</v>
      </c>
      <c r="N141" s="191"/>
      <c r="O141" s="247"/>
    </row>
    <row r="142">
      <c r="A142" s="12" t="s">
        <v>164</v>
      </c>
      <c r="B142" s="12" t="s">
        <v>155</v>
      </c>
      <c r="C142" s="271" t="str">
        <f>'26TH-25THAPRIL'!E142</f>
        <v/>
      </c>
      <c r="D142" s="227">
        <v>1.0</v>
      </c>
      <c r="E142" s="280" t="str">
        <f>'1stMay-30thApril'!C142</f>
        <v/>
      </c>
      <c r="F142" s="235" t="s">
        <v>35</v>
      </c>
      <c r="G142" s="235"/>
      <c r="H142" s="272">
        <f>'26TH-25THAPRIL'!J142</f>
        <v>0.092</v>
      </c>
      <c r="I142" s="281">
        <v>1.0</v>
      </c>
      <c r="J142" s="282">
        <f>'1stMay-30thApril'!H142</f>
        <v>0.107</v>
      </c>
      <c r="K142" s="282">
        <f>'1stMay-30thApril'!I142</f>
        <v>1</v>
      </c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0.485</v>
      </c>
      <c r="N142" s="191"/>
      <c r="O142" s="247"/>
    </row>
    <row r="143">
      <c r="A143" s="12" t="s">
        <v>165</v>
      </c>
      <c r="B143" s="12" t="s">
        <v>155</v>
      </c>
      <c r="C143" s="271" t="str">
        <f>'26TH-25THAPRIL'!E143</f>
        <v/>
      </c>
      <c r="D143" s="191"/>
      <c r="E143" s="280" t="str">
        <f>'1stMay-30thApril'!C143</f>
        <v/>
      </c>
      <c r="F143" s="235" t="s">
        <v>35</v>
      </c>
      <c r="G143" s="235"/>
      <c r="H143" s="272" t="str">
        <f>'26TH-25THAPRIL'!J143</f>
        <v/>
      </c>
      <c r="I143" s="281">
        <v>1.0</v>
      </c>
      <c r="J143" s="282" t="str">
        <f>'1stMay-30thApril'!H143</f>
        <v/>
      </c>
      <c r="K143" s="282">
        <f>'1stMay-30thApril'!I143</f>
        <v>1</v>
      </c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'26TH-25THAPRIL'!E144</f>
        <v/>
      </c>
      <c r="D144" s="191"/>
      <c r="E144" s="280" t="str">
        <f>'1stMay-30thApril'!C144</f>
        <v/>
      </c>
      <c r="F144" s="235" t="s">
        <v>35</v>
      </c>
      <c r="G144" s="235"/>
      <c r="H144" s="272" t="str">
        <f>'26TH-25THAPRIL'!J144</f>
        <v/>
      </c>
      <c r="I144" s="281">
        <v>1.0</v>
      </c>
      <c r="J144" s="282" t="str">
        <f>'1stMay-30thApril'!H144</f>
        <v/>
      </c>
      <c r="K144" s="282">
        <f>'1stMay-30thApril'!I144</f>
        <v>1</v>
      </c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</v>
      </c>
      <c r="N144" s="191"/>
      <c r="O144" s="247"/>
    </row>
    <row r="145">
      <c r="A145" s="12" t="s">
        <v>167</v>
      </c>
      <c r="B145" s="12" t="s">
        <v>106</v>
      </c>
      <c r="C145" s="271" t="str">
        <f>'26TH-25THAPRIL'!E145</f>
        <v/>
      </c>
      <c r="D145" s="227">
        <v>1.0</v>
      </c>
      <c r="E145" s="280">
        <f>'1stMay-30thApril'!C145</f>
        <v>1</v>
      </c>
      <c r="F145" s="235" t="s">
        <v>35</v>
      </c>
      <c r="G145" s="235"/>
      <c r="H145" s="272">
        <f>'26TH-25THAPRIL'!J145</f>
        <v>0.252</v>
      </c>
      <c r="I145" s="281">
        <v>1.0</v>
      </c>
      <c r="J145" s="282">
        <f>'1stMay-30thApril'!H145</f>
        <v>0.113</v>
      </c>
      <c r="K145" s="282">
        <f>'1stMay-30thApril'!I145</f>
        <v>1</v>
      </c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0.139</v>
      </c>
      <c r="N145" s="191"/>
      <c r="O145" s="247"/>
    </row>
    <row r="146">
      <c r="A146" s="12" t="s">
        <v>168</v>
      </c>
      <c r="B146" s="12" t="s">
        <v>17</v>
      </c>
      <c r="C146" s="271" t="str">
        <f>'26TH-25THAPRIL'!E146</f>
        <v/>
      </c>
      <c r="D146" s="227">
        <v>1.0</v>
      </c>
      <c r="E146" s="280" t="str">
        <f>'1stMay-30thApril'!C146</f>
        <v/>
      </c>
      <c r="F146" s="235" t="s">
        <v>35</v>
      </c>
      <c r="G146" s="235"/>
      <c r="H146" s="272">
        <f>'26TH-25THAPRIL'!J146</f>
        <v>0.5</v>
      </c>
      <c r="I146" s="281">
        <v>1.0</v>
      </c>
      <c r="J146" s="282">
        <f>'1stMay-30thApril'!H146</f>
        <v>0.899</v>
      </c>
      <c r="K146" s="282">
        <f>'1stMay-30thApril'!I146</f>
        <v>1</v>
      </c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0.101</v>
      </c>
      <c r="N146" s="191"/>
      <c r="O146" s="247"/>
    </row>
    <row r="147">
      <c r="A147" s="12" t="s">
        <v>169</v>
      </c>
      <c r="B147" s="12" t="s">
        <v>106</v>
      </c>
      <c r="C147" s="271" t="str">
        <f>'26TH-25THAPRIL'!E147</f>
        <v/>
      </c>
      <c r="D147" s="191"/>
      <c r="E147" s="280" t="str">
        <f>'1stMay-30thApril'!C147</f>
        <v/>
      </c>
      <c r="F147" s="235" t="s">
        <v>35</v>
      </c>
      <c r="G147" s="235"/>
      <c r="H147" s="272" t="str">
        <f>'26TH-25THAPRIL'!J147</f>
        <v/>
      </c>
      <c r="I147" s="281">
        <v>1.0</v>
      </c>
      <c r="J147" s="282" t="str">
        <f>'1stMay-30thApril'!H147</f>
        <v/>
      </c>
      <c r="K147" s="282">
        <f>'1stMay-30thApril'!I147</f>
        <v>1</v>
      </c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'26TH-25THAPRIL'!E148</f>
        <v/>
      </c>
      <c r="D148" s="191"/>
      <c r="E148" s="280" t="str">
        <f>'1stMay-30thApril'!C148</f>
        <v/>
      </c>
      <c r="F148" s="235" t="s">
        <v>35</v>
      </c>
      <c r="G148" s="235"/>
      <c r="H148" s="272" t="str">
        <f>'26TH-25THAPRIL'!J148</f>
        <v/>
      </c>
      <c r="I148" s="281">
        <v>1.0</v>
      </c>
      <c r="J148" s="282" t="str">
        <f>'1stMay-30thApril'!H148</f>
        <v/>
      </c>
      <c r="K148" s="282">
        <f>'1stMay-30thApril'!I148</f>
        <v>1</v>
      </c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 t="str">
        <f>'26TH-25THAPRIL'!E149</f>
        <v/>
      </c>
      <c r="D149" s="227">
        <v>1.0</v>
      </c>
      <c r="E149" s="280">
        <f>'1stMay-30thApril'!C149</f>
        <v>1</v>
      </c>
      <c r="F149" s="235" t="s">
        <v>14</v>
      </c>
      <c r="G149" s="235"/>
      <c r="H149" s="272">
        <f>'26TH-25THAPRIL'!J149</f>
        <v>0.073</v>
      </c>
      <c r="I149" s="281">
        <v>1.0</v>
      </c>
      <c r="J149" s="282">
        <f>'1stMay-30thApril'!H149</f>
        <v>0.057</v>
      </c>
      <c r="K149" s="282">
        <f>'1stMay-30thApril'!I149</f>
        <v>1</v>
      </c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0.016</v>
      </c>
      <c r="N149" s="191"/>
      <c r="O149" s="247"/>
    </row>
    <row r="150">
      <c r="A150" s="11" t="s">
        <v>173</v>
      </c>
      <c r="B150" s="11" t="s">
        <v>106</v>
      </c>
      <c r="C150" s="271" t="str">
        <f>'26TH-25THAPRIL'!E150</f>
        <v/>
      </c>
      <c r="D150" s="287">
        <v>3.0</v>
      </c>
      <c r="E150" s="280" t="str">
        <f>'1stMay-30thApril'!C150</f>
        <v/>
      </c>
      <c r="F150" s="235" t="s">
        <v>14</v>
      </c>
      <c r="G150" s="289"/>
      <c r="H150" s="272">
        <f>'26TH-25THAPRIL'!J150</f>
        <v>0.251</v>
      </c>
      <c r="I150" s="281">
        <v>1.0</v>
      </c>
      <c r="J150" s="282">
        <f>'1stMay-30thApril'!H150</f>
        <v>0.181</v>
      </c>
      <c r="K150" s="282">
        <f>'1stMay-30thApril'!I150</f>
        <v>1</v>
      </c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2.725</v>
      </c>
      <c r="N150" s="216"/>
      <c r="O150" s="292"/>
    </row>
    <row r="151">
      <c r="A151" s="22" t="s">
        <v>174</v>
      </c>
      <c r="B151" s="23" t="s">
        <v>106</v>
      </c>
      <c r="C151" s="271" t="str">
        <f>'26TH-25THAPRIL'!E151</f>
        <v/>
      </c>
      <c r="D151" s="216"/>
      <c r="E151" s="280" t="str">
        <f>'1stMay-30thApril'!C151</f>
        <v/>
      </c>
      <c r="F151" s="235" t="s">
        <v>14</v>
      </c>
      <c r="G151" s="289"/>
      <c r="H151" s="272">
        <f>'26TH-25THAPRIL'!J151</f>
        <v>0.426</v>
      </c>
      <c r="I151" s="281">
        <v>1.0</v>
      </c>
      <c r="J151" s="282">
        <f>'1stMay-30thApril'!H151</f>
        <v>0.41</v>
      </c>
      <c r="K151" s="282">
        <f>'1stMay-30thApril'!I151</f>
        <v>1</v>
      </c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0.016</v>
      </c>
      <c r="N151" s="216"/>
      <c r="O151" s="292"/>
    </row>
    <row r="152">
      <c r="A152" s="10" t="s">
        <v>175</v>
      </c>
      <c r="B152" s="11"/>
      <c r="C152" s="271" t="str">
        <f>'26TH-25THAPRIL'!E152</f>
        <v/>
      </c>
      <c r="D152" s="191"/>
      <c r="E152" s="280" t="str">
        <f>'1stMay-30thApril'!C152</f>
        <v/>
      </c>
      <c r="F152" s="235"/>
      <c r="G152" s="235"/>
      <c r="H152" s="272" t="str">
        <f>'26TH-25THAPRIL'!J152</f>
        <v/>
      </c>
      <c r="I152" s="281">
        <v>1.0</v>
      </c>
      <c r="J152" s="282" t="str">
        <f>'1stMay-30thApril'!H152</f>
        <v/>
      </c>
      <c r="K152" s="282">
        <f>'1stMay-30thApril'!I152</f>
        <v>1</v>
      </c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'26TH-25THAPRIL'!E153</f>
        <v/>
      </c>
      <c r="D153" s="227">
        <v>11.6</v>
      </c>
      <c r="E153" s="280" t="str">
        <f>'1stMay-30thApril'!C153</f>
        <v/>
      </c>
      <c r="F153" s="235" t="s">
        <v>25</v>
      </c>
      <c r="G153" s="235"/>
      <c r="H153" s="272" t="str">
        <f>'26TH-25THAPRIL'!J153</f>
        <v/>
      </c>
      <c r="I153" s="281">
        <v>1.0</v>
      </c>
      <c r="J153" s="282" t="str">
        <f>'1stMay-30thApril'!H153</f>
        <v/>
      </c>
      <c r="K153" s="282">
        <f>'1stMay-30thApril'!I153</f>
        <v>1</v>
      </c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11.6</v>
      </c>
      <c r="N153" s="191"/>
      <c r="O153" s="247"/>
    </row>
    <row r="154">
      <c r="A154" s="12" t="s">
        <v>178</v>
      </c>
      <c r="B154" s="12" t="s">
        <v>35</v>
      </c>
      <c r="C154" s="271">
        <f>'26TH-25THAPRIL'!E154</f>
        <v>10</v>
      </c>
      <c r="D154" s="227">
        <v>11.0</v>
      </c>
      <c r="E154" s="280" t="str">
        <f>'1stMay-30thApril'!C154</f>
        <v/>
      </c>
      <c r="F154" s="235" t="s">
        <v>35</v>
      </c>
      <c r="G154" s="235"/>
      <c r="H154" s="272" t="str">
        <f>'26TH-25THAPRIL'!J154</f>
        <v/>
      </c>
      <c r="I154" s="281">
        <v>1.0</v>
      </c>
      <c r="J154" s="282">
        <f>'1stMay-30thApril'!H154</f>
        <v>0.5</v>
      </c>
      <c r="K154" s="282">
        <f>'1stMay-30thApril'!I154</f>
        <v>1</v>
      </c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10.012</v>
      </c>
      <c r="N154" s="191"/>
      <c r="O154" s="247"/>
    </row>
    <row r="155">
      <c r="A155" s="12" t="s">
        <v>180</v>
      </c>
      <c r="B155" s="12" t="s">
        <v>35</v>
      </c>
      <c r="C155" s="271" t="str">
        <f>'26TH-25THAPRIL'!E155</f>
        <v/>
      </c>
      <c r="D155" s="227">
        <v>1.0</v>
      </c>
      <c r="E155" s="280" t="str">
        <f>'1stMay-30thApril'!C155</f>
        <v/>
      </c>
      <c r="F155" s="235" t="s">
        <v>35</v>
      </c>
      <c r="G155" s="235"/>
      <c r="H155" s="272" t="str">
        <f>'26TH-25THAPRIL'!J155</f>
        <v/>
      </c>
      <c r="I155" s="281">
        <v>1.0</v>
      </c>
      <c r="J155" s="282">
        <f>'1stMay-30thApril'!H155</f>
        <v>0.88</v>
      </c>
      <c r="K155" s="282">
        <f>'1stMay-30thApril'!I155</f>
        <v>1</v>
      </c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0.232</v>
      </c>
      <c r="N155" s="191"/>
      <c r="O155" s="247"/>
    </row>
    <row r="156">
      <c r="A156" s="12" t="s">
        <v>181</v>
      </c>
      <c r="B156" s="12" t="s">
        <v>35</v>
      </c>
      <c r="C156" s="271" t="str">
        <f>'26TH-25THAPRIL'!E156</f>
        <v/>
      </c>
      <c r="D156" s="191"/>
      <c r="E156" s="280" t="str">
        <f>'1stMay-30thApril'!C156</f>
        <v/>
      </c>
      <c r="F156" s="235" t="s">
        <v>35</v>
      </c>
      <c r="G156" s="235"/>
      <c r="H156" s="272">
        <f>'26TH-25THAPRIL'!J156</f>
        <v>0.776</v>
      </c>
      <c r="I156" s="281">
        <v>1.0</v>
      </c>
      <c r="J156" s="282">
        <f>'1stMay-30thApril'!H156</f>
        <v>0.257</v>
      </c>
      <c r="K156" s="282">
        <f>'1stMay-30thApril'!I156</f>
        <v>1</v>
      </c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0.519</v>
      </c>
      <c r="N156" s="191"/>
      <c r="O156" s="247"/>
    </row>
    <row r="157">
      <c r="A157" s="12" t="s">
        <v>182</v>
      </c>
      <c r="B157" s="12" t="s">
        <v>35</v>
      </c>
      <c r="C157" s="271" t="str">
        <f>'26TH-25THAPRIL'!E157</f>
        <v/>
      </c>
      <c r="D157" s="227"/>
      <c r="E157" s="280" t="str">
        <f>'1stMay-30thApril'!C157</f>
        <v/>
      </c>
      <c r="F157" s="235" t="s">
        <v>35</v>
      </c>
      <c r="G157" s="285"/>
      <c r="H157" s="272">
        <v>3.0</v>
      </c>
      <c r="I157" s="281">
        <v>1.0</v>
      </c>
      <c r="J157" s="282">
        <f>'1stMay-30thApril'!H157</f>
        <v>2.592</v>
      </c>
      <c r="K157" s="282">
        <f>'1stMay-30thApril'!I157</f>
        <v>1</v>
      </c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0.408</v>
      </c>
      <c r="N157" s="191"/>
      <c r="O157" s="247"/>
    </row>
    <row r="158">
      <c r="A158" s="12" t="s">
        <v>183</v>
      </c>
      <c r="B158" s="12" t="s">
        <v>35</v>
      </c>
      <c r="C158" s="271" t="str">
        <f>'26TH-25THAPRIL'!E158</f>
        <v/>
      </c>
      <c r="D158" s="191"/>
      <c r="E158" s="280" t="str">
        <f>'1stMay-30thApril'!C158</f>
        <v/>
      </c>
      <c r="F158" s="235" t="s">
        <v>14</v>
      </c>
      <c r="G158" s="235"/>
      <c r="H158" s="272" t="str">
        <f>'26TH-25THAPRIL'!J158</f>
        <v/>
      </c>
      <c r="I158" s="281">
        <v>1.0</v>
      </c>
      <c r="J158" s="282" t="str">
        <f>'1stMay-30thApril'!H158</f>
        <v/>
      </c>
      <c r="K158" s="282">
        <f>'1stMay-30thApril'!I158</f>
        <v>1</v>
      </c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'26TH-25THAPRIL'!E159</f>
        <v/>
      </c>
      <c r="D159" s="191"/>
      <c r="E159" s="280" t="str">
        <f>'1stMay-30thApril'!C159</f>
        <v/>
      </c>
      <c r="F159" s="235"/>
      <c r="G159" s="235"/>
      <c r="H159" s="272" t="str">
        <f>'26TH-25THAPRIL'!J159</f>
        <v/>
      </c>
      <c r="I159" s="281">
        <v>1.0</v>
      </c>
      <c r="J159" s="282" t="str">
        <f>'1stMay-30thApril'!H159</f>
        <v/>
      </c>
      <c r="K159" s="282">
        <f>'1stMay-30thApril'!I159</f>
        <v>1</v>
      </c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'26TH-25THAPRIL'!E160</f>
        <v/>
      </c>
      <c r="D160" s="227">
        <v>8.0</v>
      </c>
      <c r="E160" s="280" t="str">
        <f>'1stMay-30thApril'!C160</f>
        <v/>
      </c>
      <c r="F160" s="235" t="s">
        <v>17</v>
      </c>
      <c r="G160" s="235"/>
      <c r="H160" s="272">
        <f>'26TH-25THAPRIL'!J160</f>
        <v>2.5</v>
      </c>
      <c r="I160" s="281">
        <v>1.0</v>
      </c>
      <c r="J160" s="282">
        <f>'1stMay-30thApril'!H160</f>
        <v>2</v>
      </c>
      <c r="K160" s="282">
        <f>'1stMay-30thApril'!I160</f>
        <v>1</v>
      </c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8.5</v>
      </c>
      <c r="N160" s="191"/>
      <c r="O160" s="247"/>
    </row>
    <row r="161">
      <c r="A161" s="12" t="s">
        <v>187</v>
      </c>
      <c r="B161" s="12" t="s">
        <v>17</v>
      </c>
      <c r="C161" s="271" t="str">
        <f>'26TH-25THAPRIL'!E161</f>
        <v/>
      </c>
      <c r="D161" s="227">
        <v>10.0</v>
      </c>
      <c r="E161" s="280" t="str">
        <f>'1stMay-30thApril'!C161</f>
        <v/>
      </c>
      <c r="F161" s="235" t="s">
        <v>17</v>
      </c>
      <c r="G161" s="235"/>
      <c r="H161" s="272">
        <f>'26TH-25THAPRIL'!J161</f>
        <v>0.5</v>
      </c>
      <c r="I161" s="281">
        <v>1.0</v>
      </c>
      <c r="J161" s="282">
        <f>'1stMay-30thApril'!H161</f>
        <v>1.5</v>
      </c>
      <c r="K161" s="282">
        <f>'1stMay-30thApril'!I161</f>
        <v>1</v>
      </c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9</v>
      </c>
      <c r="N161" s="191"/>
      <c r="O161" s="247"/>
    </row>
    <row r="162">
      <c r="A162" s="12" t="s">
        <v>188</v>
      </c>
      <c r="B162" s="12" t="s">
        <v>35</v>
      </c>
      <c r="C162" s="271" t="str">
        <f>'26TH-25THAPRIL'!E162</f>
        <v/>
      </c>
      <c r="D162" s="227">
        <v>11.4</v>
      </c>
      <c r="E162" s="280" t="str">
        <f>'1stMay-30thApril'!C162</f>
        <v/>
      </c>
      <c r="F162" s="235" t="s">
        <v>35</v>
      </c>
      <c r="G162" s="235"/>
      <c r="H162" s="272" t="str">
        <f>'26TH-25THAPRIL'!J162</f>
        <v/>
      </c>
      <c r="I162" s="281">
        <v>1.0</v>
      </c>
      <c r="J162" s="282">
        <f>'1stMay-30thApril'!H162</f>
        <v>0.799</v>
      </c>
      <c r="K162" s="282">
        <f>'1stMay-30thApril'!I162</f>
        <v>1</v>
      </c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10.601</v>
      </c>
      <c r="N162" s="191"/>
      <c r="O162" s="247"/>
    </row>
    <row r="163">
      <c r="A163" s="12" t="s">
        <v>189</v>
      </c>
      <c r="B163" s="12" t="s">
        <v>17</v>
      </c>
      <c r="C163" s="271" t="str">
        <f>'26TH-25THAPRIL'!E163</f>
        <v/>
      </c>
      <c r="D163" s="227">
        <v>2.0</v>
      </c>
      <c r="E163" s="280" t="str">
        <f>'1stMay-30thApril'!C163</f>
        <v/>
      </c>
      <c r="F163" s="235" t="s">
        <v>17</v>
      </c>
      <c r="G163" s="235"/>
      <c r="H163" s="272">
        <f>'26TH-25THAPRIL'!J163</f>
        <v>1.5</v>
      </c>
      <c r="I163" s="281">
        <v>1.0</v>
      </c>
      <c r="J163" s="282">
        <f>'1stMay-30thApril'!H163</f>
        <v>1</v>
      </c>
      <c r="K163" s="282">
        <f>'1stMay-30thApril'!I163</f>
        <v>1</v>
      </c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2.5</v>
      </c>
      <c r="N163" s="191"/>
      <c r="O163" s="247"/>
    </row>
    <row r="164">
      <c r="A164" s="12" t="s">
        <v>190</v>
      </c>
      <c r="B164" s="12" t="s">
        <v>17</v>
      </c>
      <c r="C164" s="271" t="str">
        <f>'26TH-25THAPRIL'!E164</f>
        <v/>
      </c>
      <c r="D164" s="191"/>
      <c r="E164" s="280" t="str">
        <f>'1stMay-30thApril'!C164</f>
        <v/>
      </c>
      <c r="F164" s="235" t="s">
        <v>17</v>
      </c>
      <c r="G164" s="235"/>
      <c r="H164" s="272" t="str">
        <f>'26TH-25THAPRIL'!J164</f>
        <v/>
      </c>
      <c r="I164" s="281">
        <v>1.0</v>
      </c>
      <c r="J164" s="282" t="str">
        <f>'1stMay-30thApril'!H164</f>
        <v/>
      </c>
      <c r="K164" s="282">
        <f>'1stMay-30thApril'!I164</f>
        <v>1</v>
      </c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'26TH-25THAPRIL'!E165</f>
        <v/>
      </c>
      <c r="D165" s="227">
        <v>2.8</v>
      </c>
      <c r="E165" s="280" t="str">
        <f>'1stMay-30thApril'!C165</f>
        <v/>
      </c>
      <c r="F165" s="235" t="s">
        <v>35</v>
      </c>
      <c r="G165" s="235"/>
      <c r="H165" s="272" t="str">
        <f>'26TH-25THAPRIL'!J165</f>
        <v/>
      </c>
      <c r="I165" s="281">
        <v>1.0</v>
      </c>
      <c r="J165" s="282">
        <f>'1stMay-30thApril'!H165</f>
        <v>0.441</v>
      </c>
      <c r="K165" s="282">
        <f>'1stMay-30thApril'!I165</f>
        <v>1</v>
      </c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2.359</v>
      </c>
      <c r="N165" s="191"/>
      <c r="O165" s="247"/>
    </row>
    <row r="166">
      <c r="A166" s="12" t="s">
        <v>192</v>
      </c>
      <c r="B166" s="12" t="s">
        <v>35</v>
      </c>
      <c r="C166" s="271" t="str">
        <f>'26TH-25THAPRIL'!E166</f>
        <v/>
      </c>
      <c r="D166" s="227">
        <v>1.5</v>
      </c>
      <c r="E166" s="280" t="str">
        <f>'1stMay-30thApril'!C166</f>
        <v/>
      </c>
      <c r="F166" s="235" t="s">
        <v>35</v>
      </c>
      <c r="G166" s="285"/>
      <c r="H166" s="272" t="str">
        <f>'26TH-25THAPRIL'!J166</f>
        <v/>
      </c>
      <c r="I166" s="281">
        <v>1.0</v>
      </c>
      <c r="J166" s="282" t="str">
        <f>'1stMay-30thApril'!H166</f>
        <v/>
      </c>
      <c r="K166" s="282">
        <f>'1stMay-30thApril'!I166</f>
        <v>1</v>
      </c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1.5</v>
      </c>
      <c r="N166" s="191"/>
      <c r="O166" s="247"/>
    </row>
    <row r="167">
      <c r="A167" s="12" t="s">
        <v>193</v>
      </c>
      <c r="B167" s="12" t="s">
        <v>35</v>
      </c>
      <c r="C167" s="271"/>
      <c r="D167" s="227">
        <v>19.0</v>
      </c>
      <c r="E167" s="280" t="str">
        <f>'1stMay-30thApril'!C167</f>
        <v/>
      </c>
      <c r="F167" s="235" t="s">
        <v>35</v>
      </c>
      <c r="G167" s="235"/>
      <c r="H167" s="272">
        <f>'26TH-25THAPRIL'!J167</f>
        <v>2.331</v>
      </c>
      <c r="I167" s="281">
        <v>1.0</v>
      </c>
      <c r="J167" s="282">
        <f>'1stMay-30thApril'!H167</f>
        <v>0.906</v>
      </c>
      <c r="K167" s="282">
        <f>'1stMay-30thApril'!I167</f>
        <v>1</v>
      </c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20.425</v>
      </c>
      <c r="N167" s="191"/>
      <c r="O167" s="247"/>
    </row>
    <row r="168">
      <c r="A168" s="12" t="s">
        <v>194</v>
      </c>
      <c r="B168" s="12" t="s">
        <v>17</v>
      </c>
      <c r="C168" s="271" t="str">
        <f>'26TH-25THAPRIL'!E168</f>
        <v/>
      </c>
      <c r="D168" s="227">
        <v>4.0</v>
      </c>
      <c r="E168" s="280" t="str">
        <f>'1stMay-30thApril'!C168</f>
        <v/>
      </c>
      <c r="F168" s="235" t="s">
        <v>17</v>
      </c>
      <c r="G168" s="235"/>
      <c r="H168" s="272" t="str">
        <f>'26TH-25THAPRIL'!J168</f>
        <v/>
      </c>
      <c r="I168" s="281">
        <v>1.0</v>
      </c>
      <c r="J168" s="282" t="str">
        <f>'1stMay-30thApril'!H168</f>
        <v/>
      </c>
      <c r="K168" s="282">
        <f>'1stMay-30thApril'!I168</f>
        <v>1</v>
      </c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4</v>
      </c>
      <c r="N168" s="191"/>
      <c r="O168" s="247"/>
    </row>
    <row r="169">
      <c r="A169" s="12" t="s">
        <v>195</v>
      </c>
      <c r="B169" s="12" t="s">
        <v>35</v>
      </c>
      <c r="C169" s="271" t="str">
        <f>'26TH-25THAPRIL'!E169</f>
        <v/>
      </c>
      <c r="D169" s="227">
        <v>0.45</v>
      </c>
      <c r="E169" s="280" t="str">
        <f>'1stMay-30thApril'!C169</f>
        <v/>
      </c>
      <c r="F169" s="235" t="s">
        <v>35</v>
      </c>
      <c r="G169" s="235"/>
      <c r="H169" s="272">
        <f>'26TH-25THAPRIL'!J169</f>
        <v>0.261</v>
      </c>
      <c r="I169" s="281">
        <v>1.0</v>
      </c>
      <c r="J169" s="282">
        <f>'1stMay-30thApril'!H169</f>
        <v>0.674</v>
      </c>
      <c r="K169" s="282">
        <f>'1stMay-30thApril'!I169</f>
        <v>1</v>
      </c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0.037</v>
      </c>
      <c r="N169" s="191"/>
      <c r="O169" s="247"/>
    </row>
    <row r="170">
      <c r="A170" s="12" t="s">
        <v>196</v>
      </c>
      <c r="B170" s="12" t="s">
        <v>35</v>
      </c>
      <c r="C170" s="271" t="str">
        <f>'26TH-25THAPRIL'!E170</f>
        <v/>
      </c>
      <c r="D170" s="227">
        <v>2.0</v>
      </c>
      <c r="E170" s="280" t="str">
        <f>'1stMay-30thApril'!C170</f>
        <v/>
      </c>
      <c r="F170" s="235" t="s">
        <v>35</v>
      </c>
      <c r="G170" s="235"/>
      <c r="H170" s="272">
        <f>'26TH-25THAPRIL'!J170</f>
        <v>0.614</v>
      </c>
      <c r="I170" s="281">
        <v>1.0</v>
      </c>
      <c r="J170" s="282">
        <f>'1stMay-30thApril'!H170</f>
        <v>0.716</v>
      </c>
      <c r="K170" s="282">
        <f>'1stMay-30thApril'!I170</f>
        <v>1</v>
      </c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1.898</v>
      </c>
      <c r="N170" s="191"/>
      <c r="O170" s="247"/>
    </row>
    <row r="171">
      <c r="A171" s="12" t="s">
        <v>197</v>
      </c>
      <c r="B171" s="12" t="s">
        <v>35</v>
      </c>
      <c r="C171" s="271" t="str">
        <f>'26TH-25THAPRIL'!E171</f>
        <v/>
      </c>
      <c r="D171" s="227">
        <v>4.3</v>
      </c>
      <c r="E171" s="280" t="str">
        <f>'1stMay-30thApril'!C171</f>
        <v/>
      </c>
      <c r="F171" s="235" t="s">
        <v>35</v>
      </c>
      <c r="G171" s="285"/>
      <c r="H171" s="272">
        <f>'26TH-25THAPRIL'!J171</f>
        <v>0.59</v>
      </c>
      <c r="I171" s="281">
        <v>1.0</v>
      </c>
      <c r="J171" s="282">
        <f>'1stMay-30thApril'!H171</f>
        <v>1.824</v>
      </c>
      <c r="K171" s="282">
        <f>'1stMay-30thApril'!I171</f>
        <v>1</v>
      </c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3.066</v>
      </c>
      <c r="N171" s="191"/>
      <c r="O171" s="247"/>
    </row>
    <row r="172">
      <c r="A172" s="12" t="s">
        <v>198</v>
      </c>
      <c r="B172" s="12" t="s">
        <v>35</v>
      </c>
      <c r="C172" s="271" t="str">
        <f>'26TH-25THAPRIL'!E172</f>
        <v/>
      </c>
      <c r="D172" s="227">
        <v>4.0</v>
      </c>
      <c r="E172" s="280" t="str">
        <f>'1stMay-30thApril'!C172</f>
        <v/>
      </c>
      <c r="F172" s="235" t="s">
        <v>35</v>
      </c>
      <c r="G172" s="235"/>
      <c r="H172" s="272">
        <f>'26TH-25THAPRIL'!J172</f>
        <v>0.187</v>
      </c>
      <c r="I172" s="281">
        <v>1.0</v>
      </c>
      <c r="J172" s="282">
        <f>'1stMay-30thApril'!H172</f>
        <v>0.68</v>
      </c>
      <c r="K172" s="282">
        <f>'1stMay-30thApril'!I172</f>
        <v>1</v>
      </c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3.507</v>
      </c>
      <c r="N172" s="191"/>
      <c r="O172" s="247"/>
    </row>
    <row r="173">
      <c r="A173" s="12" t="s">
        <v>199</v>
      </c>
      <c r="B173" s="12" t="s">
        <v>35</v>
      </c>
      <c r="C173" s="271" t="str">
        <f>'26TH-25THAPRIL'!E173</f>
        <v/>
      </c>
      <c r="D173" s="227">
        <v>3.0</v>
      </c>
      <c r="E173" s="280" t="str">
        <f>'1stMay-30thApril'!C173</f>
        <v/>
      </c>
      <c r="F173" s="235" t="s">
        <v>35</v>
      </c>
      <c r="G173" s="235"/>
      <c r="H173" s="272">
        <f>'26TH-25THAPRIL'!J173</f>
        <v>0.12</v>
      </c>
      <c r="I173" s="281">
        <v>1.0</v>
      </c>
      <c r="J173" s="282">
        <f>'1stMay-30thApril'!H173</f>
        <v>0.692</v>
      </c>
      <c r="K173" s="282">
        <f>'1stMay-30thApril'!I173</f>
        <v>1</v>
      </c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2.428</v>
      </c>
      <c r="N173" s="191"/>
      <c r="O173" s="247"/>
    </row>
    <row r="174">
      <c r="A174" s="12" t="s">
        <v>200</v>
      </c>
      <c r="B174" s="12" t="s">
        <v>35</v>
      </c>
      <c r="C174" s="271" t="str">
        <f>'26TH-25THAPRIL'!E174</f>
        <v/>
      </c>
      <c r="D174" s="227">
        <v>2.8</v>
      </c>
      <c r="E174" s="280" t="str">
        <f>'1stMay-30thApril'!C174</f>
        <v/>
      </c>
      <c r="F174" s="235" t="s">
        <v>35</v>
      </c>
      <c r="G174" s="235"/>
      <c r="H174" s="272">
        <f>'26TH-25THAPRIL'!J174</f>
        <v>0.38</v>
      </c>
      <c r="I174" s="281">
        <v>1.0</v>
      </c>
      <c r="J174" s="282">
        <f>'1stMay-30thApril'!H174</f>
        <v>0.654</v>
      </c>
      <c r="K174" s="282">
        <f>'1stMay-30thApril'!I174</f>
        <v>1</v>
      </c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2.526</v>
      </c>
      <c r="N174" s="191"/>
      <c r="O174" s="247"/>
    </row>
    <row r="175">
      <c r="A175" s="12" t="s">
        <v>201</v>
      </c>
      <c r="B175" s="12" t="s">
        <v>202</v>
      </c>
      <c r="C175" s="271" t="str">
        <f>'26TH-25THAPRIL'!E175</f>
        <v/>
      </c>
      <c r="D175" s="191"/>
      <c r="E175" s="280" t="str">
        <f>'1stMay-30thApril'!C175</f>
        <v/>
      </c>
      <c r="F175" s="235" t="s">
        <v>202</v>
      </c>
      <c r="G175" s="235"/>
      <c r="H175" s="272" t="str">
        <f>'26TH-25THAPRIL'!J175</f>
        <v/>
      </c>
      <c r="I175" s="281">
        <v>1.0</v>
      </c>
      <c r="J175" s="282" t="str">
        <f>'1stMay-30thApril'!H175</f>
        <v/>
      </c>
      <c r="K175" s="282">
        <f>'1stMay-30thApril'!I175</f>
        <v>1</v>
      </c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'26TH-25THAPRIL'!E176</f>
        <v/>
      </c>
      <c r="D176" s="227">
        <v>2.0</v>
      </c>
      <c r="E176" s="280" t="str">
        <f>'1stMay-30thApril'!C176</f>
        <v/>
      </c>
      <c r="F176" s="235" t="s">
        <v>202</v>
      </c>
      <c r="G176" s="235"/>
      <c r="H176" s="272" t="str">
        <f>'26TH-25THAPRIL'!J176</f>
        <v/>
      </c>
      <c r="I176" s="281">
        <v>1.0</v>
      </c>
      <c r="J176" s="282">
        <f>'1stMay-30thApril'!H176</f>
        <v>1</v>
      </c>
      <c r="K176" s="282">
        <f>'1stMay-30thApril'!I176</f>
        <v>1</v>
      </c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1</v>
      </c>
      <c r="N176" s="191"/>
      <c r="O176" s="247"/>
    </row>
    <row r="177">
      <c r="A177" s="12" t="s">
        <v>205</v>
      </c>
      <c r="B177" s="12" t="s">
        <v>202</v>
      </c>
      <c r="C177" s="271" t="str">
        <f>'26TH-25THAPRIL'!E177</f>
        <v/>
      </c>
      <c r="D177" s="227">
        <v>8.0</v>
      </c>
      <c r="E177" s="280" t="str">
        <f>'1stMay-30thApril'!C177</f>
        <v/>
      </c>
      <c r="F177" s="235" t="s">
        <v>202</v>
      </c>
      <c r="G177" s="235"/>
      <c r="H177" s="272" t="str">
        <f>'26TH-25THAPRIL'!J177</f>
        <v/>
      </c>
      <c r="I177" s="281">
        <v>1.0</v>
      </c>
      <c r="J177" s="282" t="str">
        <f>'1stMay-30thApril'!H177</f>
        <v/>
      </c>
      <c r="K177" s="282">
        <f>'1stMay-30thApril'!I177</f>
        <v>1</v>
      </c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8</v>
      </c>
      <c r="N177" s="191"/>
      <c r="O177" s="247"/>
    </row>
    <row r="178">
      <c r="A178" s="12" t="s">
        <v>206</v>
      </c>
      <c r="B178" s="12" t="s">
        <v>207</v>
      </c>
      <c r="C178" s="271" t="str">
        <f>'26TH-25THAPRIL'!E178</f>
        <v/>
      </c>
      <c r="D178" s="227">
        <v>2.0</v>
      </c>
      <c r="E178" s="280" t="str">
        <f>'1stMay-30thApril'!C178</f>
        <v/>
      </c>
      <c r="F178" s="235" t="s">
        <v>17</v>
      </c>
      <c r="G178" s="235"/>
      <c r="H178" s="272">
        <f>'26TH-25THAPRIL'!J178</f>
        <v>5</v>
      </c>
      <c r="I178" s="281">
        <v>1.0</v>
      </c>
      <c r="J178" s="282">
        <f>'1stMay-30thApril'!H178</f>
        <v>21</v>
      </c>
      <c r="K178" s="282">
        <f>'1stMay-30thApril'!I178</f>
        <v>1</v>
      </c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44</v>
      </c>
      <c r="N178" s="191"/>
      <c r="O178" s="247"/>
    </row>
    <row r="179">
      <c r="A179" s="12" t="s">
        <v>209</v>
      </c>
      <c r="B179" s="12" t="s">
        <v>17</v>
      </c>
      <c r="C179" s="271" t="str">
        <f>'26TH-25THAPRIL'!E179</f>
        <v/>
      </c>
      <c r="D179" s="191"/>
      <c r="E179" s="280" t="str">
        <f>'1stMay-30thApril'!C179</f>
        <v/>
      </c>
      <c r="F179" s="235" t="s">
        <v>17</v>
      </c>
      <c r="G179" s="235"/>
      <c r="H179" s="272" t="str">
        <f>'26TH-25THAPRIL'!J179</f>
        <v/>
      </c>
      <c r="I179" s="281">
        <v>1.0</v>
      </c>
      <c r="J179" s="282" t="str">
        <f>'1stMay-30thApril'!H179</f>
        <v/>
      </c>
      <c r="K179" s="282">
        <f>'1stMay-30thApril'!I179</f>
        <v>1</v>
      </c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'26TH-25THAPRIL'!E180</f>
        <v/>
      </c>
      <c r="D180" s="227">
        <v>1.0</v>
      </c>
      <c r="E180" s="280" t="str">
        <f>'1stMay-30thApril'!C180</f>
        <v/>
      </c>
      <c r="F180" s="235" t="s">
        <v>202</v>
      </c>
      <c r="G180" s="285"/>
      <c r="H180" s="272" t="str">
        <f>'26TH-25THAPRIL'!J180</f>
        <v/>
      </c>
      <c r="I180" s="281">
        <v>1.0</v>
      </c>
      <c r="J180" s="282" t="str">
        <f>'1stMay-30thApril'!H180</f>
        <v/>
      </c>
      <c r="K180" s="282">
        <f>'1stMay-30thApril'!I180</f>
        <v>1</v>
      </c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1</v>
      </c>
      <c r="N180" s="191"/>
      <c r="O180" s="247"/>
    </row>
    <row r="181">
      <c r="A181" s="12" t="s">
        <v>211</v>
      </c>
      <c r="B181" s="12" t="s">
        <v>202</v>
      </c>
      <c r="C181" s="271" t="str">
        <f>'26TH-25THAPRIL'!E181</f>
        <v/>
      </c>
      <c r="D181" s="227"/>
      <c r="E181" s="280" t="str">
        <f>'1stMay-30thApril'!C181</f>
        <v/>
      </c>
      <c r="F181" s="235" t="s">
        <v>202</v>
      </c>
      <c r="G181" s="235"/>
      <c r="H181" s="272">
        <f>'26TH-25THAPRIL'!J181</f>
        <v>1</v>
      </c>
      <c r="I181" s="281">
        <v>1.0</v>
      </c>
      <c r="J181" s="282">
        <f>'1stMay-30thApril'!H181</f>
        <v>1</v>
      </c>
      <c r="K181" s="282">
        <f>'1stMay-30thApril'!I181</f>
        <v>1</v>
      </c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71" t="str">
        <f>'26TH-25THAPRIL'!E182</f>
        <v/>
      </c>
      <c r="D182" s="227">
        <v>1.0</v>
      </c>
      <c r="E182" s="280" t="str">
        <f>'1stMay-30thApril'!C182</f>
        <v/>
      </c>
      <c r="F182" s="235" t="s">
        <v>202</v>
      </c>
      <c r="G182" s="235"/>
      <c r="H182" s="272">
        <f>'26TH-25THAPRIL'!J182</f>
        <v>0.039</v>
      </c>
      <c r="I182" s="281">
        <v>1.0</v>
      </c>
      <c r="J182" s="282">
        <f>'1stMay-30thApril'!H182</f>
        <v>1</v>
      </c>
      <c r="K182" s="282">
        <f>'1stMay-30thApril'!I182</f>
        <v>1</v>
      </c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0.039</v>
      </c>
      <c r="N182" s="191"/>
      <c r="O182" s="247"/>
    </row>
    <row r="183">
      <c r="A183" s="12" t="s">
        <v>213</v>
      </c>
      <c r="B183" s="12" t="s">
        <v>35</v>
      </c>
      <c r="C183" s="271" t="str">
        <f>'26TH-25THAPRIL'!E183</f>
        <v/>
      </c>
      <c r="D183" s="191"/>
      <c r="E183" s="280" t="str">
        <f>'1stMay-30thApril'!C183</f>
        <v/>
      </c>
      <c r="F183" s="235" t="s">
        <v>35</v>
      </c>
      <c r="G183" s="235"/>
      <c r="H183" s="272" t="str">
        <f>'26TH-25THAPRIL'!J183</f>
        <v/>
      </c>
      <c r="I183" s="281">
        <v>1.0</v>
      </c>
      <c r="J183" s="282" t="str">
        <f>'1stMay-30thApril'!H183</f>
        <v/>
      </c>
      <c r="K183" s="282">
        <f>'1stMay-30thApril'!I183</f>
        <v>1</v>
      </c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'26TH-25THAPRIL'!E184</f>
        <v/>
      </c>
      <c r="D184" s="227">
        <v>2.0</v>
      </c>
      <c r="E184" s="280">
        <f>'1stMay-30thApril'!C184</f>
        <v>1</v>
      </c>
      <c r="F184" s="235" t="s">
        <v>35</v>
      </c>
      <c r="G184" s="235"/>
      <c r="H184" s="272">
        <f>'26TH-25THAPRIL'!J184</f>
        <v>0.052</v>
      </c>
      <c r="I184" s="281">
        <v>1.0</v>
      </c>
      <c r="J184" s="282">
        <f>'1stMay-30thApril'!H184</f>
        <v>0.067</v>
      </c>
      <c r="K184" s="282">
        <f>'1stMay-30thApril'!I184</f>
        <v>1</v>
      </c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0.235</v>
      </c>
      <c r="N184" s="191"/>
      <c r="O184" s="247"/>
    </row>
    <row r="185">
      <c r="A185" s="12" t="s">
        <v>215</v>
      </c>
      <c r="B185" s="12" t="s">
        <v>35</v>
      </c>
      <c r="C185" s="271" t="str">
        <f>'26TH-25THAPRIL'!E185</f>
        <v/>
      </c>
      <c r="D185" s="227">
        <v>1.6</v>
      </c>
      <c r="E185" s="280" t="str">
        <f>'1stMay-30thApril'!C185</f>
        <v/>
      </c>
      <c r="F185" s="235" t="s">
        <v>35</v>
      </c>
      <c r="G185" s="235"/>
      <c r="H185" s="272">
        <f>'26TH-25THAPRIL'!J185</f>
        <v>0.0891</v>
      </c>
      <c r="I185" s="281">
        <v>1.0</v>
      </c>
      <c r="J185" s="282">
        <f>'1stMay-30thApril'!H185</f>
        <v>0.185</v>
      </c>
      <c r="K185" s="282">
        <f>'1stMay-30thApril'!I185</f>
        <v>1</v>
      </c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1.5041</v>
      </c>
      <c r="N185" s="191"/>
      <c r="O185" s="247"/>
    </row>
    <row r="186">
      <c r="A186" s="12" t="s">
        <v>216</v>
      </c>
      <c r="B186" s="12" t="s">
        <v>17</v>
      </c>
      <c r="C186" s="271" t="str">
        <f>'26TH-25THAPRIL'!E186</f>
        <v/>
      </c>
      <c r="D186" s="227">
        <v>1.0</v>
      </c>
      <c r="E186" s="280" t="str">
        <f>'1stMay-30thApril'!C186</f>
        <v/>
      </c>
      <c r="F186" s="235" t="s">
        <v>17</v>
      </c>
      <c r="G186" s="235"/>
      <c r="H186" s="272">
        <f>'26TH-25THAPRIL'!J186</f>
        <v>1.5</v>
      </c>
      <c r="I186" s="281">
        <v>1.0</v>
      </c>
      <c r="J186" s="282">
        <f>'1stMay-30thApril'!H186</f>
        <v>1</v>
      </c>
      <c r="K186" s="282">
        <f>'1stMay-30thApril'!I186</f>
        <v>1</v>
      </c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1.5</v>
      </c>
      <c r="N186" s="191"/>
      <c r="O186" s="247"/>
    </row>
    <row r="187">
      <c r="A187" s="12" t="s">
        <v>217</v>
      </c>
      <c r="B187" s="12" t="s">
        <v>35</v>
      </c>
      <c r="C187" s="271" t="str">
        <f>'26TH-25THAPRIL'!E187</f>
        <v/>
      </c>
      <c r="D187" s="227">
        <v>1.0</v>
      </c>
      <c r="E187" s="280" t="str">
        <f>'1stMay-30thApril'!C187</f>
        <v/>
      </c>
      <c r="F187" s="235" t="s">
        <v>35</v>
      </c>
      <c r="G187" s="235"/>
      <c r="H187" s="272">
        <f>'26TH-25THAPRIL'!J187</f>
        <v>0.172</v>
      </c>
      <c r="I187" s="281">
        <v>1.0</v>
      </c>
      <c r="J187" s="282">
        <f>'1stMay-30thApril'!H187</f>
        <v>0.545</v>
      </c>
      <c r="K187" s="282">
        <f>'1stMay-30thApril'!I187</f>
        <v>1</v>
      </c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0.627</v>
      </c>
      <c r="N187" s="191"/>
      <c r="O187" s="247"/>
    </row>
    <row r="188">
      <c r="A188" s="12" t="s">
        <v>218</v>
      </c>
      <c r="B188" s="12" t="s">
        <v>17</v>
      </c>
      <c r="C188" s="271" t="str">
        <f>'26TH-25THAPRIL'!E188</f>
        <v/>
      </c>
      <c r="D188" s="227">
        <v>3.0</v>
      </c>
      <c r="E188" s="280" t="str">
        <f>'1stMay-30thApril'!C188</f>
        <v/>
      </c>
      <c r="F188" s="235" t="s">
        <v>17</v>
      </c>
      <c r="G188" s="235"/>
      <c r="H188" s="272">
        <f>'26TH-25THAPRIL'!J188</f>
        <v>2</v>
      </c>
      <c r="I188" s="281">
        <v>1.0</v>
      </c>
      <c r="J188" s="282">
        <f>'1stMay-30thApril'!H188</f>
        <v>2.5</v>
      </c>
      <c r="K188" s="282">
        <f>'1stMay-30thApril'!I188</f>
        <v>1</v>
      </c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2.5</v>
      </c>
      <c r="N188" s="191"/>
      <c r="O188" s="247"/>
    </row>
    <row r="189">
      <c r="A189" s="12" t="s">
        <v>220</v>
      </c>
      <c r="B189" s="12" t="s">
        <v>35</v>
      </c>
      <c r="C189" s="271" t="str">
        <f>'26TH-25THAPRIL'!E189</f>
        <v/>
      </c>
      <c r="D189" s="191"/>
      <c r="E189" s="280" t="str">
        <f>'1stMay-30thApril'!C189</f>
        <v/>
      </c>
      <c r="F189" s="235" t="s">
        <v>35</v>
      </c>
      <c r="G189" s="235"/>
      <c r="H189" s="272" t="str">
        <f>'26TH-25THAPRIL'!J189</f>
        <v/>
      </c>
      <c r="I189" s="281">
        <v>1.0</v>
      </c>
      <c r="J189" s="282" t="str">
        <f>'1stMay-30thApril'!H189</f>
        <v/>
      </c>
      <c r="K189" s="282">
        <f>'1stMay-30thApril'!I189</f>
        <v>1</v>
      </c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'26TH-25THAPRIL'!E190</f>
        <v/>
      </c>
      <c r="D190" s="227">
        <v>13.0</v>
      </c>
      <c r="E190" s="280" t="str">
        <f>'1stMay-30thApril'!C190</f>
        <v/>
      </c>
      <c r="F190" s="235" t="s">
        <v>17</v>
      </c>
      <c r="G190" s="235"/>
      <c r="H190" s="272">
        <f>'26TH-25THAPRIL'!J190</f>
        <v>5.25</v>
      </c>
      <c r="I190" s="281">
        <v>1.0</v>
      </c>
      <c r="J190" s="282">
        <f>'1stMay-30thApril'!H190</f>
        <v>3</v>
      </c>
      <c r="K190" s="282">
        <f>'1stMay-30thApril'!I190</f>
        <v>1</v>
      </c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15.25</v>
      </c>
      <c r="N190" s="191"/>
      <c r="O190" s="247"/>
    </row>
    <row r="191">
      <c r="A191" s="12" t="s">
        <v>222</v>
      </c>
      <c r="B191" s="12" t="s">
        <v>17</v>
      </c>
      <c r="C191" s="271" t="str">
        <f>'26TH-25THAPRIL'!E191</f>
        <v/>
      </c>
      <c r="D191" s="191"/>
      <c r="E191" s="280" t="str">
        <f>'1stMay-30thApril'!C191</f>
        <v/>
      </c>
      <c r="F191" s="235" t="s">
        <v>17</v>
      </c>
      <c r="G191" s="235"/>
      <c r="H191" s="272" t="str">
        <f>'26TH-25THAPRIL'!J191</f>
        <v/>
      </c>
      <c r="I191" s="281">
        <v>1.0</v>
      </c>
      <c r="J191" s="282" t="str">
        <f>'1stMay-30thApril'!H191</f>
        <v/>
      </c>
      <c r="K191" s="282">
        <f>'1stMay-30thApril'!I191</f>
        <v>1</v>
      </c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'26TH-25THAPRIL'!E192</f>
        <v/>
      </c>
      <c r="D192" s="227">
        <v>5.0</v>
      </c>
      <c r="E192" s="280" t="str">
        <f>'1stMay-30thApril'!C192</f>
        <v/>
      </c>
      <c r="F192" s="235" t="s">
        <v>17</v>
      </c>
      <c r="G192" s="235"/>
      <c r="H192" s="272">
        <f>'26TH-25THAPRIL'!J192</f>
        <v>1</v>
      </c>
      <c r="I192" s="281">
        <v>1.0</v>
      </c>
      <c r="J192" s="282">
        <f>'1stMay-30thApril'!H192</f>
        <v>2</v>
      </c>
      <c r="K192" s="282">
        <f>'1stMay-30thApril'!I192</f>
        <v>1</v>
      </c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4</v>
      </c>
      <c r="N192" s="191"/>
      <c r="O192" s="247"/>
    </row>
    <row r="193">
      <c r="A193" s="12" t="s">
        <v>224</v>
      </c>
      <c r="B193" s="12" t="s">
        <v>202</v>
      </c>
      <c r="C193" s="271" t="str">
        <f>'26TH-25THAPRIL'!E193</f>
        <v/>
      </c>
      <c r="D193" s="227">
        <v>3.0</v>
      </c>
      <c r="E193" s="280" t="str">
        <f>'1stMay-30thApril'!C193</f>
        <v/>
      </c>
      <c r="F193" s="235" t="s">
        <v>202</v>
      </c>
      <c r="G193" s="235"/>
      <c r="H193" s="272">
        <f>'26TH-25THAPRIL'!J193</f>
        <v>1</v>
      </c>
      <c r="I193" s="281">
        <v>1.0</v>
      </c>
      <c r="J193" s="282">
        <f>'1stMay-30thApril'!H193</f>
        <v>1</v>
      </c>
      <c r="K193" s="282">
        <f>'1stMay-30thApril'!I193</f>
        <v>1</v>
      </c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3</v>
      </c>
      <c r="N193" s="191"/>
      <c r="O193" s="247"/>
    </row>
    <row r="194">
      <c r="A194" s="12" t="s">
        <v>225</v>
      </c>
      <c r="B194" s="12" t="s">
        <v>35</v>
      </c>
      <c r="C194" s="271" t="str">
        <f>'26TH-25THAPRIL'!E194</f>
        <v/>
      </c>
      <c r="D194" s="191"/>
      <c r="E194" s="280" t="str">
        <f>'1stMay-30thApril'!C194</f>
        <v/>
      </c>
      <c r="F194" s="235" t="s">
        <v>35</v>
      </c>
      <c r="G194" s="235"/>
      <c r="H194" s="272">
        <f>'26TH-25THAPRIL'!J194</f>
        <v>1</v>
      </c>
      <c r="I194" s="281">
        <v>1.0</v>
      </c>
      <c r="J194" s="282">
        <f>'1stMay-30thApril'!H194</f>
        <v>1</v>
      </c>
      <c r="K194" s="282">
        <f>'1stMay-30thApril'!I194</f>
        <v>1</v>
      </c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</v>
      </c>
      <c r="N194" s="191"/>
      <c r="O194" s="247"/>
    </row>
    <row r="195">
      <c r="A195" s="12" t="s">
        <v>227</v>
      </c>
      <c r="B195" s="12" t="s">
        <v>35</v>
      </c>
      <c r="C195" s="271" t="str">
        <f>'26TH-25THAPRIL'!E195</f>
        <v/>
      </c>
      <c r="D195" s="191"/>
      <c r="E195" s="280" t="str">
        <f>'1stMay-30thApril'!C195</f>
        <v/>
      </c>
      <c r="F195" s="235" t="s">
        <v>35</v>
      </c>
      <c r="G195" s="285"/>
      <c r="H195" s="272">
        <f>'26TH-25THAPRIL'!J195</f>
        <v>0.952</v>
      </c>
      <c r="I195" s="281">
        <v>1.0</v>
      </c>
      <c r="J195" s="282" t="str">
        <f>'1stMay-30thApril'!H195</f>
        <v/>
      </c>
      <c r="K195" s="282">
        <f>'1stMay-30thApril'!I195</f>
        <v>1</v>
      </c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0.952</v>
      </c>
      <c r="N195" s="191"/>
      <c r="O195" s="247"/>
    </row>
    <row r="196">
      <c r="A196" s="12" t="s">
        <v>228</v>
      </c>
      <c r="B196" s="12" t="s">
        <v>155</v>
      </c>
      <c r="C196" s="271" t="str">
        <f>'26TH-25THAPRIL'!E196</f>
        <v/>
      </c>
      <c r="D196" s="191"/>
      <c r="E196" s="280" t="str">
        <f>'1stMay-30thApril'!C196</f>
        <v/>
      </c>
      <c r="F196" s="235" t="s">
        <v>35</v>
      </c>
      <c r="G196" s="235"/>
      <c r="H196" s="272">
        <f>'26TH-25THAPRIL'!J196</f>
        <v>0.5</v>
      </c>
      <c r="I196" s="281">
        <v>1.0</v>
      </c>
      <c r="J196" s="282">
        <f>'1stMay-30thApril'!H196</f>
        <v>0.281</v>
      </c>
      <c r="K196" s="282">
        <f>'1stMay-30thApril'!I196</f>
        <v>1</v>
      </c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0.219</v>
      </c>
      <c r="N196" s="191"/>
      <c r="O196" s="247"/>
    </row>
    <row r="197">
      <c r="A197" s="12" t="s">
        <v>229</v>
      </c>
      <c r="B197" s="12" t="s">
        <v>17</v>
      </c>
      <c r="C197" s="271" t="str">
        <f>'26TH-25THAPRIL'!E197</f>
        <v/>
      </c>
      <c r="D197" s="227">
        <v>3.3</v>
      </c>
      <c r="E197" s="280" t="str">
        <f>'1stMay-30thApril'!C197</f>
        <v/>
      </c>
      <c r="F197" s="235" t="s">
        <v>17</v>
      </c>
      <c r="G197" s="235"/>
      <c r="H197" s="272" t="str">
        <f>'26TH-25THAPRIL'!J197</f>
        <v/>
      </c>
      <c r="I197" s="281">
        <v>1.0</v>
      </c>
      <c r="J197" s="282">
        <f>'1stMay-30thApril'!H197</f>
        <v>1</v>
      </c>
      <c r="K197" s="282">
        <f>'1stMay-30thApril'!I197</f>
        <v>1</v>
      </c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2.3</v>
      </c>
      <c r="N197" s="191"/>
      <c r="O197" s="247"/>
    </row>
    <row r="198">
      <c r="A198" s="12" t="s">
        <v>231</v>
      </c>
      <c r="B198" s="12" t="s">
        <v>35</v>
      </c>
      <c r="C198" s="271" t="str">
        <f>'26TH-25THAPRIL'!E198</f>
        <v/>
      </c>
      <c r="D198" s="191"/>
      <c r="E198" s="280" t="str">
        <f>'1stMay-30thApril'!C198</f>
        <v/>
      </c>
      <c r="F198" s="235" t="s">
        <v>35</v>
      </c>
      <c r="G198" s="235"/>
      <c r="H198" s="272">
        <f>'26TH-25THAPRIL'!J198</f>
        <v>0.185</v>
      </c>
      <c r="I198" s="281">
        <v>1.0</v>
      </c>
      <c r="J198" s="282" t="str">
        <f>'1stMay-30thApril'!H198</f>
        <v/>
      </c>
      <c r="K198" s="282">
        <f>'1stMay-30thApril'!I198</f>
        <v>1</v>
      </c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0.185</v>
      </c>
      <c r="N198" s="191"/>
      <c r="O198" s="247"/>
    </row>
    <row r="199">
      <c r="A199" s="12" t="s">
        <v>232</v>
      </c>
      <c r="B199" s="12" t="s">
        <v>202</v>
      </c>
      <c r="C199" s="271" t="str">
        <f>'26TH-25THAPRIL'!E199</f>
        <v/>
      </c>
      <c r="D199" s="227">
        <v>1.0</v>
      </c>
      <c r="E199" s="280" t="str">
        <f>'1stMay-30thApril'!C199</f>
        <v/>
      </c>
      <c r="F199" s="235" t="s">
        <v>202</v>
      </c>
      <c r="G199" s="285"/>
      <c r="H199" s="272">
        <f>'26TH-25THAPRIL'!J199</f>
        <v>0.5</v>
      </c>
      <c r="I199" s="281">
        <v>1.0</v>
      </c>
      <c r="J199" s="282">
        <f>'1stMay-30thApril'!H199</f>
        <v>1</v>
      </c>
      <c r="K199" s="282">
        <f>'1stMay-30thApril'!I199</f>
        <v>1</v>
      </c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0.5</v>
      </c>
      <c r="N199" s="191"/>
      <c r="O199" s="247"/>
    </row>
    <row r="200">
      <c r="A200" s="12" t="s">
        <v>233</v>
      </c>
      <c r="B200" s="12" t="s">
        <v>17</v>
      </c>
      <c r="C200" s="271" t="str">
        <f>'26TH-25THAPRIL'!E200</f>
        <v/>
      </c>
      <c r="D200" s="227">
        <v>4.0</v>
      </c>
      <c r="E200" s="280" t="str">
        <f>'1stMay-30thApril'!C200</f>
        <v/>
      </c>
      <c r="F200" s="235" t="s">
        <v>234</v>
      </c>
      <c r="G200" s="285"/>
      <c r="H200" s="272">
        <f>'26TH-25THAPRIL'!J200</f>
        <v>2</v>
      </c>
      <c r="I200" s="281">
        <v>1.0</v>
      </c>
      <c r="J200" s="282">
        <f>'1stMay-30thApril'!H200</f>
        <v>1.5</v>
      </c>
      <c r="K200" s="282">
        <f>'1stMay-30thApril'!I200</f>
        <v>1</v>
      </c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4.5</v>
      </c>
      <c r="N200" s="191"/>
      <c r="O200" s="247"/>
    </row>
    <row r="201">
      <c r="A201" s="25" t="s">
        <v>235</v>
      </c>
      <c r="B201" s="26" t="s">
        <v>202</v>
      </c>
      <c r="C201" s="271" t="str">
        <f>'26TH-25THAPRIL'!E201</f>
        <v/>
      </c>
      <c r="D201" s="227">
        <v>2.0</v>
      </c>
      <c r="E201" s="280" t="str">
        <f>'1stMay-30thApril'!C201</f>
        <v/>
      </c>
      <c r="F201" s="235" t="s">
        <v>202</v>
      </c>
      <c r="G201" s="235"/>
      <c r="H201" s="272">
        <f>'26TH-25THAPRIL'!J201</f>
        <v>0.5</v>
      </c>
      <c r="I201" s="281">
        <v>1.0</v>
      </c>
      <c r="J201" s="282" t="str">
        <f>'1stMay-30thApril'!H201</f>
        <v/>
      </c>
      <c r="K201" s="282">
        <f>'1stMay-30thApril'!I201</f>
        <v>1</v>
      </c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2.5</v>
      </c>
      <c r="N201" s="191"/>
      <c r="O201" s="247"/>
    </row>
    <row r="202">
      <c r="A202" s="25" t="s">
        <v>236</v>
      </c>
      <c r="B202" s="26" t="s">
        <v>237</v>
      </c>
      <c r="C202" s="271" t="str">
        <f>'26TH-25THAPRIL'!E202</f>
        <v/>
      </c>
      <c r="D202" s="227">
        <v>1.0</v>
      </c>
      <c r="E202" s="280" t="str">
        <f>'1stMay-30thApril'!C202</f>
        <v/>
      </c>
      <c r="F202" s="235" t="s">
        <v>35</v>
      </c>
      <c r="G202" s="235"/>
      <c r="H202" s="272" t="str">
        <f>'26TH-25THAPRIL'!J202</f>
        <v/>
      </c>
      <c r="I202" s="281">
        <v>1.0</v>
      </c>
      <c r="J202" s="282">
        <f>'1stMay-30thApril'!H202</f>
        <v>1</v>
      </c>
      <c r="K202" s="282">
        <f>'1stMay-30thApril'!I202</f>
        <v>1</v>
      </c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</v>
      </c>
      <c r="N202" s="191"/>
      <c r="O202" s="247"/>
    </row>
    <row r="203">
      <c r="A203" s="25" t="s">
        <v>238</v>
      </c>
      <c r="B203" s="26" t="s">
        <v>202</v>
      </c>
      <c r="C203" s="271" t="str">
        <f>'26TH-25THAPRIL'!E203</f>
        <v/>
      </c>
      <c r="D203" s="227"/>
      <c r="E203" s="280" t="str">
        <f>'1stMay-30thApril'!C203</f>
        <v/>
      </c>
      <c r="F203" s="235" t="s">
        <v>202</v>
      </c>
      <c r="G203" s="235"/>
      <c r="H203" s="272">
        <f>'26TH-25THAPRIL'!J203</f>
        <v>1</v>
      </c>
      <c r="I203" s="281">
        <v>1.0</v>
      </c>
      <c r="J203" s="282" t="str">
        <f>'1stMay-30thApril'!H203</f>
        <v/>
      </c>
      <c r="K203" s="282">
        <f>'1stMay-30thApril'!I203</f>
        <v>1</v>
      </c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1</v>
      </c>
      <c r="N203" s="191"/>
      <c r="O203" s="247"/>
    </row>
    <row r="204">
      <c r="A204" s="25" t="s">
        <v>239</v>
      </c>
      <c r="B204" s="26" t="s">
        <v>35</v>
      </c>
      <c r="C204" s="271" t="str">
        <f>'26TH-25THAPRIL'!E204</f>
        <v/>
      </c>
      <c r="D204" s="191"/>
      <c r="E204" s="280" t="str">
        <f>'1stMay-30thApril'!C204</f>
        <v/>
      </c>
      <c r="F204" s="235" t="s">
        <v>35</v>
      </c>
      <c r="G204" s="235"/>
      <c r="H204" s="272" t="str">
        <f>'26TH-25THAPRIL'!J204</f>
        <v/>
      </c>
      <c r="I204" s="281">
        <v>1.0</v>
      </c>
      <c r="J204" s="282" t="str">
        <f>'1stMay-30thApril'!H204</f>
        <v/>
      </c>
      <c r="K204" s="282">
        <f>'1stMay-30thApril'!I204</f>
        <v>1</v>
      </c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'26TH-25THAPRIL'!E205</f>
        <v/>
      </c>
      <c r="D205" s="227"/>
      <c r="E205" s="280" t="str">
        <f>'1stMay-30thApril'!C205</f>
        <v/>
      </c>
      <c r="F205" s="235" t="s">
        <v>17</v>
      </c>
      <c r="G205" s="285">
        <v>1.0</v>
      </c>
      <c r="H205" s="272">
        <f>'26TH-25THAPRIL'!J205</f>
        <v>2</v>
      </c>
      <c r="I205" s="281">
        <v>1.0</v>
      </c>
      <c r="J205" s="282" t="str">
        <f>'1stMay-30thApril'!H205</f>
        <v/>
      </c>
      <c r="K205" s="282">
        <f>'1stMay-30thApril'!I205</f>
        <v>1</v>
      </c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3</v>
      </c>
      <c r="N205" s="191"/>
      <c r="O205" s="247"/>
    </row>
    <row r="206">
      <c r="A206" s="12" t="s">
        <v>242</v>
      </c>
      <c r="B206" s="12" t="s">
        <v>35</v>
      </c>
      <c r="C206" s="271" t="str">
        <f>'26TH-25THAPRIL'!E206</f>
        <v/>
      </c>
      <c r="D206" s="227">
        <v>200.0</v>
      </c>
      <c r="E206" s="280" t="str">
        <f>'1stMay-30thApril'!C206</f>
        <v/>
      </c>
      <c r="F206" s="235" t="s">
        <v>35</v>
      </c>
      <c r="G206" s="235"/>
      <c r="H206" s="272">
        <f>'26TH-25THAPRIL'!J206</f>
        <v>76.45</v>
      </c>
      <c r="I206" s="281">
        <v>1.0</v>
      </c>
      <c r="J206" s="282">
        <f>'1stMay-30thApril'!H206</f>
        <v>75</v>
      </c>
      <c r="K206" s="282">
        <f>'1stMay-30thApril'!I206</f>
        <v>1</v>
      </c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201.45</v>
      </c>
      <c r="N206" s="191"/>
      <c r="O206" s="247"/>
    </row>
    <row r="207">
      <c r="A207" s="12" t="s">
        <v>243</v>
      </c>
      <c r="B207" s="12" t="s">
        <v>241</v>
      </c>
      <c r="C207" s="271"/>
      <c r="D207" s="227"/>
      <c r="E207" s="280"/>
      <c r="F207" s="12" t="s">
        <v>241</v>
      </c>
      <c r="G207" s="285">
        <v>18.0</v>
      </c>
      <c r="H207" s="272">
        <v>5.0</v>
      </c>
      <c r="I207" s="281">
        <v>1.0</v>
      </c>
      <c r="J207" s="282">
        <v>5.0</v>
      </c>
      <c r="K207" s="282">
        <f>'1stMay-30thApril'!I207</f>
        <v>1</v>
      </c>
      <c r="L207" s="12" t="s">
        <v>241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18</v>
      </c>
      <c r="N207" s="191"/>
      <c r="O207" s="247"/>
    </row>
    <row r="208">
      <c r="A208" s="10" t="s">
        <v>245</v>
      </c>
      <c r="B208" s="11"/>
      <c r="C208" s="271" t="str">
        <f>'26TH-25THAPRIL'!E208</f>
        <v/>
      </c>
      <c r="D208" s="191"/>
      <c r="E208" s="280" t="str">
        <f>'1stMay-30thApril'!C208</f>
        <v/>
      </c>
      <c r="F208" s="235"/>
      <c r="G208" s="235"/>
      <c r="H208" s="272" t="str">
        <f>'26TH-25THAPRIL'!J208</f>
        <v/>
      </c>
      <c r="I208" s="281">
        <v>1.0</v>
      </c>
      <c r="J208" s="282" t="str">
        <f>'1stMay-30thApril'!H208</f>
        <v/>
      </c>
      <c r="K208" s="282">
        <f>'1stMay-30thApril'!I208</f>
        <v>1</v>
      </c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247</v>
      </c>
      <c r="B209" s="13" t="s">
        <v>59</v>
      </c>
      <c r="C209" s="271" t="str">
        <f>'26TH-25THAPRIL'!E210</f>
        <v/>
      </c>
      <c r="D209" s="227">
        <v>4.0</v>
      </c>
      <c r="E209" s="280" t="str">
        <f>'1stMay-30thApril'!C209</f>
        <v/>
      </c>
      <c r="F209" s="235" t="s">
        <v>35</v>
      </c>
      <c r="G209" s="235"/>
      <c r="H209" s="272" t="str">
        <f>'26TH-25THAPRIL'!J210</f>
        <v/>
      </c>
      <c r="I209" s="281">
        <v>1.0</v>
      </c>
      <c r="J209" s="282">
        <f>'1stMay-30thApril'!H209</f>
        <v>2</v>
      </c>
      <c r="K209" s="282">
        <f>'1stMay-30thApril'!I209</f>
        <v>1</v>
      </c>
      <c r="L209" s="293" t="s">
        <v>35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0.011</v>
      </c>
      <c r="N209" s="191"/>
      <c r="O209" s="247"/>
    </row>
    <row r="210">
      <c r="A210" s="12" t="s">
        <v>248</v>
      </c>
      <c r="B210" s="13" t="s">
        <v>59</v>
      </c>
      <c r="C210" s="271">
        <f>'26TH-25THAPRIL'!E211</f>
        <v>2</v>
      </c>
      <c r="D210" s="227">
        <v>3.0</v>
      </c>
      <c r="E210" s="280" t="str">
        <f>'1stMay-30thApril'!C210</f>
        <v/>
      </c>
      <c r="F210" s="235" t="s">
        <v>35</v>
      </c>
      <c r="G210" s="235"/>
      <c r="H210" s="272" t="str">
        <f>'26TH-25THAPRIL'!J211</f>
        <v/>
      </c>
      <c r="I210" s="281">
        <v>1.0</v>
      </c>
      <c r="J210" s="282">
        <f>'1stMay-30thApril'!H210</f>
        <v>2</v>
      </c>
      <c r="K210" s="282">
        <f>'1stMay-30thApril'!I210</f>
        <v>1</v>
      </c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0.253</v>
      </c>
      <c r="N210" s="191"/>
      <c r="O210" s="247"/>
    </row>
    <row r="211">
      <c r="A211" s="12" t="s">
        <v>250</v>
      </c>
      <c r="B211" s="13" t="s">
        <v>59</v>
      </c>
      <c r="C211" s="271" t="str">
        <f>'26TH-25THAPRIL'!E212</f>
        <v/>
      </c>
      <c r="D211" s="191"/>
      <c r="E211" s="280" t="str">
        <f>'1stMay-30thApril'!C211</f>
        <v/>
      </c>
      <c r="F211" s="235" t="s">
        <v>35</v>
      </c>
      <c r="G211" s="235"/>
      <c r="H211" s="272">
        <f>'26TH-25THAPRIL'!J212</f>
        <v>0.267</v>
      </c>
      <c r="I211" s="281">
        <v>1.0</v>
      </c>
      <c r="J211" s="282" t="str">
        <f>'1stMay-30thApril'!H211</f>
        <v/>
      </c>
      <c r="K211" s="282">
        <f>'1stMay-30thApril'!I211</f>
        <v>1</v>
      </c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0.257</v>
      </c>
      <c r="N211" s="191"/>
      <c r="O211" s="247"/>
    </row>
    <row r="212">
      <c r="A212" s="12" t="s">
        <v>251</v>
      </c>
      <c r="B212" s="13" t="s">
        <v>34</v>
      </c>
      <c r="C212" s="271" t="str">
        <f>'26TH-25THAPRIL'!E213</f>
        <v/>
      </c>
      <c r="D212" s="191"/>
      <c r="E212" s="280" t="str">
        <f>'1stMay-30thApril'!C212</f>
        <v/>
      </c>
      <c r="F212" s="235" t="s">
        <v>35</v>
      </c>
      <c r="G212" s="235"/>
      <c r="H212" s="272" t="str">
        <f>'26TH-25THAPRIL'!J213</f>
        <v/>
      </c>
      <c r="I212" s="281">
        <v>1.0</v>
      </c>
      <c r="J212" s="282" t="str">
        <f>'1stMay-30thApril'!H212</f>
        <v/>
      </c>
      <c r="K212" s="282">
        <f>'1stMay-30thApril'!I212</f>
        <v>1</v>
      </c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</v>
      </c>
      <c r="N212" s="191"/>
      <c r="O212" s="247"/>
    </row>
    <row r="213">
      <c r="A213" s="10" t="s">
        <v>252</v>
      </c>
      <c r="B213" s="11"/>
      <c r="C213" s="271" t="str">
        <f>'26TH-25THAPRIL'!E214</f>
        <v/>
      </c>
      <c r="D213" s="191"/>
      <c r="E213" s="280" t="str">
        <f>'1stMay-30thApril'!C213</f>
        <v/>
      </c>
      <c r="F213" s="235"/>
      <c r="G213" s="235"/>
      <c r="H213" s="272" t="str">
        <f>'26TH-25THAPRIL'!J214</f>
        <v/>
      </c>
      <c r="I213" s="281">
        <v>1.0</v>
      </c>
      <c r="J213" s="282" t="str">
        <f>'1stMay-30thApril'!H213</f>
        <v/>
      </c>
      <c r="K213" s="282">
        <f>'1stMay-30thApril'!I213</f>
        <v>1</v>
      </c>
      <c r="L213" s="293"/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2" t="s">
        <v>253</v>
      </c>
      <c r="B214" s="12" t="s">
        <v>40</v>
      </c>
      <c r="C214" s="271" t="str">
        <f>'26TH-25THAPRIL'!E215</f>
        <v/>
      </c>
      <c r="D214" s="191"/>
      <c r="E214" s="280" t="str">
        <f>'1stMay-30thApril'!C214</f>
        <v/>
      </c>
      <c r="F214" s="235" t="s">
        <v>254</v>
      </c>
      <c r="G214" s="235"/>
      <c r="H214" s="272" t="str">
        <f>'26TH-25THAPRIL'!J215</f>
        <v/>
      </c>
      <c r="I214" s="281">
        <v>1.0</v>
      </c>
      <c r="J214" s="282" t="str">
        <f>'1stMay-30thApril'!H214</f>
        <v/>
      </c>
      <c r="K214" s="282">
        <f>'1stMay-30thApril'!I214</f>
        <v>1</v>
      </c>
      <c r="L214" s="235" t="s">
        <v>254</v>
      </c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256</v>
      </c>
      <c r="B215" s="12" t="s">
        <v>40</v>
      </c>
      <c r="C215" s="271" t="str">
        <f>'26TH-25THAPRIL'!E216</f>
        <v/>
      </c>
      <c r="D215" s="191"/>
      <c r="E215" s="280" t="str">
        <f>'1stMay-30thApril'!C215</f>
        <v/>
      </c>
      <c r="F215" s="235" t="s">
        <v>234</v>
      </c>
      <c r="G215" s="235"/>
      <c r="H215" s="272" t="str">
        <f>'26TH-25THAPRIL'!J216</f>
        <v/>
      </c>
      <c r="I215" s="281">
        <v>1.0</v>
      </c>
      <c r="J215" s="282" t="str">
        <f>'1stMay-30thApril'!H215</f>
        <v/>
      </c>
      <c r="K215" s="282">
        <f>'1stMay-30thApril'!I215</f>
        <v>1</v>
      </c>
      <c r="L215" s="235" t="s">
        <v>234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258</v>
      </c>
      <c r="B216" s="12" t="s">
        <v>259</v>
      </c>
      <c r="C216" s="271" t="str">
        <f>'26TH-25THAPRIL'!E217</f>
        <v/>
      </c>
      <c r="D216" s="227"/>
      <c r="E216" s="280" t="str">
        <f>'1stMay-30thApril'!C216</f>
        <v/>
      </c>
      <c r="F216" s="235" t="s">
        <v>17</v>
      </c>
      <c r="G216" s="235"/>
      <c r="H216" s="272">
        <f>'26TH-25THAPRIL'!J217</f>
        <v>16</v>
      </c>
      <c r="I216" s="281">
        <v>1.0</v>
      </c>
      <c r="J216" s="282" t="str">
        <f>'1stMay-30thApril'!H216</f>
        <v/>
      </c>
      <c r="K216" s="282">
        <f>'1stMay-30thApril'!I216</f>
        <v>1</v>
      </c>
      <c r="L216" s="293" t="s">
        <v>17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16</v>
      </c>
      <c r="N216" s="191"/>
      <c r="O216" s="247"/>
    </row>
    <row r="217">
      <c r="A217" s="12" t="s">
        <v>260</v>
      </c>
      <c r="B217" s="12" t="s">
        <v>261</v>
      </c>
      <c r="C217" s="271" t="str">
        <f>'26TH-25THAPRIL'!E218</f>
        <v/>
      </c>
      <c r="D217" s="227"/>
      <c r="E217" s="280" t="str">
        <f>'1stMay-30thApril'!C217</f>
        <v/>
      </c>
      <c r="F217" s="235" t="s">
        <v>35</v>
      </c>
      <c r="G217" s="235"/>
      <c r="H217" s="272">
        <f>'26TH-25THAPRIL'!J218</f>
        <v>4.544</v>
      </c>
      <c r="I217" s="281">
        <v>1.0</v>
      </c>
      <c r="J217" s="282">
        <v>3.5</v>
      </c>
      <c r="K217" s="282">
        <f>'1stMay-30thApril'!I217</f>
        <v>1</v>
      </c>
      <c r="L217" s="293" t="s">
        <v>35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1.044</v>
      </c>
      <c r="N217" s="191"/>
      <c r="O217" s="247"/>
    </row>
    <row r="218">
      <c r="A218" s="12" t="s">
        <v>263</v>
      </c>
      <c r="B218" s="12" t="s">
        <v>17</v>
      </c>
      <c r="C218" s="271" t="str">
        <f>'26TH-25THAPRIL'!E219</f>
        <v/>
      </c>
      <c r="D218" s="227">
        <v>50.0</v>
      </c>
      <c r="E218" s="280" t="str">
        <f>'1stMay-30thApril'!C218</f>
        <v/>
      </c>
      <c r="F218" s="235" t="s">
        <v>17</v>
      </c>
      <c r="G218" s="235"/>
      <c r="H218" s="272">
        <f>'26TH-25THAPRIL'!J219</f>
        <v>53</v>
      </c>
      <c r="I218" s="281">
        <v>1.0</v>
      </c>
      <c r="J218" s="282"/>
      <c r="K218" s="282">
        <f>'1stMay-30thApril'!I218</f>
        <v>1</v>
      </c>
      <c r="L218" s="268" t="s">
        <v>17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103</v>
      </c>
      <c r="N218" s="191"/>
      <c r="O218" s="247"/>
    </row>
    <row r="219">
      <c r="A219" s="12" t="s">
        <v>264</v>
      </c>
      <c r="B219" s="12" t="s">
        <v>261</v>
      </c>
      <c r="C219" s="271" t="str">
        <f>'26TH-25THAPRIL'!E220</f>
        <v/>
      </c>
      <c r="D219" s="227"/>
      <c r="E219" s="280" t="str">
        <f>'1stMay-30thApril'!C219</f>
        <v/>
      </c>
      <c r="F219" s="235" t="s">
        <v>35</v>
      </c>
      <c r="G219" s="235"/>
      <c r="H219" s="272">
        <f>'26TH-25THAPRIL'!J220</f>
        <v>1.854</v>
      </c>
      <c r="I219" s="281">
        <v>1.0</v>
      </c>
      <c r="J219" s="282">
        <v>0.3</v>
      </c>
      <c r="K219" s="282">
        <f>'1stMay-30thApril'!I219</f>
        <v>1</v>
      </c>
      <c r="L219" s="268" t="s">
        <v>35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1.554</v>
      </c>
      <c r="N219" s="191"/>
      <c r="O219" s="247"/>
    </row>
    <row r="220">
      <c r="A220" s="12" t="s">
        <v>265</v>
      </c>
      <c r="B220" s="12" t="s">
        <v>40</v>
      </c>
      <c r="C220" s="271" t="str">
        <f>'26TH-25THAPRIL'!E221</f>
        <v/>
      </c>
      <c r="D220" s="227">
        <v>4.0</v>
      </c>
      <c r="E220" s="280" t="str">
        <f>'1stMay-30thApril'!C220</f>
        <v/>
      </c>
      <c r="F220" s="235" t="s">
        <v>17</v>
      </c>
      <c r="G220" s="235"/>
      <c r="H220" s="272">
        <f>'26TH-25THAPRIL'!J221</f>
        <v>49</v>
      </c>
      <c r="I220" s="281">
        <v>1.0</v>
      </c>
      <c r="J220" s="282">
        <f>'1stMay-30thApril'!H220</f>
        <v>1.354</v>
      </c>
      <c r="K220" s="282">
        <f>'1stMay-30thApril'!I220</f>
        <v>1</v>
      </c>
      <c r="L220" s="268" t="s">
        <v>17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147.646</v>
      </c>
      <c r="N220" s="191"/>
      <c r="O220" s="247"/>
    </row>
    <row r="221">
      <c r="A221" s="12" t="s">
        <v>266</v>
      </c>
      <c r="B221" s="12" t="s">
        <v>267</v>
      </c>
      <c r="C221" s="271" t="str">
        <f>'26TH-25THAPRIL'!E222</f>
        <v/>
      </c>
      <c r="D221" s="227">
        <v>1.0</v>
      </c>
      <c r="E221" s="280" t="str">
        <f>'1stMay-30thApril'!C221</f>
        <v/>
      </c>
      <c r="F221" s="235" t="s">
        <v>17</v>
      </c>
      <c r="G221" s="235"/>
      <c r="H221" s="272">
        <f>'26TH-25THAPRIL'!J222</f>
        <v>40</v>
      </c>
      <c r="I221" s="281">
        <v>1.0</v>
      </c>
      <c r="J221" s="282">
        <f>'1stMay-30thApril'!H221</f>
        <v>81</v>
      </c>
      <c r="K221" s="282">
        <f>'1stMay-30thApril'!I221</f>
        <v>1</v>
      </c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9</v>
      </c>
      <c r="N221" s="191"/>
      <c r="O221" s="247"/>
    </row>
    <row r="222">
      <c r="A222" s="12" t="s">
        <v>268</v>
      </c>
      <c r="B222" s="12" t="s">
        <v>40</v>
      </c>
      <c r="C222" s="271" t="str">
        <f>'26TH-25THAPRIL'!E223</f>
        <v/>
      </c>
      <c r="D222" s="227">
        <v>1.0</v>
      </c>
      <c r="E222" s="280" t="str">
        <f>'1stMay-30thApril'!C222</f>
        <v/>
      </c>
      <c r="F222" s="235" t="s">
        <v>17</v>
      </c>
      <c r="G222" s="235"/>
      <c r="H222" s="272">
        <f>'26TH-25THAPRIL'!J223</f>
        <v>39</v>
      </c>
      <c r="I222" s="281">
        <v>1.0</v>
      </c>
      <c r="J222" s="282">
        <f>'1stMay-30thApril'!H222</f>
        <v>52</v>
      </c>
      <c r="K222" s="282">
        <f>'1stMay-30thApril'!I222</f>
        <v>1</v>
      </c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12</v>
      </c>
      <c r="N222" s="191"/>
      <c r="O222" s="247"/>
    </row>
    <row r="223">
      <c r="A223" s="12" t="s">
        <v>269</v>
      </c>
      <c r="B223" s="294" t="s">
        <v>40</v>
      </c>
      <c r="C223" s="271" t="str">
        <f>'26TH-25THAPRIL'!E224</f>
        <v/>
      </c>
      <c r="D223" s="191"/>
      <c r="E223" s="280" t="str">
        <f>'1stMay-30thApril'!C223</f>
        <v/>
      </c>
      <c r="F223" s="191" t="s">
        <v>17</v>
      </c>
      <c r="G223" s="191"/>
      <c r="H223" s="272">
        <f>'26TH-25THAPRIL'!J224</f>
        <v>83</v>
      </c>
      <c r="I223" s="281">
        <v>1.0</v>
      </c>
      <c r="J223" s="282">
        <f>'1stMay-30thApril'!H223</f>
        <v>12</v>
      </c>
      <c r="K223" s="282">
        <f>'1stMay-30thApril'!I223</f>
        <v>1</v>
      </c>
      <c r="L223" s="191" t="s">
        <v>17</v>
      </c>
      <c r="M223" s="295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71</v>
      </c>
      <c r="N223" s="191"/>
      <c r="O223" s="247"/>
    </row>
    <row r="224">
      <c r="A224" s="12" t="s">
        <v>270</v>
      </c>
      <c r="B224" s="294" t="s">
        <v>40</v>
      </c>
      <c r="C224" s="271" t="str">
        <f>'26TH-25THAPRIL'!E225</f>
        <v/>
      </c>
      <c r="D224" s="191"/>
      <c r="E224" s="280" t="str">
        <f>'1stMay-30thApril'!C224</f>
        <v/>
      </c>
      <c r="F224" s="191" t="s">
        <v>17</v>
      </c>
      <c r="G224" s="191"/>
      <c r="H224" s="272">
        <f>'26TH-25THAPRIL'!J225</f>
        <v>75</v>
      </c>
      <c r="I224" s="281">
        <v>1.0</v>
      </c>
      <c r="J224" s="282">
        <f>'1stMay-30thApril'!H224</f>
        <v>31</v>
      </c>
      <c r="K224" s="282">
        <f>'1stMay-30thApril'!I224</f>
        <v>1</v>
      </c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44</v>
      </c>
      <c r="N224" s="191"/>
      <c r="O224" s="247"/>
    </row>
    <row r="225">
      <c r="A225" s="12" t="s">
        <v>271</v>
      </c>
      <c r="B225" s="294" t="s">
        <v>40</v>
      </c>
      <c r="C225" s="271" t="str">
        <f>'26TH-25THAPRIL'!E226</f>
        <v/>
      </c>
      <c r="D225" s="227">
        <v>1.0</v>
      </c>
      <c r="E225" s="280" t="str">
        <f>'1stMay-30thApril'!C225</f>
        <v/>
      </c>
      <c r="F225" s="191" t="s">
        <v>17</v>
      </c>
      <c r="G225" s="191"/>
      <c r="H225" s="272">
        <f>'26TH-25THAPRIL'!J226</f>
        <v>46</v>
      </c>
      <c r="I225" s="281">
        <v>1.0</v>
      </c>
      <c r="J225" s="282">
        <v>70.0</v>
      </c>
      <c r="K225" s="282">
        <f>'1stMay-30thApril'!I225</f>
        <v>1</v>
      </c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26</v>
      </c>
      <c r="N225" s="191"/>
      <c r="O225" s="247"/>
    </row>
    <row r="226">
      <c r="A226" s="12" t="s">
        <v>272</v>
      </c>
      <c r="B226" s="294" t="s">
        <v>40</v>
      </c>
      <c r="C226" s="271" t="str">
        <f>'26TH-25THAPRIL'!E227</f>
        <v/>
      </c>
      <c r="D226" s="297"/>
      <c r="E226" s="280" t="str">
        <f>'1stMay-30thApril'!C226</f>
        <v/>
      </c>
      <c r="F226" s="296" t="s">
        <v>17</v>
      </c>
      <c r="G226" s="297">
        <v>6.0</v>
      </c>
      <c r="H226" s="272">
        <f>'26TH-25THAPRIL'!J227</f>
        <v>12</v>
      </c>
      <c r="I226" s="281">
        <v>1.0</v>
      </c>
      <c r="J226" s="282">
        <v>5.0</v>
      </c>
      <c r="K226" s="282">
        <f>'1stMay-30thApril'!I226</f>
        <v>1</v>
      </c>
      <c r="L226" s="296" t="s">
        <v>17</v>
      </c>
      <c r="M226" s="298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13</v>
      </c>
      <c r="N226" s="296"/>
      <c r="O226" s="299"/>
    </row>
    <row r="227">
      <c r="A227" s="23"/>
      <c r="B227" s="11"/>
      <c r="C227" s="11"/>
      <c r="D227" s="11"/>
      <c r="E227" s="11"/>
      <c r="F227" s="11"/>
      <c r="G227" s="11"/>
      <c r="H227" s="272" t="str">
        <f>'26TH-25THAPRIL'!J228</f>
        <v/>
      </c>
      <c r="I227" s="11"/>
      <c r="J227" s="11"/>
      <c r="K227" s="283"/>
      <c r="L227" s="11"/>
      <c r="M227" s="11"/>
      <c r="N227" s="11"/>
      <c r="O227" s="11"/>
    </row>
    <row r="228">
      <c r="A228" s="11"/>
      <c r="B228" s="11"/>
      <c r="C228" s="11"/>
      <c r="D228" s="11"/>
      <c r="E228" s="11"/>
      <c r="F228" s="11"/>
      <c r="G228" s="11"/>
      <c r="H228" s="272" t="str">
        <f>'26TH-25THAPRIL'!J229</f>
        <v/>
      </c>
      <c r="I228" s="11"/>
      <c r="J228" s="11"/>
      <c r="K228" s="11"/>
      <c r="L228" s="11"/>
      <c r="M228" s="11"/>
      <c r="N228" s="11"/>
      <c r="O228" s="11"/>
    </row>
    <row r="229">
      <c r="A229" s="11"/>
      <c r="B229" s="11"/>
      <c r="C229" s="11"/>
      <c r="D229" s="11"/>
      <c r="E229" s="11"/>
      <c r="F229" s="11"/>
      <c r="G229" s="11"/>
      <c r="H229" s="272" t="str">
        <f>'26TH-25THAPRIL'!J230</f>
        <v/>
      </c>
      <c r="I229" s="11"/>
      <c r="J229" s="11"/>
      <c r="K229" s="11"/>
      <c r="L229" s="11"/>
      <c r="M229" s="11"/>
      <c r="N229" s="11"/>
      <c r="O229" s="11"/>
    </row>
    <row r="230">
      <c r="A230" s="11"/>
      <c r="B230" s="11"/>
      <c r="C230" s="11"/>
      <c r="D230" s="11"/>
      <c r="E230" s="11"/>
      <c r="F230" s="11"/>
      <c r="G230" s="11"/>
      <c r="H230" s="272" t="str">
        <f>'26TH-25THAPRIL'!J231</f>
        <v/>
      </c>
      <c r="I230" s="11"/>
      <c r="J230" s="11"/>
      <c r="K230" s="11"/>
      <c r="L230" s="11"/>
      <c r="M230" s="11"/>
      <c r="N230" s="11"/>
      <c r="O230" s="11"/>
    </row>
    <row r="231">
      <c r="A231" s="11"/>
      <c r="B231" s="11"/>
      <c r="C231" s="11"/>
      <c r="D231" s="11"/>
      <c r="E231" s="11"/>
      <c r="F231" s="11"/>
      <c r="G231" s="11"/>
      <c r="H231" s="272" t="str">
        <f>'26TH-25THAPRIL'!J232</f>
        <v/>
      </c>
      <c r="I231" s="11"/>
      <c r="J231" s="11"/>
      <c r="K231" s="11"/>
      <c r="L231" s="11"/>
      <c r="M231" s="11"/>
      <c r="N231" s="11"/>
      <c r="O231" s="11"/>
    </row>
    <row r="232">
      <c r="A232" s="11"/>
      <c r="B232" s="11"/>
      <c r="C232" s="11"/>
      <c r="D232" s="11"/>
      <c r="E232" s="11"/>
      <c r="F232" s="11"/>
      <c r="G232" s="11"/>
      <c r="H232" s="272" t="str">
        <f>'26TH-25THAPRIL'!J233</f>
        <v/>
      </c>
      <c r="I232" s="11"/>
      <c r="J232" s="11"/>
      <c r="K232" s="11"/>
      <c r="L232" s="11"/>
      <c r="M232" s="11"/>
      <c r="N232" s="11"/>
      <c r="O232" s="11"/>
    </row>
    <row r="233">
      <c r="A233" s="11"/>
      <c r="B233" s="11"/>
      <c r="C233" s="11"/>
      <c r="D233" s="11"/>
      <c r="E233" s="11"/>
      <c r="F233" s="11"/>
      <c r="G233" s="11"/>
      <c r="H233" s="272" t="str">
        <f>'26TH-25THAPRIL'!J234</f>
        <v/>
      </c>
      <c r="I233" s="11"/>
      <c r="J233" s="11"/>
      <c r="K233" s="11"/>
      <c r="L233" s="11"/>
      <c r="M233" s="11"/>
      <c r="N233" s="11"/>
      <c r="O233" s="11"/>
    </row>
    <row r="234">
      <c r="A234" s="11"/>
      <c r="B234" s="11"/>
      <c r="C234" s="11"/>
      <c r="D234" s="11"/>
      <c r="E234" s="11"/>
      <c r="F234" s="11"/>
      <c r="G234" s="11"/>
      <c r="H234" s="272" t="str">
        <f>'26TH-25THAPRIL'!J235</f>
        <v/>
      </c>
      <c r="I234" s="11"/>
      <c r="J234" s="11"/>
      <c r="K234" s="11"/>
      <c r="L234" s="11"/>
      <c r="M234" s="11"/>
      <c r="N234" s="11"/>
      <c r="O234" s="11"/>
    </row>
    <row r="235">
      <c r="A235" s="11"/>
      <c r="B235" s="11"/>
      <c r="C235" s="11"/>
      <c r="D235" s="11"/>
      <c r="E235" s="11"/>
      <c r="F235" s="11"/>
      <c r="G235" s="11"/>
      <c r="H235" s="272" t="str">
        <f>'26TH-25THAPRIL'!J236</f>
        <v/>
      </c>
      <c r="I235" s="11"/>
      <c r="J235" s="11"/>
      <c r="K235" s="11"/>
      <c r="L235" s="11"/>
      <c r="M235" s="11"/>
      <c r="N235" s="11"/>
      <c r="O235" s="11"/>
    </row>
    <row r="236">
      <c r="A236" s="11"/>
      <c r="B236" s="11"/>
      <c r="C236" s="11"/>
      <c r="D236" s="11"/>
      <c r="E236" s="11"/>
      <c r="F236" s="11"/>
      <c r="G236" s="11"/>
      <c r="H236" s="272" t="str">
        <f>'26TH-25THAPRIL'!J237</f>
        <v/>
      </c>
      <c r="I236" s="11"/>
      <c r="J236" s="11"/>
      <c r="K236" s="11"/>
      <c r="L236" s="11"/>
      <c r="M236" s="11"/>
      <c r="N236" s="11"/>
      <c r="O236" s="11"/>
    </row>
    <row r="237">
      <c r="A237" s="11"/>
      <c r="B237" s="11"/>
      <c r="C237" s="11"/>
      <c r="D237" s="11"/>
      <c r="E237" s="11"/>
      <c r="F237" s="11"/>
      <c r="G237" s="11"/>
      <c r="H237" s="272" t="str">
        <f>'26TH-25THAPRIL'!J238</f>
        <v/>
      </c>
      <c r="I237" s="11"/>
      <c r="J237" s="11"/>
      <c r="K237" s="11"/>
      <c r="L237" s="11"/>
      <c r="M237" s="11"/>
      <c r="N237" s="11"/>
      <c r="O237" s="11"/>
    </row>
    <row r="238">
      <c r="A238" s="11"/>
      <c r="B238" s="11"/>
      <c r="C238" s="11"/>
      <c r="D238" s="11"/>
      <c r="E238" s="11"/>
      <c r="F238" s="11"/>
      <c r="G238" s="11"/>
      <c r="H238" s="272" t="str">
        <f>'26TH-25THAPRIL'!J239</f>
        <v/>
      </c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11"/>
      <c r="D239" s="11"/>
      <c r="E239" s="11"/>
      <c r="F239" s="11"/>
      <c r="G239" s="11"/>
      <c r="H239" s="272" t="str">
        <f>'26TH-25THAPRIL'!J240</f>
        <v/>
      </c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11"/>
      <c r="D240" s="11"/>
      <c r="E240" s="11"/>
      <c r="F240" s="11"/>
      <c r="G240" s="11"/>
      <c r="H240" s="272" t="str">
        <f>'26TH-25THAPRIL'!J241</f>
        <v/>
      </c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11"/>
      <c r="D241" s="11"/>
      <c r="E241" s="11"/>
      <c r="F241" s="11"/>
      <c r="G241" s="11"/>
      <c r="H241" s="272" t="str">
        <f>'26TH-25THAPRIL'!J242</f>
        <v/>
      </c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11"/>
      <c r="D242" s="11"/>
      <c r="E242" s="11"/>
      <c r="F242" s="11"/>
      <c r="G242" s="11"/>
      <c r="H242" s="272" t="str">
        <f>'26TH-25THAPRIL'!J243</f>
        <v/>
      </c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11"/>
      <c r="D243" s="11"/>
      <c r="E243" s="11"/>
      <c r="F243" s="11"/>
      <c r="G243" s="11"/>
      <c r="H243" s="272" t="str">
        <f>'26TH-25THAPRIL'!J244</f>
        <v/>
      </c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191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</sheetData>
  <mergeCells count="4">
    <mergeCell ref="A1:O1"/>
    <mergeCell ref="B2:E2"/>
    <mergeCell ref="F2:K2"/>
    <mergeCell ref="L2:O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1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2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f>'24THAPRIL'!E5</f>
        <v>12</v>
      </c>
      <c r="D5" s="271">
        <v>31.0</v>
      </c>
      <c r="E5" s="273">
        <v>20.0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69</v>
      </c>
      <c r="N5" s="268"/>
      <c r="O5" s="269"/>
    </row>
    <row r="6">
      <c r="A6" s="192" t="s">
        <v>401</v>
      </c>
      <c r="B6" s="191" t="s">
        <v>402</v>
      </c>
      <c r="C6" s="271">
        <f>'24THAPRIL'!E6</f>
        <v>4</v>
      </c>
      <c r="D6" s="272">
        <v>4.0</v>
      </c>
      <c r="E6" s="273">
        <v>7.0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2</v>
      </c>
      <c r="N6" s="268"/>
      <c r="O6" s="269"/>
    </row>
    <row r="7">
      <c r="A7" s="192" t="s">
        <v>404</v>
      </c>
      <c r="B7" s="191" t="s">
        <v>402</v>
      </c>
      <c r="C7" s="271">
        <f>'24THAPRIL'!E7</f>
        <v>3</v>
      </c>
      <c r="D7" s="272">
        <v>12.0</v>
      </c>
      <c r="E7" s="273">
        <v>7.0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40</v>
      </c>
      <c r="N7" s="268"/>
      <c r="O7" s="269"/>
    </row>
    <row r="8">
      <c r="A8" s="192" t="s">
        <v>406</v>
      </c>
      <c r="B8" s="191" t="s">
        <v>402</v>
      </c>
      <c r="C8" s="271" t="str">
        <f>'24THAPRIL'!E8</f>
        <v/>
      </c>
      <c r="D8" s="272">
        <v>20.0</v>
      </c>
      <c r="E8" s="273">
        <v>12.0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8</v>
      </c>
      <c r="N8" s="268"/>
      <c r="O8" s="269"/>
    </row>
    <row r="9">
      <c r="A9" s="192" t="s">
        <v>409</v>
      </c>
      <c r="B9" s="191" t="s">
        <v>402</v>
      </c>
      <c r="C9" s="271">
        <f>'24THAPRIL'!E9</f>
        <v>1</v>
      </c>
      <c r="D9" s="268"/>
      <c r="E9" s="273">
        <v>1.0</v>
      </c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192" t="s">
        <v>411</v>
      </c>
      <c r="B10" s="191" t="s">
        <v>402</v>
      </c>
      <c r="C10" s="271">
        <f>'24THAPRIL'!E10</f>
        <v>1</v>
      </c>
      <c r="D10" s="272">
        <v>10.0</v>
      </c>
      <c r="E10" s="273">
        <v>7.0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32</v>
      </c>
      <c r="N10" s="268"/>
      <c r="O10" s="269"/>
    </row>
    <row r="11">
      <c r="A11" s="204" t="s">
        <v>413</v>
      </c>
      <c r="B11" s="191" t="s">
        <v>402</v>
      </c>
      <c r="C11" s="271">
        <f>'24THAPRIL'!E11</f>
        <v>17</v>
      </c>
      <c r="D11" s="272">
        <v>20.0</v>
      </c>
      <c r="E11" s="273">
        <v>15.0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22</v>
      </c>
      <c r="N11" s="268"/>
      <c r="O11" s="269"/>
    </row>
    <row r="12">
      <c r="A12" s="192" t="s">
        <v>414</v>
      </c>
      <c r="B12" s="191" t="s">
        <v>402</v>
      </c>
      <c r="C12" s="271" t="str">
        <f>'24THAPRIL'!E12</f>
        <v/>
      </c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>
        <f>'24THAPRIL'!E13</f>
        <v>8</v>
      </c>
      <c r="D13" s="272">
        <v>5.0</v>
      </c>
      <c r="E13" s="273">
        <v>4.0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81</v>
      </c>
      <c r="N13" s="268"/>
      <c r="O13" s="269"/>
    </row>
    <row r="14">
      <c r="A14" s="204" t="s">
        <v>418</v>
      </c>
      <c r="B14" s="191" t="s">
        <v>402</v>
      </c>
      <c r="C14" s="271">
        <f>'24THAPRIL'!E14</f>
        <v>12</v>
      </c>
      <c r="D14" s="272">
        <v>20.0</v>
      </c>
      <c r="E14" s="273">
        <v>17.0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15</v>
      </c>
      <c r="N14" s="268"/>
      <c r="O14" s="269"/>
    </row>
    <row r="15">
      <c r="A15" s="204" t="s">
        <v>420</v>
      </c>
      <c r="B15" s="191" t="s">
        <v>402</v>
      </c>
      <c r="C15" s="271">
        <f>'24THAPRIL'!E15</f>
        <v>2</v>
      </c>
      <c r="D15" s="272">
        <v>8.0</v>
      </c>
      <c r="E15" s="273">
        <v>8.0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8</v>
      </c>
      <c r="N15" s="268"/>
      <c r="O15" s="269"/>
    </row>
    <row r="16">
      <c r="A16" s="192" t="s">
        <v>422</v>
      </c>
      <c r="B16" s="191" t="s">
        <v>402</v>
      </c>
      <c r="C16" s="271">
        <f>'24THAPRIL'!E16</f>
        <v>8</v>
      </c>
      <c r="D16" s="272"/>
      <c r="E16" s="273">
        <v>3.0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20</v>
      </c>
      <c r="N16" s="268"/>
      <c r="O16" s="269"/>
    </row>
    <row r="17">
      <c r="A17" s="192" t="s">
        <v>423</v>
      </c>
      <c r="B17" s="191" t="s">
        <v>402</v>
      </c>
      <c r="C17" s="271">
        <f>'24THAPRIL'!E17</f>
        <v>11</v>
      </c>
      <c r="D17" s="272">
        <v>15.0</v>
      </c>
      <c r="E17" s="273">
        <v>4.0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44</v>
      </c>
      <c r="N17" s="268"/>
      <c r="O17" s="269"/>
    </row>
    <row r="18">
      <c r="A18" s="192" t="s">
        <v>425</v>
      </c>
      <c r="B18" s="191" t="s">
        <v>402</v>
      </c>
      <c r="C18" s="271">
        <f>'24THAPRIL'!E18</f>
        <v>2</v>
      </c>
      <c r="D18" s="272">
        <v>7.0</v>
      </c>
      <c r="E18" s="273">
        <v>4.0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10</v>
      </c>
      <c r="N18" s="268"/>
      <c r="O18" s="269"/>
    </row>
    <row r="19">
      <c r="A19" s="192" t="s">
        <v>426</v>
      </c>
      <c r="B19" s="191" t="s">
        <v>402</v>
      </c>
      <c r="C19" s="271" t="str">
        <f>'24THAPRIL'!E19</f>
        <v/>
      </c>
      <c r="D19" s="272">
        <v>5.0</v>
      </c>
      <c r="E19" s="273">
        <v>3.0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2</v>
      </c>
      <c r="N19" s="268"/>
      <c r="O19" s="269"/>
    </row>
    <row r="20">
      <c r="A20" s="192" t="s">
        <v>428</v>
      </c>
      <c r="B20" s="191" t="s">
        <v>402</v>
      </c>
      <c r="C20" s="271">
        <f>'24THAPRIL'!E20</f>
        <v>4</v>
      </c>
      <c r="D20" s="272">
        <v>5.0</v>
      </c>
      <c r="E20" s="273">
        <v>7.0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2</v>
      </c>
      <c r="N20" s="268"/>
      <c r="O20" s="269"/>
    </row>
    <row r="21">
      <c r="A21" s="204" t="s">
        <v>429</v>
      </c>
      <c r="B21" s="191" t="s">
        <v>402</v>
      </c>
      <c r="C21" s="271">
        <f>'24THAPRIL'!E21</f>
        <v>10</v>
      </c>
      <c r="D21" s="272"/>
      <c r="E21" s="273">
        <v>6.0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16</v>
      </c>
      <c r="N21" s="268"/>
      <c r="O21" s="269"/>
    </row>
    <row r="22">
      <c r="A22" s="204" t="s">
        <v>431</v>
      </c>
      <c r="B22" s="191" t="s">
        <v>402</v>
      </c>
      <c r="C22" s="271" t="str">
        <f>'24THAPRIL'!E22</f>
        <v/>
      </c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>
        <f>'24THAPRIL'!E23</f>
        <v>3</v>
      </c>
      <c r="D23" s="272">
        <v>6.0</v>
      </c>
      <c r="E23" s="273">
        <v>5.0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8</v>
      </c>
      <c r="N23" s="268"/>
      <c r="O23" s="269"/>
    </row>
    <row r="24">
      <c r="A24" s="192" t="s">
        <v>433</v>
      </c>
      <c r="B24" s="191" t="s">
        <v>402</v>
      </c>
      <c r="C24" s="271">
        <f>'24THAPRIL'!E24</f>
        <v>1</v>
      </c>
      <c r="D24" s="272">
        <v>35.0</v>
      </c>
      <c r="E24" s="273">
        <v>11.0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25</v>
      </c>
      <c r="N24" s="268"/>
      <c r="O24" s="269"/>
    </row>
    <row r="25">
      <c r="A25" s="204" t="s">
        <v>435</v>
      </c>
      <c r="B25" s="191" t="s">
        <v>402</v>
      </c>
      <c r="C25" s="271">
        <f>'24THAPRIL'!E25</f>
        <v>7</v>
      </c>
      <c r="D25" s="272">
        <v>5.0</v>
      </c>
      <c r="E25" s="273">
        <v>4.0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8</v>
      </c>
      <c r="N25" s="268"/>
      <c r="O25" s="269"/>
    </row>
    <row r="26">
      <c r="A26" s="192" t="s">
        <v>438</v>
      </c>
      <c r="B26" s="191" t="s">
        <v>402</v>
      </c>
      <c r="C26" s="271">
        <f>'24THAPRIL'!E26</f>
        <v>1</v>
      </c>
      <c r="D26" s="272">
        <v>5.0</v>
      </c>
      <c r="E26" s="273">
        <v>5.0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1</v>
      </c>
      <c r="N26" s="268"/>
      <c r="O26" s="269"/>
    </row>
    <row r="27">
      <c r="A27" s="192" t="s">
        <v>439</v>
      </c>
      <c r="B27" s="191" t="s">
        <v>402</v>
      </c>
      <c r="C27" s="271" t="str">
        <f>'24THAPRIL'!E27</f>
        <v/>
      </c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f>'24THAPRIL'!E28</f>
        <v>6</v>
      </c>
      <c r="D28" s="272">
        <v>14.0</v>
      </c>
      <c r="E28" s="273">
        <v>9.0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11</v>
      </c>
      <c r="N28" s="268"/>
      <c r="O28" s="269"/>
    </row>
    <row r="29">
      <c r="A29" s="204" t="s">
        <v>441</v>
      </c>
      <c r="B29" s="191" t="s">
        <v>402</v>
      </c>
      <c r="C29" s="271">
        <f>'24THAPRIL'!E29</f>
        <v>10</v>
      </c>
      <c r="D29" s="272">
        <v>10.0</v>
      </c>
      <c r="E29" s="273">
        <v>11.0</v>
      </c>
      <c r="F29" s="267" t="s">
        <v>17</v>
      </c>
      <c r="G29" s="267"/>
      <c r="H29" s="272"/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18</v>
      </c>
      <c r="N29" s="268"/>
      <c r="O29" s="269"/>
    </row>
    <row r="30">
      <c r="A30" s="204" t="s">
        <v>442</v>
      </c>
      <c r="B30" s="191" t="s">
        <v>402</v>
      </c>
      <c r="C30" s="271">
        <f>'24THAPRIL'!E30</f>
        <v>6</v>
      </c>
      <c r="D30" s="272">
        <v>5.0</v>
      </c>
      <c r="E30" s="273">
        <v>4.0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7</v>
      </c>
      <c r="N30" s="268"/>
      <c r="O30" s="269"/>
    </row>
    <row r="31">
      <c r="A31" s="204" t="s">
        <v>444</v>
      </c>
      <c r="B31" s="191" t="s">
        <v>402</v>
      </c>
      <c r="C31" s="271">
        <f>'24THAPRIL'!E31</f>
        <v>6</v>
      </c>
      <c r="D31" s="268"/>
      <c r="E31" s="273">
        <v>5.0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1</v>
      </c>
      <c r="N31" s="268"/>
      <c r="O31" s="269"/>
    </row>
    <row r="32">
      <c r="A32" s="204" t="s">
        <v>445</v>
      </c>
      <c r="B32" s="191" t="s">
        <v>402</v>
      </c>
      <c r="C32" s="271">
        <f>'24THAPRIL'!E32</f>
        <v>4</v>
      </c>
      <c r="D32" s="272">
        <v>4.0</v>
      </c>
      <c r="E32" s="273">
        <v>8.0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0</v>
      </c>
      <c r="N32" s="268"/>
      <c r="O32" s="269"/>
    </row>
    <row r="33">
      <c r="A33" s="192" t="s">
        <v>446</v>
      </c>
      <c r="B33" s="191" t="s">
        <v>402</v>
      </c>
      <c r="C33" s="271">
        <f>'24THAPRIL'!E33</f>
        <v>1</v>
      </c>
      <c r="D33" s="268"/>
      <c r="E33" s="273">
        <v>1.0</v>
      </c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192" t="s">
        <v>447</v>
      </c>
      <c r="B34" s="191" t="s">
        <v>402</v>
      </c>
      <c r="C34" s="271">
        <f>'24THAPRIL'!E34</f>
        <v>6</v>
      </c>
      <c r="D34" s="272">
        <v>6.0</v>
      </c>
      <c r="E34" s="273">
        <v>4.0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8</v>
      </c>
      <c r="N34" s="268"/>
      <c r="O34" s="269"/>
    </row>
    <row r="35">
      <c r="A35" s="204" t="s">
        <v>449</v>
      </c>
      <c r="B35" s="191" t="s">
        <v>402</v>
      </c>
      <c r="C35" s="271" t="str">
        <f>'24THAPRIL'!E35</f>
        <v/>
      </c>
      <c r="D35" s="272"/>
      <c r="E35" s="273"/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268"/>
      <c r="O35" s="269"/>
    </row>
    <row r="36">
      <c r="A36" s="192" t="s">
        <v>451</v>
      </c>
      <c r="B36" s="191" t="s">
        <v>402</v>
      </c>
      <c r="C36" s="271">
        <f>'24THAPRIL'!E36</f>
        <v>6</v>
      </c>
      <c r="D36" s="272">
        <v>11.0</v>
      </c>
      <c r="E36" s="273">
        <v>10.0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14</v>
      </c>
      <c r="N36" s="268"/>
      <c r="O36" s="269"/>
    </row>
    <row r="37">
      <c r="A37" s="225" t="s">
        <v>452</v>
      </c>
      <c r="B37" s="191" t="s">
        <v>402</v>
      </c>
      <c r="C37" s="271">
        <f>'24THAPRIL'!E37</f>
        <v>2</v>
      </c>
      <c r="D37" s="272">
        <v>9.0</v>
      </c>
      <c r="E37" s="273">
        <v>3.0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32</v>
      </c>
      <c r="N37" s="268"/>
      <c r="O37" s="269"/>
    </row>
    <row r="38">
      <c r="A38" s="225" t="s">
        <v>454</v>
      </c>
      <c r="B38" s="191" t="s">
        <v>402</v>
      </c>
      <c r="C38" s="271">
        <f>'24THAPRIL'!E38</f>
        <v>3</v>
      </c>
      <c r="D38" s="268"/>
      <c r="E38" s="273">
        <v>3.0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23" t="s">
        <v>455</v>
      </c>
      <c r="B39" s="191" t="s">
        <v>402</v>
      </c>
      <c r="C39" s="271">
        <f>'24THAPRIL'!E39</f>
        <v>5</v>
      </c>
      <c r="D39" s="268"/>
      <c r="E39" s="273">
        <v>5.0</v>
      </c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0</v>
      </c>
      <c r="N39" s="268"/>
      <c r="O39" s="269"/>
    </row>
    <row r="40">
      <c r="A40" s="223" t="s">
        <v>456</v>
      </c>
      <c r="B40" s="191" t="s">
        <v>402</v>
      </c>
      <c r="C40" s="271" t="str">
        <f>'24THAPRIL'!E40</f>
        <v/>
      </c>
      <c r="D40" s="272">
        <v>15.0</v>
      </c>
      <c r="E40" s="273">
        <v>6.0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9</v>
      </c>
      <c r="N40" s="268"/>
      <c r="O40" s="269"/>
    </row>
    <row r="41">
      <c r="A41" s="223" t="s">
        <v>457</v>
      </c>
      <c r="B41" s="191" t="s">
        <v>402</v>
      </c>
      <c r="C41" s="271" t="str">
        <f>'24THAPRIL'!E41</f>
        <v/>
      </c>
      <c r="D41" s="272">
        <v>9.0</v>
      </c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9</v>
      </c>
      <c r="N41" s="268"/>
      <c r="O41" s="269"/>
    </row>
    <row r="42">
      <c r="A42" s="307" t="s">
        <v>762</v>
      </c>
      <c r="B42" s="191"/>
      <c r="C42" s="271" t="str">
        <f>'24THAPRIL'!E42</f>
        <v/>
      </c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71" t="str">
        <f>'24THAPRIL'!E43</f>
        <v/>
      </c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>
        <f>'24THAPRIL'!E44</f>
        <v>1</v>
      </c>
      <c r="D44" s="227">
        <v>1.0</v>
      </c>
      <c r="E44" s="280">
        <v>2.25</v>
      </c>
      <c r="F44" s="235" t="s">
        <v>14</v>
      </c>
      <c r="G44" s="235"/>
      <c r="H44" s="272">
        <f>'24THAPRIL'!J44</f>
        <v>0.25</v>
      </c>
      <c r="I44" s="272">
        <f>'24THAPRIL'!K44</f>
        <v>1</v>
      </c>
      <c r="J44" s="282"/>
      <c r="K44" s="283">
        <v>1.0</v>
      </c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0</v>
      </c>
      <c r="N44" s="191"/>
      <c r="O44" s="247"/>
    </row>
    <row r="45">
      <c r="A45" s="12" t="s">
        <v>16</v>
      </c>
      <c r="B45" s="13" t="s">
        <v>17</v>
      </c>
      <c r="C45" s="271">
        <f>'24THAPRIL'!E45</f>
        <v>7</v>
      </c>
      <c r="D45" s="227">
        <v>20.0</v>
      </c>
      <c r="E45" s="280">
        <v>14.0</v>
      </c>
      <c r="F45" s="235" t="s">
        <v>17</v>
      </c>
      <c r="G45" s="235"/>
      <c r="H45" s="272" t="str">
        <f>'24THAPRIL'!J45</f>
        <v/>
      </c>
      <c r="I45" s="272">
        <f>'24THAPRIL'!K45</f>
        <v>1</v>
      </c>
      <c r="J45" s="284"/>
      <c r="K45" s="283">
        <v>1.0</v>
      </c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13</v>
      </c>
      <c r="N45" s="191"/>
      <c r="O45" s="247"/>
    </row>
    <row r="46">
      <c r="A46" s="15" t="s">
        <v>19</v>
      </c>
      <c r="B46" s="13" t="s">
        <v>17</v>
      </c>
      <c r="C46" s="271">
        <f>'24THAPRIL'!E46</f>
        <v>1</v>
      </c>
      <c r="D46" s="227">
        <v>20.0</v>
      </c>
      <c r="E46" s="280">
        <v>9.0</v>
      </c>
      <c r="F46" s="235" t="s">
        <v>17</v>
      </c>
      <c r="G46" s="235"/>
      <c r="H46" s="272" t="str">
        <f>'24THAPRIL'!J46</f>
        <v/>
      </c>
      <c r="I46" s="272">
        <f>'24THAPRIL'!K46</f>
        <v>1</v>
      </c>
      <c r="J46" s="284"/>
      <c r="K46" s="283">
        <v>1.0</v>
      </c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12</v>
      </c>
      <c r="N46" s="191"/>
      <c r="O46" s="247"/>
    </row>
    <row r="47">
      <c r="A47" s="12" t="s">
        <v>20</v>
      </c>
      <c r="B47" s="13" t="s">
        <v>17</v>
      </c>
      <c r="C47" s="271">
        <f>'24THAPRIL'!E47</f>
        <v>15</v>
      </c>
      <c r="D47" s="191"/>
      <c r="E47" s="280">
        <v>9.0</v>
      </c>
      <c r="F47" s="235" t="s">
        <v>17</v>
      </c>
      <c r="G47" s="235"/>
      <c r="H47" s="272" t="str">
        <f>'24THAPRIL'!J47</f>
        <v/>
      </c>
      <c r="I47" s="272">
        <f>'24THAPRIL'!K47</f>
        <v>1</v>
      </c>
      <c r="J47" s="284"/>
      <c r="K47" s="283">
        <v>1.0</v>
      </c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6</v>
      </c>
      <c r="N47" s="191"/>
      <c r="O47" s="247"/>
    </row>
    <row r="48">
      <c r="A48" s="12" t="s">
        <v>21</v>
      </c>
      <c r="B48" s="13" t="s">
        <v>17</v>
      </c>
      <c r="C48" s="271">
        <f>'24THAPRIL'!E48</f>
        <v>3</v>
      </c>
      <c r="D48" s="227">
        <v>7.0</v>
      </c>
      <c r="E48" s="280">
        <v>6.5</v>
      </c>
      <c r="F48" s="235" t="s">
        <v>17</v>
      </c>
      <c r="G48" s="235"/>
      <c r="H48" s="272" t="str">
        <f>'24THAPRIL'!J48</f>
        <v/>
      </c>
      <c r="I48" s="272">
        <f>'24THAPRIL'!K48</f>
        <v>1</v>
      </c>
      <c r="J48" s="284"/>
      <c r="K48" s="283">
        <v>1.0</v>
      </c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3.5</v>
      </c>
      <c r="N48" s="191"/>
      <c r="O48" s="247"/>
    </row>
    <row r="49">
      <c r="A49" s="12" t="s">
        <v>22</v>
      </c>
      <c r="B49" s="13" t="s">
        <v>17</v>
      </c>
      <c r="C49" s="271" t="str">
        <f>'24THAPRIL'!E49</f>
        <v/>
      </c>
      <c r="D49" s="191"/>
      <c r="E49" s="247"/>
      <c r="F49" s="235" t="s">
        <v>17</v>
      </c>
      <c r="G49" s="235"/>
      <c r="H49" s="272" t="str">
        <f>'24THAPRIL'!J49</f>
        <v/>
      </c>
      <c r="I49" s="272">
        <f>'24THAPRIL'!K49</f>
        <v>1</v>
      </c>
      <c r="J49" s="284"/>
      <c r="K49" s="283">
        <v>1.0</v>
      </c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>
        <f>'24THAPRIL'!E50</f>
        <v>1</v>
      </c>
      <c r="D50" s="227"/>
      <c r="E50" s="247"/>
      <c r="F50" s="235" t="s">
        <v>25</v>
      </c>
      <c r="G50" s="235"/>
      <c r="H50" s="272">
        <f>'24THAPRIL'!J50</f>
        <v>0.336</v>
      </c>
      <c r="I50" s="272">
        <f>'24THAPRIL'!K50</f>
        <v>1</v>
      </c>
      <c r="J50" s="282">
        <v>0.229</v>
      </c>
      <c r="K50" s="283">
        <v>1.0</v>
      </c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0.807</v>
      </c>
      <c r="N50" s="191"/>
      <c r="O50" s="247"/>
    </row>
    <row r="51">
      <c r="A51" s="12" t="s">
        <v>27</v>
      </c>
      <c r="B51" s="12" t="s">
        <v>24</v>
      </c>
      <c r="C51" s="271" t="str">
        <f>'24THAPRIL'!E51</f>
        <v/>
      </c>
      <c r="D51" s="191"/>
      <c r="E51" s="247"/>
      <c r="F51" s="235" t="s">
        <v>24</v>
      </c>
      <c r="G51" s="235"/>
      <c r="H51" s="272" t="str">
        <f>'24THAPRIL'!J51</f>
        <v/>
      </c>
      <c r="I51" s="272">
        <f>'24THAPRIL'!K51</f>
        <v>1</v>
      </c>
      <c r="J51" s="284"/>
      <c r="K51" s="283">
        <v>1.0</v>
      </c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71">
        <f>'24THAPRIL'!E52</f>
        <v>1</v>
      </c>
      <c r="D52" s="191"/>
      <c r="E52" s="280">
        <v>1.0</v>
      </c>
      <c r="F52" s="235" t="s">
        <v>14</v>
      </c>
      <c r="G52" s="285"/>
      <c r="H52" s="272" t="str">
        <f>'24THAPRIL'!J52</f>
        <v/>
      </c>
      <c r="I52" s="272">
        <f>'24THAPRIL'!K52</f>
        <v>1</v>
      </c>
      <c r="J52" s="284"/>
      <c r="K52" s="283">
        <v>1.0</v>
      </c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247"/>
    </row>
    <row r="53">
      <c r="A53" s="16" t="s">
        <v>30</v>
      </c>
      <c r="B53" s="12" t="s">
        <v>24</v>
      </c>
      <c r="C53" s="271" t="str">
        <f>'24THAPRIL'!E53</f>
        <v/>
      </c>
      <c r="D53" s="227"/>
      <c r="E53" s="280"/>
      <c r="F53" s="235" t="s">
        <v>35</v>
      </c>
      <c r="G53" s="235"/>
      <c r="H53" s="272">
        <f>'24THAPRIL'!J53</f>
        <v>0.558</v>
      </c>
      <c r="I53" s="272">
        <f>'24THAPRIL'!K53</f>
        <v>1</v>
      </c>
      <c r="J53" s="282">
        <v>0.425</v>
      </c>
      <c r="K53" s="283">
        <v>1.0</v>
      </c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0.133</v>
      </c>
      <c r="N53" s="191"/>
      <c r="O53" s="247"/>
    </row>
    <row r="54">
      <c r="A54" s="12" t="s">
        <v>33</v>
      </c>
      <c r="B54" s="12" t="s">
        <v>34</v>
      </c>
      <c r="C54" s="271" t="str">
        <f>'24THAPRIL'!E54</f>
        <v/>
      </c>
      <c r="D54" s="227">
        <v>1.0</v>
      </c>
      <c r="E54" s="247"/>
      <c r="F54" s="235" t="s">
        <v>35</v>
      </c>
      <c r="G54" s="235"/>
      <c r="H54" s="272">
        <f>'24THAPRIL'!J54</f>
        <v>0.262</v>
      </c>
      <c r="I54" s="272">
        <f>'24THAPRIL'!K54</f>
        <v>1</v>
      </c>
      <c r="J54" s="284"/>
      <c r="K54" s="283">
        <v>1.0</v>
      </c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0.599</v>
      </c>
      <c r="N54" s="191"/>
      <c r="O54" s="247"/>
    </row>
    <row r="55">
      <c r="A55" s="12" t="s">
        <v>37</v>
      </c>
      <c r="B55" s="12" t="s">
        <v>17</v>
      </c>
      <c r="C55" s="271" t="str">
        <f>'24THAPRIL'!E55</f>
        <v/>
      </c>
      <c r="D55" s="191"/>
      <c r="E55" s="247"/>
      <c r="F55" s="235" t="s">
        <v>752</v>
      </c>
      <c r="G55" s="235"/>
      <c r="H55" s="272" t="str">
        <f>'24THAPRIL'!J55</f>
        <v/>
      </c>
      <c r="I55" s="272">
        <f>'24THAPRIL'!K55</f>
        <v>1</v>
      </c>
      <c r="J55" s="284"/>
      <c r="K55" s="283">
        <v>1.0</v>
      </c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71">
        <f>'24THAPRIL'!E56</f>
        <v>2</v>
      </c>
      <c r="D56" s="191"/>
      <c r="E56" s="247"/>
      <c r="F56" s="235" t="s">
        <v>17</v>
      </c>
      <c r="G56" s="235"/>
      <c r="H56" s="272" t="str">
        <f>'24THAPRIL'!J56</f>
        <v/>
      </c>
      <c r="I56" s="272">
        <f>'24THAPRIL'!K56</f>
        <v>1</v>
      </c>
      <c r="J56" s="284"/>
      <c r="K56" s="283">
        <v>1.0</v>
      </c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200</v>
      </c>
      <c r="N56" s="191"/>
      <c r="O56" s="247"/>
    </row>
    <row r="57">
      <c r="A57" s="12" t="s">
        <v>42</v>
      </c>
      <c r="B57" s="12" t="s">
        <v>24</v>
      </c>
      <c r="C57" s="271">
        <f>'24THAPRIL'!E57</f>
        <v>1</v>
      </c>
      <c r="D57" s="191"/>
      <c r="E57" s="280"/>
      <c r="F57" s="235" t="s">
        <v>35</v>
      </c>
      <c r="G57" s="235"/>
      <c r="H57" s="272" t="str">
        <f>'24THAPRIL'!J57</f>
        <v/>
      </c>
      <c r="I57" s="272">
        <f>'24THAPRIL'!K57</f>
        <v>1</v>
      </c>
      <c r="J57" s="282">
        <v>0.355</v>
      </c>
      <c r="K57" s="283">
        <v>1.0</v>
      </c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0.074</v>
      </c>
      <c r="N57" s="191"/>
      <c r="O57" s="247"/>
    </row>
    <row r="58">
      <c r="A58" s="12" t="s">
        <v>44</v>
      </c>
      <c r="B58" s="12" t="s">
        <v>24</v>
      </c>
      <c r="C58" s="271" t="str">
        <f>'24THAPRIL'!E58</f>
        <v/>
      </c>
      <c r="D58" s="191"/>
      <c r="E58" s="247"/>
      <c r="F58" s="235" t="s">
        <v>25</v>
      </c>
      <c r="G58" s="235"/>
      <c r="H58" s="272">
        <f>'24THAPRIL'!J58</f>
        <v>0.635</v>
      </c>
      <c r="I58" s="272">
        <f>'24THAPRIL'!K58</f>
        <v>1</v>
      </c>
      <c r="J58" s="282">
        <v>0.402</v>
      </c>
      <c r="K58" s="283">
        <v>1.0</v>
      </c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0.233</v>
      </c>
      <c r="N58" s="191"/>
      <c r="O58" s="247"/>
    </row>
    <row r="59">
      <c r="A59" s="12" t="s">
        <v>45</v>
      </c>
      <c r="B59" s="12" t="s">
        <v>24</v>
      </c>
      <c r="C59" s="271" t="str">
        <f>'24THAPRIL'!E59</f>
        <v/>
      </c>
      <c r="D59" s="191"/>
      <c r="E59" s="247"/>
      <c r="F59" s="235" t="s">
        <v>25</v>
      </c>
      <c r="G59" s="235"/>
      <c r="H59" s="272">
        <f>'24THAPRIL'!J59</f>
        <v>0.948</v>
      </c>
      <c r="I59" s="272">
        <f>'24THAPRIL'!K59</f>
        <v>1</v>
      </c>
      <c r="J59" s="282">
        <v>0.933</v>
      </c>
      <c r="K59" s="283">
        <v>1.0</v>
      </c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0.015</v>
      </c>
      <c r="N59" s="191"/>
      <c r="O59" s="247"/>
    </row>
    <row r="60">
      <c r="A60" s="17" t="s">
        <v>46</v>
      </c>
      <c r="B60" s="12" t="s">
        <v>47</v>
      </c>
      <c r="C60" s="271" t="str">
        <f>'24THAPRIL'!E60</f>
        <v/>
      </c>
      <c r="D60" s="191"/>
      <c r="E60" s="247"/>
      <c r="F60" s="235" t="s">
        <v>51</v>
      </c>
      <c r="G60" s="235"/>
      <c r="H60" s="272" t="str">
        <f>'24THAPRIL'!J60</f>
        <v/>
      </c>
      <c r="I60" s="272">
        <f>'24THAPRIL'!K60</f>
        <v>1</v>
      </c>
      <c r="J60" s="284"/>
      <c r="K60" s="283">
        <v>1.0</v>
      </c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71" t="str">
        <f>'24THAPRIL'!E61</f>
        <v/>
      </c>
      <c r="D61" s="191"/>
      <c r="E61" s="247"/>
      <c r="F61" s="235" t="s">
        <v>51</v>
      </c>
      <c r="G61" s="235"/>
      <c r="H61" s="272" t="str">
        <f>'24THAPRIL'!J61</f>
        <v/>
      </c>
      <c r="I61" s="272">
        <f>'24THAPRIL'!K61</f>
        <v>1</v>
      </c>
      <c r="J61" s="284"/>
      <c r="K61" s="283">
        <v>1.0</v>
      </c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71" t="str">
        <f>'24THAPRIL'!E62</f>
        <v/>
      </c>
      <c r="D62" s="191"/>
      <c r="E62" s="247"/>
      <c r="F62" s="235" t="s">
        <v>51</v>
      </c>
      <c r="G62" s="235"/>
      <c r="H62" s="272">
        <f>'24THAPRIL'!J62</f>
        <v>0.645</v>
      </c>
      <c r="I62" s="272">
        <f>'24THAPRIL'!K62</f>
        <v>1</v>
      </c>
      <c r="J62" s="282">
        <v>0.637</v>
      </c>
      <c r="K62" s="283">
        <v>1.0</v>
      </c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0.008</v>
      </c>
      <c r="N62" s="191"/>
      <c r="O62" s="247"/>
    </row>
    <row r="63">
      <c r="A63" s="12" t="s">
        <v>53</v>
      </c>
      <c r="B63" s="12" t="s">
        <v>35</v>
      </c>
      <c r="C63" s="271" t="str">
        <f>'24THAPRIL'!E63</f>
        <v/>
      </c>
      <c r="D63" s="191"/>
      <c r="E63" s="247"/>
      <c r="F63" s="235" t="s">
        <v>35</v>
      </c>
      <c r="G63" s="235"/>
      <c r="H63" s="272">
        <f>'24THAPRIL'!J63</f>
        <v>0.853</v>
      </c>
      <c r="I63" s="272">
        <f>'24THAPRIL'!K63</f>
        <v>1</v>
      </c>
      <c r="J63" s="282">
        <v>0.215</v>
      </c>
      <c r="K63" s="283">
        <v>1.0</v>
      </c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0.638</v>
      </c>
      <c r="N63" s="191"/>
      <c r="O63" s="247"/>
    </row>
    <row r="64">
      <c r="A64" s="11" t="s">
        <v>55</v>
      </c>
      <c r="B64" s="11" t="s">
        <v>56</v>
      </c>
      <c r="C64" s="271" t="str">
        <f>'24THAPRIL'!E64</f>
        <v/>
      </c>
      <c r="D64" s="227">
        <v>1.0</v>
      </c>
      <c r="E64" s="280"/>
      <c r="F64" s="235" t="s">
        <v>14</v>
      </c>
      <c r="G64" s="235"/>
      <c r="H64" s="272" t="str">
        <f>'24THAPRIL'!J64</f>
        <v/>
      </c>
      <c r="I64" s="272">
        <f>'24THAPRIL'!K64</f>
        <v>1</v>
      </c>
      <c r="J64" s="282">
        <v>4.192</v>
      </c>
      <c r="K64" s="283">
        <v>1.0</v>
      </c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1.108</v>
      </c>
      <c r="N64" s="191"/>
      <c r="O64" s="247"/>
    </row>
    <row r="65">
      <c r="A65" s="10" t="s">
        <v>57</v>
      </c>
      <c r="B65" s="11"/>
      <c r="C65" s="271" t="str">
        <f>'24THAPRIL'!E65</f>
        <v/>
      </c>
      <c r="D65" s="191"/>
      <c r="E65" s="247"/>
      <c r="F65" s="235"/>
      <c r="G65" s="235"/>
      <c r="H65" s="272" t="str">
        <f>'24THAPRIL'!J65</f>
        <v/>
      </c>
      <c r="I65" s="272">
        <f>'24THAPRIL'!K65</f>
        <v>1</v>
      </c>
      <c r="J65" s="284"/>
      <c r="K65" s="283">
        <v>1.0</v>
      </c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f>'24THAPRIL'!E66</f>
        <v>3</v>
      </c>
      <c r="D66" s="227">
        <v>3.0</v>
      </c>
      <c r="E66" s="280"/>
      <c r="F66" s="235" t="s">
        <v>35</v>
      </c>
      <c r="G66" s="235"/>
      <c r="H66" s="272">
        <f>'24THAPRIL'!J66</f>
        <v>1.495</v>
      </c>
      <c r="I66" s="272">
        <f>'24THAPRIL'!K66</f>
        <v>1</v>
      </c>
      <c r="J66" s="282">
        <v>1.159</v>
      </c>
      <c r="K66" s="283">
        <v>1.0</v>
      </c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12.336</v>
      </c>
      <c r="N66" s="191"/>
      <c r="O66" s="247"/>
    </row>
    <row r="67">
      <c r="A67" s="12" t="s">
        <v>61</v>
      </c>
      <c r="B67" s="12" t="s">
        <v>59</v>
      </c>
      <c r="C67" s="271">
        <f>'24THAPRIL'!E67</f>
        <v>1</v>
      </c>
      <c r="D67" s="191"/>
      <c r="E67" s="247"/>
      <c r="F67" s="235" t="s">
        <v>35</v>
      </c>
      <c r="G67" s="235"/>
      <c r="H67" s="272">
        <f>'24THAPRIL'!J67</f>
        <v>0.043</v>
      </c>
      <c r="I67" s="272">
        <f>'24THAPRIL'!K67</f>
        <v>1</v>
      </c>
      <c r="J67" s="282">
        <v>0.02</v>
      </c>
      <c r="K67" s="283">
        <v>1.0</v>
      </c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0.123</v>
      </c>
      <c r="N67" s="191"/>
      <c r="O67" s="247"/>
    </row>
    <row r="68">
      <c r="A68" s="12" t="s">
        <v>62</v>
      </c>
      <c r="B68" s="12" t="s">
        <v>35</v>
      </c>
      <c r="C68" s="271">
        <f>'24THAPRIL'!E68</f>
        <v>3</v>
      </c>
      <c r="D68" s="227">
        <v>10.0</v>
      </c>
      <c r="E68" s="280"/>
      <c r="F68" s="235" t="s">
        <v>35</v>
      </c>
      <c r="G68" s="235"/>
      <c r="H68" s="272" t="str">
        <f>'24THAPRIL'!J68</f>
        <v/>
      </c>
      <c r="I68" s="272">
        <f>'24THAPRIL'!K68</f>
        <v>1</v>
      </c>
      <c r="J68" s="282">
        <v>3.6</v>
      </c>
      <c r="K68" s="283">
        <v>1.0</v>
      </c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9.5</v>
      </c>
      <c r="N68" s="191"/>
      <c r="O68" s="247"/>
    </row>
    <row r="69">
      <c r="A69" s="12" t="s">
        <v>64</v>
      </c>
      <c r="B69" s="12" t="s">
        <v>59</v>
      </c>
      <c r="C69" s="271">
        <f>'24THAPRIL'!E69</f>
        <v>1</v>
      </c>
      <c r="D69" s="227"/>
      <c r="E69" s="247"/>
      <c r="F69" s="235" t="s">
        <v>35</v>
      </c>
      <c r="G69" s="235"/>
      <c r="H69" s="272" t="str">
        <f>'24THAPRIL'!J69</f>
        <v/>
      </c>
      <c r="I69" s="272">
        <f>'24THAPRIL'!K69</f>
        <v>1</v>
      </c>
      <c r="J69" s="282">
        <v>0.333</v>
      </c>
      <c r="K69" s="283">
        <v>1.0</v>
      </c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0.117</v>
      </c>
      <c r="N69" s="191"/>
      <c r="O69" s="247"/>
    </row>
    <row r="70">
      <c r="A70" s="10" t="s">
        <v>65</v>
      </c>
      <c r="B70" s="11"/>
      <c r="C70" s="271" t="str">
        <f>'24THAPRIL'!E70</f>
        <v/>
      </c>
      <c r="D70" s="191"/>
      <c r="E70" s="247"/>
      <c r="F70" s="235"/>
      <c r="G70" s="235"/>
      <c r="H70" s="272" t="str">
        <f>'24THAPRIL'!J70</f>
        <v/>
      </c>
      <c r="I70" s="272">
        <f>'24THAPRIL'!K70</f>
        <v>1</v>
      </c>
      <c r="J70" s="284"/>
      <c r="K70" s="283">
        <v>1.0</v>
      </c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71" t="str">
        <f>'24THAPRIL'!E71</f>
        <v/>
      </c>
      <c r="D71" s="191"/>
      <c r="E71" s="247"/>
      <c r="F71" s="235" t="s">
        <v>25</v>
      </c>
      <c r="G71" s="285">
        <v>17.5</v>
      </c>
      <c r="H71" s="272" t="str">
        <f>'24THAPRIL'!J71</f>
        <v/>
      </c>
      <c r="I71" s="272">
        <f>'24THAPRIL'!K71</f>
        <v>1</v>
      </c>
      <c r="J71" s="282"/>
      <c r="K71" s="283">
        <v>1.0</v>
      </c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17.5</v>
      </c>
      <c r="N71" s="191"/>
      <c r="O71" s="247"/>
    </row>
    <row r="72">
      <c r="A72" s="12" t="s">
        <v>68</v>
      </c>
      <c r="B72" s="12" t="s">
        <v>35</v>
      </c>
      <c r="C72" s="271" t="str">
        <f>'24THAPRIL'!E72</f>
        <v/>
      </c>
      <c r="D72" s="227">
        <v>1.2</v>
      </c>
      <c r="E72" s="247"/>
      <c r="F72" s="235" t="s">
        <v>35</v>
      </c>
      <c r="G72" s="285">
        <v>0.5</v>
      </c>
      <c r="H72" s="272" t="str">
        <f>'24THAPRIL'!J72</f>
        <v/>
      </c>
      <c r="I72" s="272">
        <f>'24THAPRIL'!K72</f>
        <v>1</v>
      </c>
      <c r="J72" s="284"/>
      <c r="K72" s="283">
        <v>1.0</v>
      </c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1.7</v>
      </c>
      <c r="N72" s="191"/>
      <c r="O72" s="247"/>
    </row>
    <row r="73">
      <c r="A73" s="12" t="s">
        <v>70</v>
      </c>
      <c r="B73" s="12" t="s">
        <v>35</v>
      </c>
      <c r="C73" s="271" t="str">
        <f>'24THAPRIL'!E73</f>
        <v/>
      </c>
      <c r="D73" s="191"/>
      <c r="E73" s="247"/>
      <c r="F73" s="235" t="s">
        <v>35</v>
      </c>
      <c r="G73" s="235"/>
      <c r="H73" s="272" t="str">
        <f>'24THAPRIL'!J73</f>
        <v/>
      </c>
      <c r="I73" s="272">
        <f>'24THAPRIL'!K73</f>
        <v>1</v>
      </c>
      <c r="J73" s="284"/>
      <c r="K73" s="283">
        <v>1.0</v>
      </c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71" t="str">
        <f>'24THAPRIL'!E74</f>
        <v/>
      </c>
      <c r="D74" s="227">
        <v>1.0</v>
      </c>
      <c r="E74" s="247"/>
      <c r="F74" s="235" t="s">
        <v>25</v>
      </c>
      <c r="G74" s="235"/>
      <c r="H74" s="272">
        <f>'24THAPRIL'!J74</f>
        <v>0.76</v>
      </c>
      <c r="I74" s="272">
        <f>'24THAPRIL'!K74</f>
        <v>1</v>
      </c>
      <c r="J74" s="282">
        <v>0.956</v>
      </c>
      <c r="K74" s="283">
        <v>1.0</v>
      </c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0.804</v>
      </c>
      <c r="N74" s="191"/>
      <c r="O74" s="247"/>
    </row>
    <row r="75">
      <c r="A75" s="12" t="s">
        <v>74</v>
      </c>
      <c r="B75" s="12" t="s">
        <v>17</v>
      </c>
      <c r="C75" s="271" t="str">
        <f>'24THAPRIL'!E75</f>
        <v/>
      </c>
      <c r="D75" s="191"/>
      <c r="E75" s="247"/>
      <c r="F75" s="235" t="s">
        <v>25</v>
      </c>
      <c r="G75" s="235"/>
      <c r="H75" s="272">
        <f>'24THAPRIL'!J75</f>
        <v>0.667</v>
      </c>
      <c r="I75" s="272">
        <f>'24THAPRIL'!K75</f>
        <v>1</v>
      </c>
      <c r="J75" s="282">
        <v>0.645</v>
      </c>
      <c r="K75" s="283">
        <v>1.0</v>
      </c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0.022</v>
      </c>
      <c r="N75" s="191"/>
      <c r="O75" s="247"/>
    </row>
    <row r="76">
      <c r="A76" s="12" t="s">
        <v>76</v>
      </c>
      <c r="B76" s="12" t="s">
        <v>72</v>
      </c>
      <c r="C76" s="271" t="str">
        <f>'24THAPRIL'!E76</f>
        <v/>
      </c>
      <c r="D76" s="227">
        <v>1.0</v>
      </c>
      <c r="E76" s="280">
        <v>1.0</v>
      </c>
      <c r="F76" s="235" t="s">
        <v>35</v>
      </c>
      <c r="G76" s="235"/>
      <c r="H76" s="272" t="str">
        <f>'24THAPRIL'!J76</f>
        <v/>
      </c>
      <c r="I76" s="272">
        <f>'24THAPRIL'!K76</f>
        <v>1</v>
      </c>
      <c r="J76" s="284"/>
      <c r="K76" s="283">
        <v>1.0</v>
      </c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71" t="str">
        <f>'24THAPRIL'!E77</f>
        <v/>
      </c>
      <c r="D77" s="191"/>
      <c r="E77" s="247"/>
      <c r="F77" s="235" t="s">
        <v>25</v>
      </c>
      <c r="G77" s="235"/>
      <c r="H77" s="272">
        <f>'24THAPRIL'!J77</f>
        <v>2.424</v>
      </c>
      <c r="I77" s="272">
        <f>'24THAPRIL'!K77</f>
        <v>1</v>
      </c>
      <c r="J77" s="282">
        <v>1.821</v>
      </c>
      <c r="K77" s="283">
        <v>1.0</v>
      </c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0.603</v>
      </c>
      <c r="N77" s="191"/>
      <c r="O77" s="247"/>
    </row>
    <row r="78">
      <c r="A78" s="12" t="s">
        <v>80</v>
      </c>
      <c r="B78" s="12" t="s">
        <v>56</v>
      </c>
      <c r="C78" s="271" t="str">
        <f>'24THAPRIL'!E78</f>
        <v/>
      </c>
      <c r="D78" s="191"/>
      <c r="E78" s="247"/>
      <c r="F78" s="235" t="s">
        <v>35</v>
      </c>
      <c r="G78" s="235"/>
      <c r="H78" s="272" t="str">
        <f>'24THAPRIL'!J78</f>
        <v/>
      </c>
      <c r="I78" s="272">
        <f>'24THAPRIL'!K78</f>
        <v>1</v>
      </c>
      <c r="J78" s="284"/>
      <c r="K78" s="283">
        <v>1.0</v>
      </c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71" t="str">
        <f>'24THAPRIL'!E79</f>
        <v/>
      </c>
      <c r="D79" s="191"/>
      <c r="E79" s="247"/>
      <c r="F79" s="235" t="s">
        <v>35</v>
      </c>
      <c r="G79" s="235"/>
      <c r="H79" s="272">
        <f>'24THAPRIL'!J79</f>
        <v>0.312</v>
      </c>
      <c r="I79" s="272">
        <f>'24THAPRIL'!K79</f>
        <v>1</v>
      </c>
      <c r="J79" s="282"/>
      <c r="K79" s="283">
        <v>1.0</v>
      </c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0.132</v>
      </c>
      <c r="N79" s="191"/>
      <c r="O79" s="247"/>
    </row>
    <row r="80">
      <c r="A80" s="10" t="s">
        <v>85</v>
      </c>
      <c r="B80" s="11"/>
      <c r="C80" s="271" t="str">
        <f>'24THAPRIL'!E80</f>
        <v/>
      </c>
      <c r="D80" s="191"/>
      <c r="E80" s="247"/>
      <c r="F80" s="235"/>
      <c r="G80" s="235"/>
      <c r="H80" s="272" t="str">
        <f>'24THAPRIL'!J80</f>
        <v/>
      </c>
      <c r="I80" s="272">
        <f>'24THAPRIL'!K80</f>
        <v>1</v>
      </c>
      <c r="J80" s="284"/>
      <c r="K80" s="283">
        <v>1.0</v>
      </c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 t="str">
        <f>'24THAPRIL'!E81</f>
        <v/>
      </c>
      <c r="D81" s="227">
        <v>2.0</v>
      </c>
      <c r="E81" s="247"/>
      <c r="F81" s="235" t="s">
        <v>25</v>
      </c>
      <c r="G81" s="235"/>
      <c r="H81" s="272">
        <f>'24THAPRIL'!J81</f>
        <v>0.487</v>
      </c>
      <c r="I81" s="272">
        <f>'24THAPRIL'!K81</f>
        <v>1</v>
      </c>
      <c r="J81" s="282"/>
      <c r="K81" s="283">
        <v>1.0</v>
      </c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1.075</v>
      </c>
      <c r="N81" s="191"/>
      <c r="O81" s="247"/>
    </row>
    <row r="82">
      <c r="A82" s="12" t="s">
        <v>87</v>
      </c>
      <c r="B82" s="12" t="s">
        <v>83</v>
      </c>
      <c r="C82" s="271" t="str">
        <f>'24THAPRIL'!E82</f>
        <v/>
      </c>
      <c r="D82" s="227"/>
      <c r="E82" s="280"/>
      <c r="F82" s="235" t="s">
        <v>25</v>
      </c>
      <c r="G82" s="235"/>
      <c r="H82" s="272">
        <f>'24THAPRIL'!J82</f>
        <v>0.861</v>
      </c>
      <c r="I82" s="272">
        <f>'24THAPRIL'!K82</f>
        <v>1</v>
      </c>
      <c r="J82" s="282">
        <v>0.442</v>
      </c>
      <c r="K82" s="283">
        <v>1.0</v>
      </c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0.419</v>
      </c>
      <c r="N82" s="191"/>
      <c r="O82" s="247"/>
    </row>
    <row r="83">
      <c r="A83" s="12" t="s">
        <v>88</v>
      </c>
      <c r="B83" s="12" t="s">
        <v>83</v>
      </c>
      <c r="C83" s="271" t="str">
        <f>'24THAPRIL'!E83</f>
        <v/>
      </c>
      <c r="D83" s="227">
        <v>1.0</v>
      </c>
      <c r="E83" s="247"/>
      <c r="F83" s="235" t="s">
        <v>25</v>
      </c>
      <c r="G83" s="235"/>
      <c r="H83" s="272">
        <f>'24THAPRIL'!J83</f>
        <v>0.562</v>
      </c>
      <c r="I83" s="272">
        <f>'24THAPRIL'!K83</f>
        <v>1</v>
      </c>
      <c r="J83" s="282">
        <v>0.826</v>
      </c>
      <c r="K83" s="283">
        <v>1.0</v>
      </c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0.546</v>
      </c>
      <c r="N83" s="191"/>
      <c r="O83" s="247"/>
    </row>
    <row r="84">
      <c r="A84" s="12" t="s">
        <v>89</v>
      </c>
      <c r="B84" s="12" t="s">
        <v>83</v>
      </c>
      <c r="C84" s="271" t="str">
        <f>'24THAPRIL'!E84</f>
        <v/>
      </c>
      <c r="D84" s="227">
        <v>1.0</v>
      </c>
      <c r="E84" s="280"/>
      <c r="F84" s="235" t="s">
        <v>25</v>
      </c>
      <c r="G84" s="235"/>
      <c r="H84" s="272">
        <f>'24THAPRIL'!J84</f>
        <v>0.701</v>
      </c>
      <c r="I84" s="272">
        <f>'24THAPRIL'!K84</f>
        <v>1</v>
      </c>
      <c r="J84" s="282">
        <v>0.501</v>
      </c>
      <c r="K84" s="283">
        <v>1.0</v>
      </c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0.71</v>
      </c>
      <c r="N84" s="191"/>
      <c r="O84" s="247"/>
    </row>
    <row r="85">
      <c r="A85" s="12" t="s">
        <v>90</v>
      </c>
      <c r="B85" s="12" t="s">
        <v>24</v>
      </c>
      <c r="C85" s="271" t="str">
        <f>'24THAPRIL'!E85</f>
        <v/>
      </c>
      <c r="D85" s="191"/>
      <c r="E85" s="280"/>
      <c r="F85" s="235" t="s">
        <v>25</v>
      </c>
      <c r="G85" s="235"/>
      <c r="H85" s="272">
        <f>'24THAPRIL'!J85</f>
        <v>0.289</v>
      </c>
      <c r="I85" s="272">
        <f>'24THAPRIL'!K85</f>
        <v>1</v>
      </c>
      <c r="J85" s="282">
        <v>0.227</v>
      </c>
      <c r="K85" s="283">
        <v>1.0</v>
      </c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0.062</v>
      </c>
      <c r="N85" s="191"/>
      <c r="O85" s="247"/>
    </row>
    <row r="86">
      <c r="A86" s="12" t="s">
        <v>91</v>
      </c>
      <c r="B86" s="12" t="s">
        <v>56</v>
      </c>
      <c r="C86" s="271" t="str">
        <f>'24THAPRIL'!E86</f>
        <v/>
      </c>
      <c r="D86" s="227"/>
      <c r="E86" s="280"/>
      <c r="F86" s="235" t="s">
        <v>25</v>
      </c>
      <c r="G86" s="235"/>
      <c r="H86" s="272">
        <f>'24THAPRIL'!J86</f>
        <v>4.8</v>
      </c>
      <c r="I86" s="272">
        <f>'24THAPRIL'!K86</f>
        <v>1</v>
      </c>
      <c r="J86" s="282">
        <v>3.247</v>
      </c>
      <c r="K86" s="283">
        <v>1.0</v>
      </c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1.553</v>
      </c>
      <c r="N86" s="191"/>
      <c r="O86" s="247"/>
    </row>
    <row r="87">
      <c r="A87" s="12" t="s">
        <v>92</v>
      </c>
      <c r="B87" s="12" t="s">
        <v>83</v>
      </c>
      <c r="C87" s="271" t="str">
        <f>'24THAPRIL'!E87</f>
        <v/>
      </c>
      <c r="D87" s="227">
        <v>1.0</v>
      </c>
      <c r="E87" s="247"/>
      <c r="F87" s="235" t="s">
        <v>25</v>
      </c>
      <c r="G87" s="235"/>
      <c r="H87" s="272" t="str">
        <f>'24THAPRIL'!J87</f>
        <v/>
      </c>
      <c r="I87" s="272">
        <f>'24THAPRIL'!K87</f>
        <v>1</v>
      </c>
      <c r="J87" s="282">
        <f>1.078-0.7</f>
        <v>0.378</v>
      </c>
      <c r="K87" s="283">
        <v>1.0</v>
      </c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1.072</v>
      </c>
      <c r="N87" s="191"/>
      <c r="O87" s="247"/>
    </row>
    <row r="88">
      <c r="A88" s="12" t="s">
        <v>93</v>
      </c>
      <c r="B88" s="12" t="s">
        <v>83</v>
      </c>
      <c r="C88" s="271" t="str">
        <f>'24THAPRIL'!E88</f>
        <v/>
      </c>
      <c r="D88" s="191"/>
      <c r="E88" s="247"/>
      <c r="F88" s="235" t="s">
        <v>25</v>
      </c>
      <c r="G88" s="235"/>
      <c r="H88" s="272">
        <f>'24THAPRIL'!J88</f>
        <v>0.857</v>
      </c>
      <c r="I88" s="272">
        <f>'24THAPRIL'!K88</f>
        <v>1</v>
      </c>
      <c r="J88" s="282">
        <v>0.856</v>
      </c>
      <c r="K88" s="283">
        <v>1.0</v>
      </c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0.001</v>
      </c>
      <c r="N88" s="191"/>
      <c r="O88" s="247"/>
    </row>
    <row r="89">
      <c r="A89" s="12" t="s">
        <v>95</v>
      </c>
      <c r="B89" s="12" t="s">
        <v>83</v>
      </c>
      <c r="C89" s="271" t="str">
        <f>'24THAPRIL'!E89</f>
        <v/>
      </c>
      <c r="D89" s="191"/>
      <c r="E89" s="247"/>
      <c r="F89" s="235" t="s">
        <v>25</v>
      </c>
      <c r="G89" s="235"/>
      <c r="H89" s="272" t="str">
        <f>'24THAPRIL'!J89</f>
        <v/>
      </c>
      <c r="I89" s="272">
        <f>'24THAPRIL'!K89</f>
        <v>1</v>
      </c>
      <c r="J89" s="284"/>
      <c r="K89" s="283">
        <v>1.0</v>
      </c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</v>
      </c>
      <c r="N89" s="191"/>
      <c r="O89" s="247"/>
    </row>
    <row r="90">
      <c r="A90" s="10" t="s">
        <v>96</v>
      </c>
      <c r="B90" s="11"/>
      <c r="C90" s="271" t="str">
        <f>'24THAPRIL'!E90</f>
        <v/>
      </c>
      <c r="D90" s="191"/>
      <c r="E90" s="247"/>
      <c r="F90" s="235"/>
      <c r="G90" s="235"/>
      <c r="H90" s="272" t="str">
        <f>'24THAPRIL'!J90</f>
        <v/>
      </c>
      <c r="I90" s="272">
        <f>'24THAPRIL'!K90</f>
        <v>1</v>
      </c>
      <c r="J90" s="284"/>
      <c r="K90" s="283">
        <v>1.0</v>
      </c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71" t="str">
        <f>'24THAPRIL'!E91</f>
        <v/>
      </c>
      <c r="D91" s="191"/>
      <c r="E91" s="247"/>
      <c r="F91" s="235" t="s">
        <v>35</v>
      </c>
      <c r="G91" s="235"/>
      <c r="H91" s="272" t="str">
        <f>'24THAPRIL'!J91</f>
        <v/>
      </c>
      <c r="I91" s="272">
        <f>'24THAPRIL'!K91</f>
        <v>1</v>
      </c>
      <c r="J91" s="284"/>
      <c r="K91" s="283">
        <v>1.0</v>
      </c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71" t="str">
        <f>'24THAPRIL'!E92</f>
        <v/>
      </c>
      <c r="D92" s="191"/>
      <c r="E92" s="247"/>
      <c r="F92" s="235" t="s">
        <v>35</v>
      </c>
      <c r="G92" s="235"/>
      <c r="H92" s="272">
        <f>'24THAPRIL'!J92</f>
        <v>0.61</v>
      </c>
      <c r="I92" s="272">
        <f>'24THAPRIL'!K92</f>
        <v>1</v>
      </c>
      <c r="J92" s="282">
        <v>0.51</v>
      </c>
      <c r="K92" s="283">
        <v>1.0</v>
      </c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0.1</v>
      </c>
      <c r="N92" s="191"/>
      <c r="O92" s="247"/>
    </row>
    <row r="93">
      <c r="A93" s="12" t="s">
        <v>100</v>
      </c>
      <c r="B93" s="12" t="s">
        <v>40</v>
      </c>
      <c r="C93" s="271" t="str">
        <f>'24THAPRIL'!E93</f>
        <v/>
      </c>
      <c r="D93" s="191"/>
      <c r="E93" s="247"/>
      <c r="F93" s="235" t="s">
        <v>35</v>
      </c>
      <c r="G93" s="235"/>
      <c r="H93" s="272">
        <f>'24THAPRIL'!J93</f>
        <v>0.12</v>
      </c>
      <c r="I93" s="272">
        <f>'24THAPRIL'!K93</f>
        <v>1</v>
      </c>
      <c r="J93" s="282">
        <v>0.084</v>
      </c>
      <c r="K93" s="283">
        <v>1.0</v>
      </c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0.036</v>
      </c>
      <c r="N93" s="191"/>
      <c r="O93" s="247"/>
    </row>
    <row r="94">
      <c r="A94" s="12" t="s">
        <v>101</v>
      </c>
      <c r="B94" s="12" t="s">
        <v>40</v>
      </c>
      <c r="C94" s="271" t="str">
        <f>'24THAPRIL'!E94</f>
        <v/>
      </c>
      <c r="D94" s="191"/>
      <c r="E94" s="247"/>
      <c r="F94" s="235" t="s">
        <v>35</v>
      </c>
      <c r="G94" s="235"/>
      <c r="H94" s="272" t="str">
        <f>'24THAPRIL'!J94</f>
        <v/>
      </c>
      <c r="I94" s="272">
        <f>'24THAPRIL'!K94</f>
        <v>1</v>
      </c>
      <c r="J94" s="284"/>
      <c r="K94" s="283">
        <v>1.0</v>
      </c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247"/>
    </row>
    <row r="95">
      <c r="A95" s="12" t="s">
        <v>102</v>
      </c>
      <c r="B95" s="12" t="s">
        <v>40</v>
      </c>
      <c r="C95" s="271" t="str">
        <f>'24THAPRIL'!E95</f>
        <v/>
      </c>
      <c r="D95" s="191"/>
      <c r="E95" s="247"/>
      <c r="F95" s="235" t="s">
        <v>35</v>
      </c>
      <c r="G95" s="235"/>
      <c r="H95" s="272">
        <f>'24THAPRIL'!J95</f>
        <v>0.258</v>
      </c>
      <c r="I95" s="272">
        <f>'24THAPRIL'!K95</f>
        <v>1</v>
      </c>
      <c r="J95" s="282">
        <v>0.243</v>
      </c>
      <c r="K95" s="283">
        <v>1.0</v>
      </c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0.015</v>
      </c>
      <c r="N95" s="191"/>
      <c r="O95" s="247"/>
    </row>
    <row r="96">
      <c r="A96" s="12" t="s">
        <v>103</v>
      </c>
      <c r="B96" s="12" t="s">
        <v>40</v>
      </c>
      <c r="C96" s="271" t="str">
        <f>'24THAPRIL'!E96</f>
        <v/>
      </c>
      <c r="D96" s="191"/>
      <c r="E96" s="247"/>
      <c r="F96" s="235" t="s">
        <v>35</v>
      </c>
      <c r="G96" s="235"/>
      <c r="H96" s="272">
        <f>'24THAPRIL'!J96</f>
        <v>0.5</v>
      </c>
      <c r="I96" s="272">
        <f>'24THAPRIL'!K96</f>
        <v>1</v>
      </c>
      <c r="J96" s="282">
        <v>0.5</v>
      </c>
      <c r="K96" s="283">
        <v>1.0</v>
      </c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71">
        <f>'24THAPRIL'!E97</f>
        <v>1</v>
      </c>
      <c r="D97" s="191"/>
      <c r="E97" s="247"/>
      <c r="F97" s="235" t="s">
        <v>35</v>
      </c>
      <c r="G97" s="235"/>
      <c r="H97" s="272" t="str">
        <f>'24THAPRIL'!J97</f>
        <v/>
      </c>
      <c r="I97" s="272">
        <f>'24THAPRIL'!K97</f>
        <v>1</v>
      </c>
      <c r="J97" s="282">
        <v>0.442</v>
      </c>
      <c r="K97" s="283">
        <v>1.0</v>
      </c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0.075</v>
      </c>
      <c r="N97" s="191"/>
      <c r="O97" s="247"/>
    </row>
    <row r="98">
      <c r="A98" s="12" t="s">
        <v>105</v>
      </c>
      <c r="B98" s="12" t="s">
        <v>106</v>
      </c>
      <c r="C98" s="271" t="str">
        <f>'24THAPRIL'!E98</f>
        <v/>
      </c>
      <c r="D98" s="191"/>
      <c r="E98" s="247"/>
      <c r="F98" s="235" t="s">
        <v>35</v>
      </c>
      <c r="G98" s="235"/>
      <c r="H98" s="272">
        <f>'24THAPRIL'!J98</f>
        <v>0.431</v>
      </c>
      <c r="I98" s="272">
        <f>'24THAPRIL'!K98</f>
        <v>1</v>
      </c>
      <c r="J98" s="282">
        <v>0.347</v>
      </c>
      <c r="K98" s="283">
        <v>1.0</v>
      </c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0.084</v>
      </c>
      <c r="N98" s="191"/>
      <c r="O98" s="247"/>
    </row>
    <row r="99">
      <c r="A99" s="12" t="s">
        <v>108</v>
      </c>
      <c r="B99" s="12" t="s">
        <v>40</v>
      </c>
      <c r="C99" s="271" t="str">
        <f>'24THAPRIL'!E99</f>
        <v/>
      </c>
      <c r="D99" s="227">
        <v>1.0</v>
      </c>
      <c r="E99" s="247"/>
      <c r="F99" s="235" t="s">
        <v>35</v>
      </c>
      <c r="G99" s="235"/>
      <c r="H99" s="272" t="str">
        <f>'24THAPRIL'!J99</f>
        <v/>
      </c>
      <c r="I99" s="272">
        <f>'24THAPRIL'!K99</f>
        <v>1</v>
      </c>
      <c r="J99" s="284"/>
      <c r="K99" s="283">
        <v>1.0</v>
      </c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1</v>
      </c>
      <c r="N99" s="191"/>
      <c r="O99" s="247"/>
    </row>
    <row r="100">
      <c r="A100" s="12" t="s">
        <v>109</v>
      </c>
      <c r="B100" s="12" t="s">
        <v>40</v>
      </c>
      <c r="C100" s="271" t="str">
        <f>'24THAPRIL'!E100</f>
        <v/>
      </c>
      <c r="D100" s="227">
        <v>1.0</v>
      </c>
      <c r="E100" s="247"/>
      <c r="F100" s="235" t="s">
        <v>35</v>
      </c>
      <c r="G100" s="235"/>
      <c r="H100" s="272">
        <f>'24THAPRIL'!J100</f>
        <v>0.056</v>
      </c>
      <c r="I100" s="272">
        <f>'24THAPRIL'!K100</f>
        <v>1</v>
      </c>
      <c r="J100" s="282">
        <v>0.527</v>
      </c>
      <c r="K100" s="283">
        <v>1.0</v>
      </c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0.529</v>
      </c>
      <c r="N100" s="191"/>
      <c r="O100" s="247"/>
    </row>
    <row r="101">
      <c r="A101" s="12" t="s">
        <v>110</v>
      </c>
      <c r="B101" s="12" t="s">
        <v>40</v>
      </c>
      <c r="C101" s="271" t="str">
        <f>'24THAPRIL'!E101</f>
        <v/>
      </c>
      <c r="D101" s="191"/>
      <c r="E101" s="247"/>
      <c r="F101" s="235" t="s">
        <v>35</v>
      </c>
      <c r="G101" s="235"/>
      <c r="H101" s="272">
        <f>'24THAPRIL'!J101</f>
        <v>0.403</v>
      </c>
      <c r="I101" s="272">
        <f>'24THAPRIL'!K101</f>
        <v>1</v>
      </c>
      <c r="J101" s="282">
        <v>0.358</v>
      </c>
      <c r="K101" s="283">
        <v>1.0</v>
      </c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0.045</v>
      </c>
      <c r="N101" s="191"/>
      <c r="O101" s="247"/>
    </row>
    <row r="102">
      <c r="A102" s="12" t="s">
        <v>111</v>
      </c>
      <c r="B102" s="12" t="s">
        <v>40</v>
      </c>
      <c r="C102" s="271" t="str">
        <f>'24THAPRIL'!E102</f>
        <v/>
      </c>
      <c r="D102" s="191"/>
      <c r="E102" s="247"/>
      <c r="F102" s="235" t="s">
        <v>35</v>
      </c>
      <c r="G102" s="235"/>
      <c r="H102" s="272" t="str">
        <f>'24THAPRIL'!J102</f>
        <v/>
      </c>
      <c r="I102" s="272">
        <f>'24THAPRIL'!K102</f>
        <v>1</v>
      </c>
      <c r="J102" s="284"/>
      <c r="K102" s="283">
        <v>1.0</v>
      </c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71" t="str">
        <f>'24THAPRIL'!E103</f>
        <v/>
      </c>
      <c r="D103" s="227">
        <v>1.0</v>
      </c>
      <c r="E103" s="280">
        <v>1.0</v>
      </c>
      <c r="F103" s="235" t="s">
        <v>35</v>
      </c>
      <c r="G103" s="235"/>
      <c r="H103" s="272">
        <f>'24THAPRIL'!J103</f>
        <v>0.097</v>
      </c>
      <c r="I103" s="272">
        <f>'24THAPRIL'!K103</f>
        <v>1</v>
      </c>
      <c r="J103" s="282"/>
      <c r="K103" s="283">
        <v>1.0</v>
      </c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0.084</v>
      </c>
      <c r="N103" s="191"/>
      <c r="O103" s="247"/>
    </row>
    <row r="104">
      <c r="A104" s="12" t="s">
        <v>114</v>
      </c>
      <c r="B104" s="12" t="s">
        <v>40</v>
      </c>
      <c r="C104" s="271" t="str">
        <f>'24THAPRIL'!E104</f>
        <v/>
      </c>
      <c r="D104" s="227">
        <v>1.0</v>
      </c>
      <c r="E104" s="247"/>
      <c r="F104" s="235" t="s">
        <v>35</v>
      </c>
      <c r="G104" s="285"/>
      <c r="H104" s="272" t="str">
        <f>'24THAPRIL'!J104</f>
        <v/>
      </c>
      <c r="I104" s="272">
        <f>'24THAPRIL'!K104</f>
        <v>1</v>
      </c>
      <c r="J104" s="282">
        <v>0.5</v>
      </c>
      <c r="K104" s="283">
        <v>1.0</v>
      </c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0.013</v>
      </c>
      <c r="N104" s="191"/>
      <c r="O104" s="247"/>
    </row>
    <row r="105">
      <c r="A105" s="12" t="s">
        <v>116</v>
      </c>
      <c r="B105" s="12" t="s">
        <v>40</v>
      </c>
      <c r="C105" s="271" t="str">
        <f>'24THAPRIL'!E105</f>
        <v/>
      </c>
      <c r="D105" s="191"/>
      <c r="E105" s="247"/>
      <c r="F105" s="235" t="s">
        <v>35</v>
      </c>
      <c r="G105" s="235"/>
      <c r="H105" s="272" t="str">
        <f>'24THAPRIL'!J105</f>
        <v/>
      </c>
      <c r="I105" s="272">
        <f>'24THAPRIL'!K105</f>
        <v>1</v>
      </c>
      <c r="J105" s="284"/>
      <c r="K105" s="283">
        <v>1.0</v>
      </c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71" t="str">
        <f>'24THAPRIL'!E106</f>
        <v/>
      </c>
      <c r="D106" s="191"/>
      <c r="E106" s="247"/>
      <c r="F106" s="235" t="s">
        <v>35</v>
      </c>
      <c r="G106" s="285"/>
      <c r="H106" s="272">
        <f>'24THAPRIL'!J106</f>
        <v>0.174</v>
      </c>
      <c r="I106" s="272">
        <f>'24THAPRIL'!K106</f>
        <v>1</v>
      </c>
      <c r="J106" s="282">
        <v>0.055</v>
      </c>
      <c r="K106" s="283">
        <v>1.0</v>
      </c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0.119</v>
      </c>
      <c r="N106" s="191"/>
      <c r="O106" s="247"/>
    </row>
    <row r="107">
      <c r="A107" s="12" t="s">
        <v>118</v>
      </c>
      <c r="B107" s="12" t="s">
        <v>40</v>
      </c>
      <c r="C107" s="271" t="str">
        <f>'24THAPRIL'!E107</f>
        <v/>
      </c>
      <c r="D107" s="191"/>
      <c r="E107" s="247"/>
      <c r="F107" s="235" t="s">
        <v>35</v>
      </c>
      <c r="G107" s="235"/>
      <c r="H107" s="272" t="str">
        <f>'24THAPRIL'!J107</f>
        <v/>
      </c>
      <c r="I107" s="272">
        <f>'24THAPRIL'!K107</f>
        <v>1</v>
      </c>
      <c r="J107" s="282"/>
      <c r="K107" s="283">
        <v>1.0</v>
      </c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</v>
      </c>
      <c r="N107" s="191"/>
      <c r="O107" s="247"/>
    </row>
    <row r="108">
      <c r="A108" s="12" t="s">
        <v>119</v>
      </c>
      <c r="B108" s="12" t="s">
        <v>40</v>
      </c>
      <c r="C108" s="271" t="str">
        <f>'24THAPRIL'!E108</f>
        <v/>
      </c>
      <c r="D108" s="191"/>
      <c r="E108" s="247"/>
      <c r="F108" s="235" t="s">
        <v>35</v>
      </c>
      <c r="G108" s="285">
        <v>0.001</v>
      </c>
      <c r="H108" s="272">
        <f>'24THAPRIL'!J108</f>
        <v>0.86</v>
      </c>
      <c r="I108" s="272">
        <f>'24THAPRIL'!K108</f>
        <v>1</v>
      </c>
      <c r="J108" s="284">
        <f>0.361+0.5</f>
        <v>0.861</v>
      </c>
      <c r="K108" s="283">
        <v>1.0</v>
      </c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</v>
      </c>
      <c r="N108" s="191"/>
      <c r="O108" s="247"/>
    </row>
    <row r="109">
      <c r="A109" s="12" t="s">
        <v>120</v>
      </c>
      <c r="B109" s="12" t="s">
        <v>40</v>
      </c>
      <c r="C109" s="271" t="str">
        <f>'24THAPRIL'!E109</f>
        <v/>
      </c>
      <c r="D109" s="191"/>
      <c r="E109" s="247"/>
      <c r="F109" s="235" t="s">
        <v>35</v>
      </c>
      <c r="G109" s="235"/>
      <c r="H109" s="272">
        <f>'24THAPRIL'!J109</f>
        <v>0.058</v>
      </c>
      <c r="I109" s="272">
        <f>'24THAPRIL'!K109</f>
        <v>1</v>
      </c>
      <c r="J109" s="282">
        <v>0.048</v>
      </c>
      <c r="K109" s="283">
        <v>1.0</v>
      </c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0.01</v>
      </c>
      <c r="N109" s="191"/>
      <c r="O109" s="247"/>
    </row>
    <row r="110">
      <c r="A110" s="12" t="s">
        <v>121</v>
      </c>
      <c r="B110" s="12" t="s">
        <v>40</v>
      </c>
      <c r="C110" s="271" t="str">
        <f>'24THAPRIL'!E110</f>
        <v/>
      </c>
      <c r="D110" s="227">
        <v>1.0</v>
      </c>
      <c r="E110" s="247"/>
      <c r="F110" s="235" t="s">
        <v>35</v>
      </c>
      <c r="G110" s="235"/>
      <c r="H110" s="272">
        <f>'24THAPRIL'!J110</f>
        <v>0.722</v>
      </c>
      <c r="I110" s="272">
        <f>'24THAPRIL'!K110</f>
        <v>1</v>
      </c>
      <c r="J110" s="284">
        <f>0.083+0.6</f>
        <v>0.683</v>
      </c>
      <c r="K110" s="283">
        <v>1.0</v>
      </c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1.039</v>
      </c>
      <c r="N110" s="191"/>
      <c r="O110" s="247"/>
    </row>
    <row r="111">
      <c r="A111" s="12" t="s">
        <v>122</v>
      </c>
      <c r="B111" s="12" t="s">
        <v>40</v>
      </c>
      <c r="C111" s="271" t="str">
        <f>'24THAPRIL'!E111</f>
        <v/>
      </c>
      <c r="D111" s="191"/>
      <c r="E111" s="247"/>
      <c r="F111" s="235" t="s">
        <v>35</v>
      </c>
      <c r="G111" s="235"/>
      <c r="H111" s="272" t="str">
        <f>'24THAPRIL'!J111</f>
        <v/>
      </c>
      <c r="I111" s="272">
        <f>'24THAPRIL'!K111</f>
        <v>1</v>
      </c>
      <c r="J111" s="284"/>
      <c r="K111" s="283">
        <v>1.0</v>
      </c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71" t="str">
        <f>'24THAPRIL'!E112</f>
        <v/>
      </c>
      <c r="D112" s="191"/>
      <c r="E112" s="247"/>
      <c r="F112" s="235" t="s">
        <v>35</v>
      </c>
      <c r="G112" s="235"/>
      <c r="H112" s="272">
        <f>'24THAPRIL'!J112</f>
        <v>0.117</v>
      </c>
      <c r="I112" s="272">
        <f>'24THAPRIL'!K112</f>
        <v>1</v>
      </c>
      <c r="J112" s="282">
        <v>0.098</v>
      </c>
      <c r="K112" s="283">
        <v>1.0</v>
      </c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0.019</v>
      </c>
      <c r="N112" s="191"/>
      <c r="O112" s="247"/>
    </row>
    <row r="113">
      <c r="A113" s="12" t="s">
        <v>124</v>
      </c>
      <c r="B113" s="12" t="s">
        <v>40</v>
      </c>
      <c r="C113" s="271" t="str">
        <f>'24THAPRIL'!E113</f>
        <v/>
      </c>
      <c r="D113" s="191"/>
      <c r="E113" s="247"/>
      <c r="F113" s="235" t="s">
        <v>35</v>
      </c>
      <c r="G113" s="235"/>
      <c r="H113" s="272">
        <f>'24THAPRIL'!J113</f>
        <v>0.223</v>
      </c>
      <c r="I113" s="272">
        <f>'24THAPRIL'!K113</f>
        <v>1</v>
      </c>
      <c r="J113" s="282">
        <v>0.217</v>
      </c>
      <c r="K113" s="283">
        <v>1.0</v>
      </c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0.006</v>
      </c>
      <c r="N113" s="191"/>
      <c r="O113" s="247"/>
    </row>
    <row r="114">
      <c r="A114" s="12" t="s">
        <v>125</v>
      </c>
      <c r="B114" s="12" t="s">
        <v>40</v>
      </c>
      <c r="C114" s="271" t="str">
        <f>'24THAPRIL'!E114</f>
        <v/>
      </c>
      <c r="D114" s="191"/>
      <c r="E114" s="247"/>
      <c r="F114" s="235" t="s">
        <v>35</v>
      </c>
      <c r="G114" s="235"/>
      <c r="H114" s="272" t="str">
        <f>'24THAPRIL'!J114</f>
        <v/>
      </c>
      <c r="I114" s="272">
        <f>'24THAPRIL'!K114</f>
        <v>1</v>
      </c>
      <c r="J114" s="284"/>
      <c r="K114" s="283">
        <v>1.0</v>
      </c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71" t="str">
        <f>'24THAPRIL'!E115</f>
        <v/>
      </c>
      <c r="D115" s="191"/>
      <c r="E115" s="247"/>
      <c r="F115" s="235" t="s">
        <v>35</v>
      </c>
      <c r="G115" s="235"/>
      <c r="H115" s="272">
        <f>'24THAPRIL'!J115</f>
        <v>0.16</v>
      </c>
      <c r="I115" s="272">
        <f>'24THAPRIL'!K115</f>
        <v>1</v>
      </c>
      <c r="J115" s="282">
        <v>0.119</v>
      </c>
      <c r="K115" s="283">
        <v>1.0</v>
      </c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0.041</v>
      </c>
      <c r="N115" s="191"/>
      <c r="O115" s="247"/>
    </row>
    <row r="116">
      <c r="A116" s="12" t="s">
        <v>127</v>
      </c>
      <c r="B116" s="12" t="s">
        <v>40</v>
      </c>
      <c r="C116" s="271" t="str">
        <f>'24THAPRIL'!E116</f>
        <v/>
      </c>
      <c r="D116" s="191"/>
      <c r="E116" s="247"/>
      <c r="F116" s="235" t="s">
        <v>35</v>
      </c>
      <c r="G116" s="235"/>
      <c r="H116" s="272">
        <f>'24THAPRIL'!J116</f>
        <v>0.1</v>
      </c>
      <c r="I116" s="272">
        <f>'24THAPRIL'!K116</f>
        <v>1</v>
      </c>
      <c r="J116" s="282">
        <v>0.098</v>
      </c>
      <c r="K116" s="283">
        <v>1.0</v>
      </c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0.002</v>
      </c>
      <c r="N116" s="191"/>
      <c r="O116" s="247"/>
    </row>
    <row r="117">
      <c r="A117" s="12" t="s">
        <v>128</v>
      </c>
      <c r="B117" s="12" t="s">
        <v>40</v>
      </c>
      <c r="C117" s="271" t="str">
        <f>'24THAPRIL'!E117</f>
        <v/>
      </c>
      <c r="D117" s="191"/>
      <c r="E117" s="247"/>
      <c r="F117" s="235" t="s">
        <v>35</v>
      </c>
      <c r="G117" s="235"/>
      <c r="H117" s="272">
        <f>'24THAPRIL'!J117</f>
        <v>0.041</v>
      </c>
      <c r="I117" s="272">
        <f>'24THAPRIL'!K117</f>
        <v>1</v>
      </c>
      <c r="J117" s="282">
        <v>0.028</v>
      </c>
      <c r="K117" s="283">
        <v>1.0</v>
      </c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0.013</v>
      </c>
      <c r="N117" s="191"/>
      <c r="O117" s="247"/>
    </row>
    <row r="118">
      <c r="A118" s="12" t="s">
        <v>129</v>
      </c>
      <c r="B118" s="12" t="s">
        <v>40</v>
      </c>
      <c r="C118" s="271" t="str">
        <f>'24THAPRIL'!E118</f>
        <v/>
      </c>
      <c r="D118" s="191"/>
      <c r="E118" s="247"/>
      <c r="F118" s="235" t="s">
        <v>35</v>
      </c>
      <c r="G118" s="235"/>
      <c r="H118" s="272">
        <f>'24THAPRIL'!J118</f>
        <v>0.265</v>
      </c>
      <c r="I118" s="272">
        <f>'24THAPRIL'!K118</f>
        <v>1</v>
      </c>
      <c r="J118" s="282">
        <v>0.179</v>
      </c>
      <c r="K118" s="283">
        <v>1.0</v>
      </c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0.086</v>
      </c>
      <c r="N118" s="191"/>
      <c r="O118" s="247"/>
    </row>
    <row r="119">
      <c r="A119" s="12" t="s">
        <v>130</v>
      </c>
      <c r="B119" s="12" t="s">
        <v>40</v>
      </c>
      <c r="C119" s="271" t="str">
        <f>'24THAPRIL'!E119</f>
        <v/>
      </c>
      <c r="D119" s="191"/>
      <c r="E119" s="247"/>
      <c r="F119" s="235" t="s">
        <v>35</v>
      </c>
      <c r="G119" s="235"/>
      <c r="H119" s="272">
        <f>'24THAPRIL'!J119</f>
        <v>0.482</v>
      </c>
      <c r="I119" s="272">
        <f>'24THAPRIL'!K119</f>
        <v>1</v>
      </c>
      <c r="J119" s="282">
        <v>0.111</v>
      </c>
      <c r="K119" s="283">
        <v>1.0</v>
      </c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0.371</v>
      </c>
      <c r="N119" s="191"/>
      <c r="O119" s="247"/>
    </row>
    <row r="120">
      <c r="A120" s="12" t="s">
        <v>131</v>
      </c>
      <c r="B120" s="12" t="s">
        <v>40</v>
      </c>
      <c r="C120" s="271" t="str">
        <f>'24THAPRIL'!E120</f>
        <v/>
      </c>
      <c r="D120" s="191"/>
      <c r="E120" s="247"/>
      <c r="F120" s="235" t="s">
        <v>35</v>
      </c>
      <c r="G120" s="235"/>
      <c r="H120" s="272">
        <f>'24THAPRIL'!J120</f>
        <v>0.12</v>
      </c>
      <c r="I120" s="272">
        <f>'24THAPRIL'!K120</f>
        <v>1</v>
      </c>
      <c r="J120" s="282">
        <v>0.115</v>
      </c>
      <c r="K120" s="283">
        <v>1.0</v>
      </c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0.005</v>
      </c>
      <c r="N120" s="191"/>
      <c r="O120" s="247"/>
    </row>
    <row r="121">
      <c r="A121" s="12" t="s">
        <v>132</v>
      </c>
      <c r="B121" s="12" t="s">
        <v>40</v>
      </c>
      <c r="C121" s="271" t="str">
        <f>'24THAPRIL'!E121</f>
        <v/>
      </c>
      <c r="D121" s="191"/>
      <c r="E121" s="247"/>
      <c r="F121" s="235" t="s">
        <v>35</v>
      </c>
      <c r="G121" s="235"/>
      <c r="H121" s="272">
        <f>'24THAPRIL'!J121</f>
        <v>0.244</v>
      </c>
      <c r="I121" s="272">
        <f>'24THAPRIL'!K121</f>
        <v>1</v>
      </c>
      <c r="J121" s="282">
        <v>0.207</v>
      </c>
      <c r="K121" s="283">
        <v>1.0</v>
      </c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0.037</v>
      </c>
      <c r="N121" s="191"/>
      <c r="O121" s="247"/>
    </row>
    <row r="122">
      <c r="A122" s="12" t="s">
        <v>133</v>
      </c>
      <c r="B122" s="12" t="s">
        <v>40</v>
      </c>
      <c r="C122" s="271" t="str">
        <f>'24THAPRIL'!E122</f>
        <v/>
      </c>
      <c r="D122" s="191"/>
      <c r="E122" s="247"/>
      <c r="F122" s="235" t="s">
        <v>35</v>
      </c>
      <c r="G122" s="235"/>
      <c r="H122" s="272">
        <f>'24THAPRIL'!J122</f>
        <v>0.03</v>
      </c>
      <c r="I122" s="272">
        <f>'24THAPRIL'!K122</f>
        <v>1</v>
      </c>
      <c r="J122" s="282">
        <v>0.01</v>
      </c>
      <c r="K122" s="283">
        <v>1.0</v>
      </c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0.02</v>
      </c>
      <c r="N122" s="191"/>
      <c r="O122" s="247"/>
    </row>
    <row r="123">
      <c r="A123" s="12" t="s">
        <v>134</v>
      </c>
      <c r="B123" s="12" t="s">
        <v>40</v>
      </c>
      <c r="C123" s="271" t="str">
        <f>'24THAPRIL'!E123</f>
        <v/>
      </c>
      <c r="D123" s="191"/>
      <c r="E123" s="247"/>
      <c r="F123" s="235" t="s">
        <v>35</v>
      </c>
      <c r="G123" s="235"/>
      <c r="H123" s="272" t="str">
        <f>'24THAPRIL'!J123</f>
        <v/>
      </c>
      <c r="I123" s="272">
        <f>'24THAPRIL'!K123</f>
        <v>1</v>
      </c>
      <c r="J123" s="284"/>
      <c r="K123" s="283">
        <v>1.0</v>
      </c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71" t="str">
        <f>'24THAPRIL'!E124</f>
        <v/>
      </c>
      <c r="D124" s="191"/>
      <c r="E124" s="247"/>
      <c r="F124" s="235" t="s">
        <v>35</v>
      </c>
      <c r="G124" s="235"/>
      <c r="H124" s="272" t="str">
        <f>'24THAPRIL'!J124</f>
        <v/>
      </c>
      <c r="I124" s="272">
        <f>'24THAPRIL'!K124</f>
        <v>1</v>
      </c>
      <c r="J124" s="284"/>
      <c r="K124" s="283">
        <v>1.0</v>
      </c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71" t="str">
        <f>'24THAPRIL'!E125</f>
        <v/>
      </c>
      <c r="D125" s="227">
        <v>3.0</v>
      </c>
      <c r="E125" s="247"/>
      <c r="F125" s="285" t="s">
        <v>35</v>
      </c>
      <c r="G125" s="235"/>
      <c r="H125" s="272" t="str">
        <f>'24THAPRIL'!J125</f>
        <v/>
      </c>
      <c r="I125" s="272">
        <f>'24THAPRIL'!K125</f>
        <v>1</v>
      </c>
      <c r="J125" s="284"/>
      <c r="K125" s="283">
        <v>1.0</v>
      </c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1.44</v>
      </c>
      <c r="N125" s="191"/>
      <c r="O125" s="247"/>
    </row>
    <row r="126">
      <c r="A126" s="21" t="s">
        <v>143</v>
      </c>
      <c r="B126" s="15" t="s">
        <v>40</v>
      </c>
      <c r="C126" s="271" t="str">
        <f>'24THAPRIL'!E126</f>
        <v/>
      </c>
      <c r="D126" s="191"/>
      <c r="E126" s="247"/>
      <c r="F126" s="285" t="s">
        <v>35</v>
      </c>
      <c r="G126" s="235"/>
      <c r="H126" s="272">
        <v>0.248</v>
      </c>
      <c r="I126" s="272">
        <f>'24THAPRIL'!K126</f>
        <v>1</v>
      </c>
      <c r="J126" s="282">
        <v>0.248</v>
      </c>
      <c r="K126" s="283">
        <v>1.0</v>
      </c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</v>
      </c>
      <c r="N126" s="191"/>
      <c r="O126" s="247"/>
    </row>
    <row r="127">
      <c r="A127" s="10" t="s">
        <v>146</v>
      </c>
      <c r="B127" s="11"/>
      <c r="C127" s="271" t="str">
        <f>'24THAPRIL'!E127</f>
        <v/>
      </c>
      <c r="D127" s="191"/>
      <c r="E127" s="247"/>
      <c r="F127" s="235"/>
      <c r="G127" s="235"/>
      <c r="H127" s="272" t="str">
        <f>'24THAPRIL'!J127</f>
        <v/>
      </c>
      <c r="I127" s="272">
        <f>'24THAPRIL'!K127</f>
        <v>1</v>
      </c>
      <c r="J127" s="284"/>
      <c r="K127" s="283">
        <v>1.0</v>
      </c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71" t="str">
        <f>'24THAPRIL'!E128</f>
        <v/>
      </c>
      <c r="D128" s="191"/>
      <c r="E128" s="247"/>
      <c r="F128" s="235" t="s">
        <v>35</v>
      </c>
      <c r="G128" s="235"/>
      <c r="H128" s="272" t="str">
        <f>'24THAPRIL'!J128</f>
        <v/>
      </c>
      <c r="I128" s="272">
        <f>'24THAPRIL'!K128</f>
        <v>1</v>
      </c>
      <c r="J128" s="284"/>
      <c r="K128" s="283">
        <v>1.0</v>
      </c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71" t="str">
        <f>'24THAPRIL'!E129</f>
        <v/>
      </c>
      <c r="D129" s="191"/>
      <c r="E129" s="247"/>
      <c r="F129" s="235" t="s">
        <v>35</v>
      </c>
      <c r="G129" s="235"/>
      <c r="H129" s="272">
        <f>'24THAPRIL'!J129</f>
        <v>1.07</v>
      </c>
      <c r="I129" s="272">
        <f>'24THAPRIL'!K129</f>
        <v>1</v>
      </c>
      <c r="J129" s="282">
        <v>0.432</v>
      </c>
      <c r="K129" s="283">
        <v>1.0</v>
      </c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0.638</v>
      </c>
      <c r="N129" s="191"/>
      <c r="O129" s="247"/>
    </row>
    <row r="130">
      <c r="A130" s="12" t="s">
        <v>149</v>
      </c>
      <c r="B130" s="12" t="s">
        <v>40</v>
      </c>
      <c r="C130" s="271" t="str">
        <f>'24THAPRIL'!E130</f>
        <v/>
      </c>
      <c r="D130" s="191"/>
      <c r="E130" s="247"/>
      <c r="F130" s="235" t="s">
        <v>35</v>
      </c>
      <c r="G130" s="235"/>
      <c r="H130" s="272">
        <f>'24THAPRIL'!J130</f>
        <v>0.295</v>
      </c>
      <c r="I130" s="272">
        <f>'24THAPRIL'!K130</f>
        <v>1</v>
      </c>
      <c r="J130" s="282">
        <v>0.17</v>
      </c>
      <c r="K130" s="283">
        <v>1.0</v>
      </c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0.125</v>
      </c>
      <c r="N130" s="191"/>
      <c r="O130" s="247"/>
    </row>
    <row r="131">
      <c r="A131" s="12" t="s">
        <v>150</v>
      </c>
      <c r="B131" s="12" t="s">
        <v>24</v>
      </c>
      <c r="C131" s="271" t="str">
        <f>'24THAPRIL'!E131</f>
        <v/>
      </c>
      <c r="D131" s="191"/>
      <c r="E131" s="247"/>
      <c r="F131" s="235" t="s">
        <v>25</v>
      </c>
      <c r="G131" s="235"/>
      <c r="H131" s="272" t="str">
        <f>'24THAPRIL'!J131</f>
        <v/>
      </c>
      <c r="I131" s="272">
        <f>'24THAPRIL'!K131</f>
        <v>1</v>
      </c>
      <c r="J131" s="284"/>
      <c r="K131" s="283">
        <v>1.0</v>
      </c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71" t="str">
        <f>'24THAPRIL'!E132</f>
        <v/>
      </c>
      <c r="D132" s="191"/>
      <c r="E132" s="247"/>
      <c r="F132" s="235"/>
      <c r="G132" s="235"/>
      <c r="H132" s="272" t="str">
        <f>'24THAPRIL'!J132</f>
        <v/>
      </c>
      <c r="I132" s="272">
        <f>'24THAPRIL'!K132</f>
        <v>1</v>
      </c>
      <c r="J132" s="284"/>
      <c r="K132" s="283">
        <v>1.0</v>
      </c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71" t="str">
        <f>'24THAPRIL'!E133</f>
        <v/>
      </c>
      <c r="D133" s="227">
        <v>3.0</v>
      </c>
      <c r="E133" s="247"/>
      <c r="F133" s="235" t="s">
        <v>35</v>
      </c>
      <c r="G133" s="235"/>
      <c r="H133" s="272">
        <f>'24THAPRIL'!J133</f>
        <v>0.179</v>
      </c>
      <c r="I133" s="272">
        <f>'24THAPRIL'!K133</f>
        <v>1</v>
      </c>
      <c r="J133" s="282">
        <v>0.088</v>
      </c>
      <c r="K133" s="283">
        <v>1.0</v>
      </c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0.691</v>
      </c>
      <c r="N133" s="191"/>
      <c r="O133" s="247"/>
    </row>
    <row r="134">
      <c r="A134" s="12" t="s">
        <v>154</v>
      </c>
      <c r="B134" s="12" t="s">
        <v>155</v>
      </c>
      <c r="C134" s="271" t="str">
        <f>'24THAPRIL'!E134</f>
        <v/>
      </c>
      <c r="D134" s="191"/>
      <c r="E134" s="247"/>
      <c r="F134" s="235" t="s">
        <v>35</v>
      </c>
      <c r="G134" s="235"/>
      <c r="H134" s="272" t="str">
        <f>'24THAPRIL'!J134</f>
        <v/>
      </c>
      <c r="I134" s="272">
        <f>'24THAPRIL'!K134</f>
        <v>1</v>
      </c>
      <c r="J134" s="284"/>
      <c r="K134" s="283">
        <v>1.0</v>
      </c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 t="str">
        <f>'24THAPRIL'!E135</f>
        <v/>
      </c>
      <c r="D135" s="227">
        <v>1.0</v>
      </c>
      <c r="E135" s="280">
        <v>1.0</v>
      </c>
      <c r="F135" s="235" t="s">
        <v>35</v>
      </c>
      <c r="G135" s="235"/>
      <c r="H135" s="272">
        <f>'24THAPRIL'!J135</f>
        <v>0.097</v>
      </c>
      <c r="I135" s="272">
        <f>'24THAPRIL'!K135</f>
        <v>1</v>
      </c>
      <c r="J135" s="282">
        <v>0.038</v>
      </c>
      <c r="K135" s="283">
        <v>1.0</v>
      </c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0.059</v>
      </c>
      <c r="N135" s="191"/>
      <c r="O135" s="247"/>
    </row>
    <row r="136">
      <c r="A136" s="12" t="s">
        <v>158</v>
      </c>
      <c r="B136" s="12" t="s">
        <v>34</v>
      </c>
      <c r="C136" s="271">
        <f>'24THAPRIL'!E136</f>
        <v>1</v>
      </c>
      <c r="D136" s="191"/>
      <c r="E136" s="280"/>
      <c r="F136" s="235" t="s">
        <v>35</v>
      </c>
      <c r="G136" s="235"/>
      <c r="H136" s="272" t="str">
        <f>'24THAPRIL'!J136</f>
        <v/>
      </c>
      <c r="I136" s="272">
        <f>'24THAPRIL'!K136</f>
        <v>1</v>
      </c>
      <c r="J136" s="282">
        <v>0.418</v>
      </c>
      <c r="K136" s="283">
        <v>1.0</v>
      </c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0.063</v>
      </c>
      <c r="N136" s="191"/>
      <c r="O136" s="247"/>
    </row>
    <row r="137">
      <c r="A137" s="12" t="s">
        <v>159</v>
      </c>
      <c r="B137" s="12" t="s">
        <v>34</v>
      </c>
      <c r="C137" s="271" t="str">
        <f>'24THAPRIL'!E137</f>
        <v/>
      </c>
      <c r="D137" s="191"/>
      <c r="E137" s="247"/>
      <c r="F137" s="235" t="s">
        <v>35</v>
      </c>
      <c r="G137" s="235"/>
      <c r="H137" s="272" t="str">
        <f>'24THAPRIL'!J137</f>
        <v/>
      </c>
      <c r="I137" s="272">
        <f>'24THAPRIL'!K137</f>
        <v>1</v>
      </c>
      <c r="J137" s="284"/>
      <c r="K137" s="283">
        <v>1.0</v>
      </c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71" t="str">
        <f>'24THAPRIL'!E138</f>
        <v/>
      </c>
      <c r="D138" s="191"/>
      <c r="E138" s="247"/>
      <c r="F138" s="235" t="s">
        <v>35</v>
      </c>
      <c r="G138" s="235"/>
      <c r="H138" s="272">
        <f>'24THAPRIL'!J138</f>
        <v>0.5</v>
      </c>
      <c r="I138" s="272">
        <f>'24THAPRIL'!K138</f>
        <v>1</v>
      </c>
      <c r="J138" s="282">
        <v>0.494</v>
      </c>
      <c r="K138" s="283">
        <v>1.0</v>
      </c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0.006</v>
      </c>
      <c r="N138" s="191"/>
      <c r="O138" s="247"/>
    </row>
    <row r="139">
      <c r="A139" s="12" t="s">
        <v>161</v>
      </c>
      <c r="B139" s="12" t="s">
        <v>34</v>
      </c>
      <c r="C139" s="271" t="str">
        <f>'24THAPRIL'!E139</f>
        <v/>
      </c>
      <c r="D139" s="191"/>
      <c r="E139" s="247"/>
      <c r="F139" s="235" t="s">
        <v>35</v>
      </c>
      <c r="G139" s="235"/>
      <c r="H139" s="272">
        <f>'24THAPRIL'!J139</f>
        <v>0.439</v>
      </c>
      <c r="I139" s="272">
        <f>'24THAPRIL'!K139</f>
        <v>1</v>
      </c>
      <c r="J139" s="282">
        <v>0.419</v>
      </c>
      <c r="K139" s="283">
        <v>1.0</v>
      </c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0.02</v>
      </c>
      <c r="N139" s="191"/>
      <c r="O139" s="247"/>
    </row>
    <row r="140">
      <c r="A140" s="12" t="s">
        <v>162</v>
      </c>
      <c r="B140" s="12" t="s">
        <v>34</v>
      </c>
      <c r="C140" s="271" t="str">
        <f>'24THAPRIL'!E140</f>
        <v/>
      </c>
      <c r="D140" s="191"/>
      <c r="E140" s="247"/>
      <c r="F140" s="235" t="s">
        <v>35</v>
      </c>
      <c r="G140" s="235"/>
      <c r="H140" s="272">
        <f>'24THAPRIL'!J140</f>
        <v>0.391</v>
      </c>
      <c r="I140" s="272">
        <f>'24THAPRIL'!K140</f>
        <v>1</v>
      </c>
      <c r="J140" s="282">
        <v>0.302</v>
      </c>
      <c r="K140" s="283">
        <v>1.0</v>
      </c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0.089</v>
      </c>
      <c r="N140" s="191"/>
      <c r="O140" s="247"/>
    </row>
    <row r="141">
      <c r="A141" s="12" t="s">
        <v>163</v>
      </c>
      <c r="B141" s="12" t="s">
        <v>34</v>
      </c>
      <c r="C141" s="271">
        <v>1.0</v>
      </c>
      <c r="D141" s="191"/>
      <c r="E141" s="280"/>
      <c r="F141" s="235" t="s">
        <v>35</v>
      </c>
      <c r="G141" s="285">
        <v>0.434</v>
      </c>
      <c r="H141" s="272">
        <f>'24THAPRIL'!J141</f>
        <v>0.053</v>
      </c>
      <c r="I141" s="272">
        <f>'24THAPRIL'!K141</f>
        <v>1</v>
      </c>
      <c r="J141" s="282">
        <v>0.857</v>
      </c>
      <c r="K141" s="283">
        <v>1.0</v>
      </c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</v>
      </c>
      <c r="N141" s="191"/>
      <c r="O141" s="247"/>
    </row>
    <row r="142">
      <c r="A142" s="12" t="s">
        <v>164</v>
      </c>
      <c r="B142" s="12" t="s">
        <v>155</v>
      </c>
      <c r="C142" s="271" t="str">
        <f>'24THAPRIL'!E142</f>
        <v/>
      </c>
      <c r="D142" s="191"/>
      <c r="E142" s="247"/>
      <c r="F142" s="235" t="s">
        <v>35</v>
      </c>
      <c r="G142" s="235"/>
      <c r="H142" s="272">
        <f>'24THAPRIL'!J142</f>
        <v>0.349</v>
      </c>
      <c r="I142" s="272">
        <f>'24THAPRIL'!K142</f>
        <v>1</v>
      </c>
      <c r="J142" s="282">
        <v>0.092</v>
      </c>
      <c r="K142" s="283">
        <v>1.0</v>
      </c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0.257</v>
      </c>
      <c r="N142" s="191"/>
      <c r="O142" s="247"/>
    </row>
    <row r="143">
      <c r="A143" s="12" t="s">
        <v>165</v>
      </c>
      <c r="B143" s="12" t="s">
        <v>155</v>
      </c>
      <c r="C143" s="271" t="str">
        <f>'24THAPRIL'!E143</f>
        <v/>
      </c>
      <c r="D143" s="191"/>
      <c r="E143" s="247"/>
      <c r="F143" s="235" t="s">
        <v>35</v>
      </c>
      <c r="G143" s="235"/>
      <c r="H143" s="272" t="str">
        <f>'24THAPRIL'!J143</f>
        <v/>
      </c>
      <c r="I143" s="272">
        <f>'24THAPRIL'!K143</f>
        <v>1</v>
      </c>
      <c r="J143" s="284"/>
      <c r="K143" s="283">
        <v>1.0</v>
      </c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71" t="str">
        <f>'24THAPRIL'!E144</f>
        <v/>
      </c>
      <c r="D144" s="191"/>
      <c r="E144" s="247"/>
      <c r="F144" s="235" t="s">
        <v>35</v>
      </c>
      <c r="G144" s="235"/>
      <c r="H144" s="272" t="str">
        <f>'24THAPRIL'!J144</f>
        <v/>
      </c>
      <c r="I144" s="272">
        <f>'24THAPRIL'!K144</f>
        <v>1</v>
      </c>
      <c r="J144" s="284"/>
      <c r="K144" s="283">
        <v>1.0</v>
      </c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</v>
      </c>
      <c r="N144" s="191"/>
      <c r="O144" s="247"/>
    </row>
    <row r="145">
      <c r="A145" s="12" t="s">
        <v>167</v>
      </c>
      <c r="B145" s="12" t="s">
        <v>106</v>
      </c>
      <c r="C145" s="271" t="str">
        <f>'24THAPRIL'!E145</f>
        <v/>
      </c>
      <c r="D145" s="191"/>
      <c r="E145" s="247"/>
      <c r="F145" s="235" t="s">
        <v>35</v>
      </c>
      <c r="G145" s="235"/>
      <c r="H145" s="272">
        <f>'24THAPRIL'!J145</f>
        <v>0.596</v>
      </c>
      <c r="I145" s="272">
        <f>'24THAPRIL'!K145</f>
        <v>1</v>
      </c>
      <c r="J145" s="282">
        <v>0.252</v>
      </c>
      <c r="K145" s="283">
        <v>1.0</v>
      </c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0.344</v>
      </c>
      <c r="N145" s="191"/>
      <c r="O145" s="247"/>
    </row>
    <row r="146">
      <c r="A146" s="12" t="s">
        <v>168</v>
      </c>
      <c r="B146" s="12" t="s">
        <v>17</v>
      </c>
      <c r="C146" s="271">
        <f>'24THAPRIL'!E146</f>
        <v>1</v>
      </c>
      <c r="D146" s="227"/>
      <c r="E146" s="247"/>
      <c r="F146" s="235" t="s">
        <v>35</v>
      </c>
      <c r="G146" s="235"/>
      <c r="H146" s="272" t="str">
        <f>'24THAPRIL'!J146</f>
        <v/>
      </c>
      <c r="I146" s="272">
        <f>'24THAPRIL'!K146</f>
        <v>1</v>
      </c>
      <c r="J146" s="282">
        <v>0.5</v>
      </c>
      <c r="K146" s="283">
        <v>1.0</v>
      </c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0.015</v>
      </c>
      <c r="N146" s="191"/>
      <c r="O146" s="247"/>
    </row>
    <row r="147">
      <c r="A147" s="12" t="s">
        <v>169</v>
      </c>
      <c r="B147" s="12" t="s">
        <v>106</v>
      </c>
      <c r="C147" s="271" t="str">
        <f>'24THAPRIL'!E147</f>
        <v/>
      </c>
      <c r="D147" s="191"/>
      <c r="E147" s="247"/>
      <c r="F147" s="235" t="s">
        <v>35</v>
      </c>
      <c r="G147" s="235"/>
      <c r="H147" s="272" t="str">
        <f>'24THAPRIL'!J147</f>
        <v/>
      </c>
      <c r="I147" s="272">
        <f>'24THAPRIL'!K147</f>
        <v>1</v>
      </c>
      <c r="J147" s="284"/>
      <c r="K147" s="283">
        <v>1.0</v>
      </c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71" t="str">
        <f>'24THAPRIL'!E148</f>
        <v/>
      </c>
      <c r="D148" s="191"/>
      <c r="E148" s="247"/>
      <c r="F148" s="235" t="s">
        <v>35</v>
      </c>
      <c r="G148" s="235"/>
      <c r="H148" s="272" t="str">
        <f>'24THAPRIL'!J148</f>
        <v/>
      </c>
      <c r="I148" s="272">
        <f>'24THAPRIL'!K148</f>
        <v>1</v>
      </c>
      <c r="J148" s="284"/>
      <c r="K148" s="283">
        <v>1.0</v>
      </c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71">
        <f>'24THAPRIL'!E149</f>
        <v>1</v>
      </c>
      <c r="D149" s="191"/>
      <c r="E149" s="247"/>
      <c r="F149" s="235" t="s">
        <v>14</v>
      </c>
      <c r="G149" s="235"/>
      <c r="H149" s="272">
        <f>'24THAPRIL'!J149</f>
        <v>0.073</v>
      </c>
      <c r="I149" s="272">
        <f>'24THAPRIL'!K149</f>
        <v>1</v>
      </c>
      <c r="J149" s="282">
        <v>0.073</v>
      </c>
      <c r="K149" s="283">
        <v>1.0</v>
      </c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0.375</v>
      </c>
      <c r="N149" s="191"/>
      <c r="O149" s="247"/>
    </row>
    <row r="150">
      <c r="A150" s="11" t="s">
        <v>173</v>
      </c>
      <c r="B150" s="11" t="s">
        <v>106</v>
      </c>
      <c r="C150" s="271">
        <f>'24THAPRIL'!E150</f>
        <v>1</v>
      </c>
      <c r="D150" s="287">
        <v>1.0</v>
      </c>
      <c r="E150" s="288"/>
      <c r="F150" s="235" t="s">
        <v>14</v>
      </c>
      <c r="G150" s="289"/>
      <c r="H150" s="272">
        <f>'24THAPRIL'!J150</f>
        <v>0.493</v>
      </c>
      <c r="I150" s="272">
        <f>'24THAPRIL'!K150</f>
        <v>1</v>
      </c>
      <c r="J150" s="301">
        <v>0.251</v>
      </c>
      <c r="K150" s="283">
        <v>1.0</v>
      </c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2.012</v>
      </c>
      <c r="N150" s="216"/>
      <c r="O150" s="292"/>
    </row>
    <row r="151">
      <c r="A151" s="22" t="s">
        <v>174</v>
      </c>
      <c r="B151" s="23" t="s">
        <v>106</v>
      </c>
      <c r="C151" s="271" t="str">
        <f>'24THAPRIL'!E151</f>
        <v/>
      </c>
      <c r="D151" s="216"/>
      <c r="E151" s="288"/>
      <c r="F151" s="235" t="s">
        <v>14</v>
      </c>
      <c r="G151" s="289"/>
      <c r="H151" s="272">
        <f>'24THAPRIL'!J151</f>
        <v>0.43</v>
      </c>
      <c r="I151" s="272">
        <f>'24THAPRIL'!K151</f>
        <v>1</v>
      </c>
      <c r="J151" s="301">
        <v>0.426</v>
      </c>
      <c r="K151" s="283">
        <v>1.0</v>
      </c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0.004</v>
      </c>
      <c r="N151" s="216"/>
      <c r="O151" s="292"/>
    </row>
    <row r="152">
      <c r="A152" s="10" t="s">
        <v>175</v>
      </c>
      <c r="B152" s="11"/>
      <c r="C152" s="271" t="str">
        <f>'24THAPRIL'!E152</f>
        <v/>
      </c>
      <c r="D152" s="191"/>
      <c r="E152" s="247"/>
      <c r="F152" s="235"/>
      <c r="G152" s="235"/>
      <c r="H152" s="272" t="str">
        <f>'24THAPRIL'!J152</f>
        <v/>
      </c>
      <c r="I152" s="272">
        <f>'24THAPRIL'!K152</f>
        <v>1</v>
      </c>
      <c r="J152" s="284"/>
      <c r="K152" s="283">
        <v>1.0</v>
      </c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71" t="str">
        <f>'24THAPRIL'!E153</f>
        <v/>
      </c>
      <c r="D153" s="227">
        <v>6.0</v>
      </c>
      <c r="E153" s="247"/>
      <c r="F153" s="235" t="s">
        <v>25</v>
      </c>
      <c r="G153" s="235"/>
      <c r="H153" s="272" t="str">
        <f>'24THAPRIL'!J153</f>
        <v/>
      </c>
      <c r="I153" s="272">
        <f>'24THAPRIL'!K153</f>
        <v>1</v>
      </c>
      <c r="J153" s="284"/>
      <c r="K153" s="283">
        <v>1.0</v>
      </c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6</v>
      </c>
      <c r="N153" s="191"/>
      <c r="O153" s="247"/>
    </row>
    <row r="154">
      <c r="A154" s="12" t="s">
        <v>178</v>
      </c>
      <c r="B154" s="12" t="s">
        <v>35</v>
      </c>
      <c r="C154" s="271">
        <f>'24THAPRIL'!E154</f>
        <v>3</v>
      </c>
      <c r="D154" s="227">
        <v>14.0</v>
      </c>
      <c r="E154" s="280">
        <v>10.0</v>
      </c>
      <c r="F154" s="235" t="s">
        <v>35</v>
      </c>
      <c r="G154" s="235"/>
      <c r="H154" s="272" t="str">
        <f>'24THAPRIL'!J154</f>
        <v/>
      </c>
      <c r="I154" s="272">
        <f>'24THAPRIL'!K154</f>
        <v>1</v>
      </c>
      <c r="J154" s="284"/>
      <c r="K154" s="283">
        <v>1.0</v>
      </c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3.5</v>
      </c>
      <c r="N154" s="191"/>
      <c r="O154" s="247"/>
    </row>
    <row r="155">
      <c r="A155" s="12" t="s">
        <v>180</v>
      </c>
      <c r="B155" s="12" t="s">
        <v>35</v>
      </c>
      <c r="C155" s="271" t="str">
        <f>'24THAPRIL'!E155</f>
        <v/>
      </c>
      <c r="D155" s="191"/>
      <c r="E155" s="247"/>
      <c r="F155" s="235" t="s">
        <v>35</v>
      </c>
      <c r="G155" s="235"/>
      <c r="H155" s="272">
        <f>'24THAPRIL'!J155</f>
        <v>0.203</v>
      </c>
      <c r="I155" s="272">
        <f>'24THAPRIL'!K155</f>
        <v>1</v>
      </c>
      <c r="J155" s="284"/>
      <c r="K155" s="283">
        <v>1.0</v>
      </c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0.191</v>
      </c>
      <c r="N155" s="191"/>
      <c r="O155" s="247"/>
    </row>
    <row r="156">
      <c r="A156" s="12" t="s">
        <v>181</v>
      </c>
      <c r="B156" s="12" t="s">
        <v>35</v>
      </c>
      <c r="C156" s="271" t="str">
        <f>'24THAPRIL'!E156</f>
        <v/>
      </c>
      <c r="D156" s="191"/>
      <c r="E156" s="280"/>
      <c r="F156" s="235" t="s">
        <v>35</v>
      </c>
      <c r="G156" s="235"/>
      <c r="H156" s="272">
        <f>'24THAPRIL'!J156</f>
        <v>1.12</v>
      </c>
      <c r="I156" s="272">
        <f>'24THAPRIL'!K156</f>
        <v>1</v>
      </c>
      <c r="J156" s="282">
        <v>0.776</v>
      </c>
      <c r="K156" s="283">
        <v>1.0</v>
      </c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0.344</v>
      </c>
      <c r="N156" s="191"/>
      <c r="O156" s="247"/>
    </row>
    <row r="157">
      <c r="A157" s="12" t="s">
        <v>182</v>
      </c>
      <c r="B157" s="12" t="s">
        <v>35</v>
      </c>
      <c r="C157" s="271" t="str">
        <f>'24THAPRIL'!E157</f>
        <v/>
      </c>
      <c r="D157" s="227">
        <v>1.0</v>
      </c>
      <c r="E157" s="247"/>
      <c r="F157" s="235" t="s">
        <v>35</v>
      </c>
      <c r="G157" s="285"/>
      <c r="H157" s="272">
        <f>'24THAPRIL'!J157</f>
        <v>0.64</v>
      </c>
      <c r="I157" s="272">
        <f>'24THAPRIL'!K157</f>
        <v>1</v>
      </c>
      <c r="J157" s="282"/>
      <c r="K157" s="283">
        <v>1.0</v>
      </c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1.1</v>
      </c>
      <c r="N157" s="191"/>
      <c r="O157" s="247"/>
    </row>
    <row r="158">
      <c r="A158" s="12" t="s">
        <v>183</v>
      </c>
      <c r="B158" s="12" t="s">
        <v>35</v>
      </c>
      <c r="C158" s="271" t="str">
        <f>'24THAPRIL'!E158</f>
        <v/>
      </c>
      <c r="D158" s="191"/>
      <c r="E158" s="247"/>
      <c r="F158" s="235" t="s">
        <v>14</v>
      </c>
      <c r="G158" s="235"/>
      <c r="H158" s="272" t="str">
        <f>'24THAPRIL'!J158</f>
        <v/>
      </c>
      <c r="I158" s="272">
        <f>'24THAPRIL'!K158</f>
        <v>1</v>
      </c>
      <c r="J158" s="284"/>
      <c r="K158" s="283">
        <v>1.0</v>
      </c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71" t="str">
        <f>'24THAPRIL'!E159</f>
        <v/>
      </c>
      <c r="D159" s="191"/>
      <c r="E159" s="247"/>
      <c r="F159" s="235"/>
      <c r="G159" s="235"/>
      <c r="H159" s="272" t="str">
        <f>'24THAPRIL'!J159</f>
        <v/>
      </c>
      <c r="I159" s="272">
        <f>'24THAPRIL'!K159</f>
        <v>1</v>
      </c>
      <c r="J159" s="284"/>
      <c r="K159" s="283">
        <v>1.0</v>
      </c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71" t="str">
        <f>'24THAPRIL'!E160</f>
        <v/>
      </c>
      <c r="D160" s="227">
        <v>4.0</v>
      </c>
      <c r="E160" s="247"/>
      <c r="F160" s="235" t="s">
        <v>17</v>
      </c>
      <c r="G160" s="235"/>
      <c r="H160" s="272">
        <f>'24THAPRIL'!J160</f>
        <v>1.5</v>
      </c>
      <c r="I160" s="272">
        <f>'24THAPRIL'!K160</f>
        <v>1</v>
      </c>
      <c r="J160" s="282">
        <v>2.5</v>
      </c>
      <c r="K160" s="283">
        <v>1.0</v>
      </c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3</v>
      </c>
      <c r="N160" s="191"/>
      <c r="O160" s="247"/>
    </row>
    <row r="161">
      <c r="A161" s="12" t="s">
        <v>187</v>
      </c>
      <c r="B161" s="12" t="s">
        <v>17</v>
      </c>
      <c r="C161" s="271" t="str">
        <f>'24THAPRIL'!E161</f>
        <v/>
      </c>
      <c r="D161" s="227">
        <v>5.0</v>
      </c>
      <c r="E161" s="247"/>
      <c r="F161" s="235" t="s">
        <v>17</v>
      </c>
      <c r="G161" s="235"/>
      <c r="H161" s="272">
        <f>'24THAPRIL'!J161</f>
        <v>1</v>
      </c>
      <c r="I161" s="272">
        <f>'24THAPRIL'!K161</f>
        <v>1</v>
      </c>
      <c r="J161" s="282">
        <v>0.5</v>
      </c>
      <c r="K161" s="283">
        <v>1.0</v>
      </c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5.5</v>
      </c>
      <c r="N161" s="191"/>
      <c r="O161" s="247"/>
    </row>
    <row r="162">
      <c r="A162" s="12" t="s">
        <v>188</v>
      </c>
      <c r="B162" s="12" t="s">
        <v>35</v>
      </c>
      <c r="C162" s="271" t="str">
        <f>'24THAPRIL'!E162</f>
        <v/>
      </c>
      <c r="D162" s="227">
        <v>5.5</v>
      </c>
      <c r="E162" s="247"/>
      <c r="F162" s="235" t="s">
        <v>35</v>
      </c>
      <c r="G162" s="235"/>
      <c r="H162" s="272">
        <f>'24THAPRIL'!J162</f>
        <v>3.928</v>
      </c>
      <c r="I162" s="272">
        <f>'24THAPRIL'!K162</f>
        <v>1</v>
      </c>
      <c r="J162" s="284"/>
      <c r="K162" s="283">
        <v>1.0</v>
      </c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9.428</v>
      </c>
      <c r="N162" s="191"/>
      <c r="O162" s="247"/>
    </row>
    <row r="163">
      <c r="A163" s="12" t="s">
        <v>189</v>
      </c>
      <c r="B163" s="12" t="s">
        <v>17</v>
      </c>
      <c r="C163" s="271" t="str">
        <f>'24THAPRIL'!E163</f>
        <v/>
      </c>
      <c r="D163" s="227">
        <v>2.0</v>
      </c>
      <c r="E163" s="280"/>
      <c r="F163" s="235" t="s">
        <v>17</v>
      </c>
      <c r="G163" s="235"/>
      <c r="H163" s="272">
        <f>'24THAPRIL'!J163</f>
        <v>0.5</v>
      </c>
      <c r="I163" s="272">
        <f>'24THAPRIL'!K163</f>
        <v>1</v>
      </c>
      <c r="J163" s="282">
        <v>1.5</v>
      </c>
      <c r="K163" s="283">
        <v>1.0</v>
      </c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1</v>
      </c>
      <c r="N163" s="191"/>
      <c r="O163" s="247"/>
    </row>
    <row r="164">
      <c r="A164" s="12" t="s">
        <v>190</v>
      </c>
      <c r="B164" s="12" t="s">
        <v>17</v>
      </c>
      <c r="C164" s="271" t="str">
        <f>'24THAPRIL'!E164</f>
        <v/>
      </c>
      <c r="D164" s="191"/>
      <c r="E164" s="247"/>
      <c r="F164" s="235" t="s">
        <v>17</v>
      </c>
      <c r="G164" s="235"/>
      <c r="H164" s="272" t="str">
        <f>'24THAPRIL'!J164</f>
        <v/>
      </c>
      <c r="I164" s="272">
        <f>'24THAPRIL'!K164</f>
        <v>1</v>
      </c>
      <c r="J164" s="284"/>
      <c r="K164" s="283">
        <v>1.0</v>
      </c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71" t="str">
        <f>'24THAPRIL'!E165</f>
        <v/>
      </c>
      <c r="D165" s="227">
        <v>2.0</v>
      </c>
      <c r="E165" s="247"/>
      <c r="F165" s="235" t="s">
        <v>35</v>
      </c>
      <c r="G165" s="235"/>
      <c r="H165" s="272" t="str">
        <f>'24THAPRIL'!J165</f>
        <v/>
      </c>
      <c r="I165" s="272">
        <f>'24THAPRIL'!K165</f>
        <v>1</v>
      </c>
      <c r="J165" s="284"/>
      <c r="K165" s="283">
        <v>1.0</v>
      </c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2</v>
      </c>
      <c r="N165" s="191"/>
      <c r="O165" s="247"/>
    </row>
    <row r="166">
      <c r="A166" s="12" t="s">
        <v>192</v>
      </c>
      <c r="B166" s="12" t="s">
        <v>35</v>
      </c>
      <c r="C166" s="271" t="str">
        <f>'24THAPRIL'!E166</f>
        <v/>
      </c>
      <c r="D166" s="227">
        <v>1.5</v>
      </c>
      <c r="E166" s="247"/>
      <c r="F166" s="235" t="s">
        <v>35</v>
      </c>
      <c r="G166" s="285"/>
      <c r="H166" s="272" t="str">
        <f>'24THAPRIL'!J166</f>
        <v/>
      </c>
      <c r="I166" s="272">
        <f>'24THAPRIL'!K166</f>
        <v>1</v>
      </c>
      <c r="J166" s="282"/>
      <c r="K166" s="283">
        <v>1.0</v>
      </c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1.5</v>
      </c>
      <c r="N166" s="191"/>
      <c r="O166" s="247"/>
    </row>
    <row r="167">
      <c r="A167" s="12" t="s">
        <v>193</v>
      </c>
      <c r="B167" s="12" t="s">
        <v>35</v>
      </c>
      <c r="C167" s="271" t="str">
        <f>'24THAPRIL'!E167</f>
        <v/>
      </c>
      <c r="D167" s="227">
        <v>15.0</v>
      </c>
      <c r="E167" s="247"/>
      <c r="F167" s="235" t="s">
        <v>35</v>
      </c>
      <c r="G167" s="235"/>
      <c r="H167" s="272">
        <f>'24THAPRIL'!J167</f>
        <v>3.117</v>
      </c>
      <c r="I167" s="272">
        <f>'24THAPRIL'!K167</f>
        <v>1</v>
      </c>
      <c r="J167" s="282">
        <v>2.331</v>
      </c>
      <c r="K167" s="283">
        <v>1.0</v>
      </c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15.786</v>
      </c>
      <c r="N167" s="191"/>
      <c r="O167" s="247"/>
    </row>
    <row r="168">
      <c r="A168" s="12" t="s">
        <v>194</v>
      </c>
      <c r="B168" s="12" t="s">
        <v>17</v>
      </c>
      <c r="C168" s="271" t="str">
        <f>'24THAPRIL'!E168</f>
        <v/>
      </c>
      <c r="D168" s="227"/>
      <c r="E168" s="247"/>
      <c r="F168" s="235" t="s">
        <v>17</v>
      </c>
      <c r="G168" s="235"/>
      <c r="H168" s="272" t="str">
        <f>'24THAPRIL'!J168</f>
        <v/>
      </c>
      <c r="I168" s="272">
        <f>'24THAPRIL'!K168</f>
        <v>1</v>
      </c>
      <c r="J168" s="284"/>
      <c r="K168" s="283">
        <v>1.0</v>
      </c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0</v>
      </c>
      <c r="N168" s="191"/>
      <c r="O168" s="247"/>
    </row>
    <row r="169">
      <c r="A169" s="12" t="s">
        <v>195</v>
      </c>
      <c r="B169" s="12" t="s">
        <v>35</v>
      </c>
      <c r="C169" s="271" t="str">
        <f>'24THAPRIL'!E169</f>
        <v/>
      </c>
      <c r="D169" s="227">
        <v>0.75</v>
      </c>
      <c r="E169" s="247"/>
      <c r="F169" s="235" t="s">
        <v>35</v>
      </c>
      <c r="G169" s="235"/>
      <c r="H169" s="272">
        <f>'24THAPRIL'!J169</f>
        <v>0.737</v>
      </c>
      <c r="I169" s="272">
        <f>'24THAPRIL'!K169</f>
        <v>1</v>
      </c>
      <c r="J169" s="282">
        <v>0.261</v>
      </c>
      <c r="K169" s="283">
        <v>1.0</v>
      </c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1.226</v>
      </c>
      <c r="N169" s="191"/>
      <c r="O169" s="247"/>
    </row>
    <row r="170">
      <c r="A170" s="12" t="s">
        <v>196</v>
      </c>
      <c r="B170" s="12" t="s">
        <v>35</v>
      </c>
      <c r="C170" s="271" t="str">
        <f>'24THAPRIL'!E170</f>
        <v/>
      </c>
      <c r="D170" s="227">
        <v>1.0</v>
      </c>
      <c r="E170" s="247"/>
      <c r="F170" s="235" t="s">
        <v>35</v>
      </c>
      <c r="G170" s="235"/>
      <c r="H170" s="272" t="str">
        <f>'24THAPRIL'!J170</f>
        <v/>
      </c>
      <c r="I170" s="272">
        <f>'24THAPRIL'!K170</f>
        <v>1</v>
      </c>
      <c r="J170" s="282">
        <v>0.614</v>
      </c>
      <c r="K170" s="283">
        <v>1.0</v>
      </c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0.386</v>
      </c>
      <c r="N170" s="191"/>
      <c r="O170" s="247"/>
    </row>
    <row r="171">
      <c r="A171" s="12" t="s">
        <v>197</v>
      </c>
      <c r="B171" s="12" t="s">
        <v>35</v>
      </c>
      <c r="C171" s="271" t="str">
        <f>'24THAPRIL'!E171</f>
        <v/>
      </c>
      <c r="D171" s="191"/>
      <c r="E171" s="247"/>
      <c r="F171" s="235" t="s">
        <v>35</v>
      </c>
      <c r="G171" s="285">
        <v>0.474</v>
      </c>
      <c r="H171" s="272">
        <f>'24THAPRIL'!J171</f>
        <v>0.116</v>
      </c>
      <c r="I171" s="272">
        <f>'24THAPRIL'!K171</f>
        <v>1</v>
      </c>
      <c r="J171" s="282">
        <v>0.59</v>
      </c>
      <c r="K171" s="283">
        <v>1.0</v>
      </c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0</v>
      </c>
      <c r="N171" s="191"/>
      <c r="O171" s="247"/>
    </row>
    <row r="172">
      <c r="A172" s="12" t="s">
        <v>198</v>
      </c>
      <c r="B172" s="12" t="s">
        <v>35</v>
      </c>
      <c r="C172" s="271" t="str">
        <f>'24THAPRIL'!E172</f>
        <v/>
      </c>
      <c r="D172" s="227">
        <v>1.7</v>
      </c>
      <c r="E172" s="247"/>
      <c r="F172" s="235" t="s">
        <v>35</v>
      </c>
      <c r="G172" s="235"/>
      <c r="H172" s="272">
        <f>'24THAPRIL'!J172</f>
        <v>1</v>
      </c>
      <c r="I172" s="272">
        <f>'24THAPRIL'!K172</f>
        <v>1</v>
      </c>
      <c r="J172" s="282">
        <v>0.187</v>
      </c>
      <c r="K172" s="283">
        <v>1.0</v>
      </c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2.513</v>
      </c>
      <c r="N172" s="191"/>
      <c r="O172" s="247"/>
    </row>
    <row r="173">
      <c r="A173" s="12" t="s">
        <v>199</v>
      </c>
      <c r="B173" s="12" t="s">
        <v>35</v>
      </c>
      <c r="C173" s="271" t="str">
        <f>'24THAPRIL'!E173</f>
        <v/>
      </c>
      <c r="D173" s="227">
        <v>1.8</v>
      </c>
      <c r="E173" s="247"/>
      <c r="F173" s="235" t="s">
        <v>35</v>
      </c>
      <c r="G173" s="235"/>
      <c r="H173" s="272">
        <f>'24THAPRIL'!J173</f>
        <v>0.121</v>
      </c>
      <c r="I173" s="272">
        <f>'24THAPRIL'!K173</f>
        <v>1</v>
      </c>
      <c r="J173" s="282">
        <v>0.12</v>
      </c>
      <c r="K173" s="283">
        <v>1.0</v>
      </c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1.801</v>
      </c>
      <c r="N173" s="191"/>
      <c r="O173" s="247"/>
    </row>
    <row r="174">
      <c r="A174" s="12" t="s">
        <v>200</v>
      </c>
      <c r="B174" s="12" t="s">
        <v>35</v>
      </c>
      <c r="C174" s="271" t="str">
        <f>'24THAPRIL'!E174</f>
        <v/>
      </c>
      <c r="D174" s="227">
        <v>1.8</v>
      </c>
      <c r="E174" s="247"/>
      <c r="F174" s="235" t="s">
        <v>35</v>
      </c>
      <c r="G174" s="235"/>
      <c r="H174" s="272">
        <f>'24THAPRIL'!J174</f>
        <v>0.193</v>
      </c>
      <c r="I174" s="272">
        <f>'24THAPRIL'!K174</f>
        <v>1</v>
      </c>
      <c r="J174" s="282">
        <v>0.38</v>
      </c>
      <c r="K174" s="283">
        <v>1.0</v>
      </c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1.613</v>
      </c>
      <c r="N174" s="191"/>
      <c r="O174" s="247"/>
    </row>
    <row r="175">
      <c r="A175" s="12" t="s">
        <v>201</v>
      </c>
      <c r="B175" s="12" t="s">
        <v>202</v>
      </c>
      <c r="C175" s="271" t="str">
        <f>'24THAPRIL'!E175</f>
        <v/>
      </c>
      <c r="D175" s="191"/>
      <c r="E175" s="247"/>
      <c r="F175" s="235" t="s">
        <v>202</v>
      </c>
      <c r="G175" s="235"/>
      <c r="H175" s="272" t="str">
        <f>'24THAPRIL'!J175</f>
        <v/>
      </c>
      <c r="I175" s="272">
        <f>'24THAPRIL'!K175</f>
        <v>1</v>
      </c>
      <c r="J175" s="284"/>
      <c r="K175" s="283">
        <v>1.0</v>
      </c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71" t="str">
        <f>'24THAPRIL'!E176</f>
        <v/>
      </c>
      <c r="D176" s="191"/>
      <c r="E176" s="247"/>
      <c r="F176" s="235" t="s">
        <v>202</v>
      </c>
      <c r="G176" s="235"/>
      <c r="H176" s="272">
        <f>'24THAPRIL'!J176</f>
        <v>1</v>
      </c>
      <c r="I176" s="272">
        <f>'24THAPRIL'!K176</f>
        <v>1</v>
      </c>
      <c r="J176" s="282"/>
      <c r="K176" s="283">
        <v>1.0</v>
      </c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1</v>
      </c>
      <c r="N176" s="191"/>
      <c r="O176" s="247"/>
    </row>
    <row r="177">
      <c r="A177" s="12" t="s">
        <v>205</v>
      </c>
      <c r="B177" s="12" t="s">
        <v>202</v>
      </c>
      <c r="C177" s="271" t="str">
        <f>'24THAPRIL'!E177</f>
        <v/>
      </c>
      <c r="D177" s="227">
        <v>5.0</v>
      </c>
      <c r="E177" s="247"/>
      <c r="F177" s="235" t="s">
        <v>202</v>
      </c>
      <c r="G177" s="235"/>
      <c r="H177" s="272" t="str">
        <f>'24THAPRIL'!J177</f>
        <v/>
      </c>
      <c r="I177" s="272">
        <f>'24THAPRIL'!K177</f>
        <v>1</v>
      </c>
      <c r="J177" s="284"/>
      <c r="K177" s="283">
        <v>1.0</v>
      </c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5</v>
      </c>
      <c r="N177" s="191"/>
      <c r="O177" s="247"/>
    </row>
    <row r="178">
      <c r="A178" s="12" t="s">
        <v>206</v>
      </c>
      <c r="B178" s="12" t="s">
        <v>207</v>
      </c>
      <c r="C178" s="271" t="str">
        <f>'24THAPRIL'!E178</f>
        <v/>
      </c>
      <c r="D178" s="227">
        <v>1.0</v>
      </c>
      <c r="E178" s="247"/>
      <c r="F178" s="235" t="s">
        <v>17</v>
      </c>
      <c r="G178" s="235"/>
      <c r="H178" s="272">
        <f>'24THAPRIL'!J178</f>
        <v>34</v>
      </c>
      <c r="I178" s="272">
        <f>'24THAPRIL'!K178</f>
        <v>1</v>
      </c>
      <c r="J178" s="282">
        <v>5.0</v>
      </c>
      <c r="K178" s="283">
        <v>1.0</v>
      </c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59</v>
      </c>
      <c r="N178" s="191"/>
      <c r="O178" s="247"/>
    </row>
    <row r="179">
      <c r="A179" s="12" t="s">
        <v>209</v>
      </c>
      <c r="B179" s="12" t="s">
        <v>17</v>
      </c>
      <c r="C179" s="271" t="str">
        <f>'24THAPRIL'!E179</f>
        <v/>
      </c>
      <c r="D179" s="191"/>
      <c r="E179" s="247"/>
      <c r="F179" s="235" t="s">
        <v>17</v>
      </c>
      <c r="G179" s="235"/>
      <c r="H179" s="272" t="str">
        <f>'24THAPRIL'!J179</f>
        <v/>
      </c>
      <c r="I179" s="272">
        <f>'24THAPRIL'!K179</f>
        <v>1</v>
      </c>
      <c r="J179" s="284"/>
      <c r="K179" s="283">
        <v>1.0</v>
      </c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71" t="str">
        <f>'24THAPRIL'!E180</f>
        <v/>
      </c>
      <c r="D180" s="191"/>
      <c r="E180" s="247"/>
      <c r="F180" s="235" t="s">
        <v>202</v>
      </c>
      <c r="G180" s="285"/>
      <c r="H180" s="272" t="str">
        <f>'24THAPRIL'!J180</f>
        <v/>
      </c>
      <c r="I180" s="272">
        <f>'24THAPRIL'!K180</f>
        <v>1</v>
      </c>
      <c r="J180" s="282"/>
      <c r="K180" s="283">
        <v>1.0</v>
      </c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0</v>
      </c>
      <c r="N180" s="191"/>
      <c r="O180" s="247"/>
    </row>
    <row r="181">
      <c r="A181" s="12" t="s">
        <v>211</v>
      </c>
      <c r="B181" s="12" t="s">
        <v>202</v>
      </c>
      <c r="C181" s="271" t="str">
        <f>'24THAPRIL'!E181</f>
        <v/>
      </c>
      <c r="D181" s="227"/>
      <c r="E181" s="247"/>
      <c r="F181" s="235" t="s">
        <v>202</v>
      </c>
      <c r="G181" s="235"/>
      <c r="H181" s="272">
        <f>'24THAPRIL'!J181</f>
        <v>1</v>
      </c>
      <c r="I181" s="272">
        <f>'24THAPRIL'!K181</f>
        <v>1</v>
      </c>
      <c r="J181" s="282">
        <v>1.0</v>
      </c>
      <c r="K181" s="283">
        <v>1.0</v>
      </c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71">
        <f>'24THAPRIL'!E182</f>
        <v>1</v>
      </c>
      <c r="D182" s="227">
        <v>1.0</v>
      </c>
      <c r="E182" s="247"/>
      <c r="F182" s="235" t="s">
        <v>202</v>
      </c>
      <c r="G182" s="235"/>
      <c r="H182" s="272" t="str">
        <f>'24THAPRIL'!J182</f>
        <v/>
      </c>
      <c r="I182" s="272">
        <f>'24THAPRIL'!K182</f>
        <v>1</v>
      </c>
      <c r="J182" s="282">
        <v>0.039</v>
      </c>
      <c r="K182" s="283">
        <v>1.0</v>
      </c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1.961</v>
      </c>
      <c r="N182" s="191"/>
      <c r="O182" s="247"/>
    </row>
    <row r="183">
      <c r="A183" s="12" t="s">
        <v>213</v>
      </c>
      <c r="B183" s="12" t="s">
        <v>35</v>
      </c>
      <c r="C183" s="271" t="str">
        <f>'24THAPRIL'!E183</f>
        <v/>
      </c>
      <c r="D183" s="191"/>
      <c r="E183" s="247"/>
      <c r="F183" s="235" t="s">
        <v>35</v>
      </c>
      <c r="G183" s="235"/>
      <c r="H183" s="272" t="str">
        <f>'24THAPRIL'!J183</f>
        <v/>
      </c>
      <c r="I183" s="272">
        <f>'24THAPRIL'!K183</f>
        <v>1</v>
      </c>
      <c r="J183" s="284"/>
      <c r="K183" s="283">
        <v>1.0</v>
      </c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71" t="str">
        <f>'24THAPRIL'!E184</f>
        <v/>
      </c>
      <c r="D184" s="191"/>
      <c r="E184" s="247"/>
      <c r="F184" s="235" t="s">
        <v>35</v>
      </c>
      <c r="G184" s="235"/>
      <c r="H184" s="272">
        <f>'24THAPRIL'!J184</f>
        <v>0.161</v>
      </c>
      <c r="I184" s="272">
        <f>'24THAPRIL'!K184</f>
        <v>1</v>
      </c>
      <c r="J184" s="282">
        <v>0.052</v>
      </c>
      <c r="K184" s="283">
        <v>1.0</v>
      </c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0.109</v>
      </c>
      <c r="N184" s="191"/>
      <c r="O184" s="247"/>
    </row>
    <row r="185">
      <c r="A185" s="12" t="s">
        <v>215</v>
      </c>
      <c r="B185" s="12" t="s">
        <v>35</v>
      </c>
      <c r="C185" s="271" t="str">
        <f>'24THAPRIL'!E185</f>
        <v/>
      </c>
      <c r="D185" s="227">
        <v>1.0</v>
      </c>
      <c r="E185" s="247"/>
      <c r="F185" s="235" t="s">
        <v>35</v>
      </c>
      <c r="G185" s="235"/>
      <c r="H185" s="272">
        <f>'24THAPRIL'!J185</f>
        <v>1</v>
      </c>
      <c r="I185" s="272">
        <f>'24THAPRIL'!K185</f>
        <v>1</v>
      </c>
      <c r="J185" s="282">
        <v>0.0891</v>
      </c>
      <c r="K185" s="283">
        <v>1.0</v>
      </c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1.9109</v>
      </c>
      <c r="N185" s="191"/>
      <c r="O185" s="247"/>
    </row>
    <row r="186">
      <c r="A186" s="12" t="s">
        <v>216</v>
      </c>
      <c r="B186" s="12" t="s">
        <v>17</v>
      </c>
      <c r="C186" s="271" t="str">
        <f>'24THAPRIL'!E186</f>
        <v/>
      </c>
      <c r="D186" s="191"/>
      <c r="E186" s="247"/>
      <c r="F186" s="235" t="s">
        <v>17</v>
      </c>
      <c r="G186" s="235"/>
      <c r="H186" s="272">
        <f>'24THAPRIL'!J186</f>
        <v>2.25</v>
      </c>
      <c r="I186" s="272">
        <f>'24THAPRIL'!K186</f>
        <v>1</v>
      </c>
      <c r="J186" s="282">
        <v>1.5</v>
      </c>
      <c r="K186" s="283">
        <v>1.0</v>
      </c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0.75</v>
      </c>
      <c r="N186" s="191"/>
      <c r="O186" s="247"/>
    </row>
    <row r="187">
      <c r="A187" s="12" t="s">
        <v>217</v>
      </c>
      <c r="B187" s="12" t="s">
        <v>35</v>
      </c>
      <c r="C187" s="271" t="str">
        <f>'24THAPRIL'!E187</f>
        <v/>
      </c>
      <c r="D187" s="227">
        <v>1.0</v>
      </c>
      <c r="E187" s="247"/>
      <c r="F187" s="235" t="s">
        <v>35</v>
      </c>
      <c r="G187" s="235"/>
      <c r="H187" s="272" t="str">
        <f>'24THAPRIL'!J187</f>
        <v/>
      </c>
      <c r="I187" s="272">
        <f>'24THAPRIL'!K187</f>
        <v>1</v>
      </c>
      <c r="J187" s="282">
        <v>0.172</v>
      </c>
      <c r="K187" s="283">
        <v>1.0</v>
      </c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0.828</v>
      </c>
      <c r="N187" s="191"/>
      <c r="O187" s="247"/>
    </row>
    <row r="188">
      <c r="A188" s="12" t="s">
        <v>218</v>
      </c>
      <c r="B188" s="12" t="s">
        <v>17</v>
      </c>
      <c r="C188" s="271" t="str">
        <f>'24THAPRIL'!E188</f>
        <v/>
      </c>
      <c r="D188" s="227">
        <v>2.0</v>
      </c>
      <c r="E188" s="247"/>
      <c r="F188" s="235" t="s">
        <v>17</v>
      </c>
      <c r="G188" s="235"/>
      <c r="H188" s="272">
        <f>'24THAPRIL'!J188</f>
        <v>1.5</v>
      </c>
      <c r="I188" s="272">
        <f>'24THAPRIL'!K188</f>
        <v>1</v>
      </c>
      <c r="J188" s="282">
        <v>2.0</v>
      </c>
      <c r="K188" s="283">
        <v>1.0</v>
      </c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1.5</v>
      </c>
      <c r="N188" s="191"/>
      <c r="O188" s="247"/>
    </row>
    <row r="189">
      <c r="A189" s="12" t="s">
        <v>220</v>
      </c>
      <c r="B189" s="12" t="s">
        <v>35</v>
      </c>
      <c r="C189" s="271" t="str">
        <f>'24THAPRIL'!E189</f>
        <v/>
      </c>
      <c r="D189" s="191"/>
      <c r="E189" s="247"/>
      <c r="F189" s="235" t="s">
        <v>35</v>
      </c>
      <c r="G189" s="235"/>
      <c r="H189" s="272" t="str">
        <f>'24THAPRIL'!J189</f>
        <v/>
      </c>
      <c r="I189" s="272">
        <f>'24THAPRIL'!K189</f>
        <v>1</v>
      </c>
      <c r="J189" s="284"/>
      <c r="K189" s="283">
        <v>1.0</v>
      </c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71" t="str">
        <f>'24THAPRIL'!E190</f>
        <v/>
      </c>
      <c r="D190" s="227">
        <v>12.0</v>
      </c>
      <c r="E190" s="247"/>
      <c r="F190" s="235" t="s">
        <v>17</v>
      </c>
      <c r="G190" s="235"/>
      <c r="H190" s="272">
        <f>'24THAPRIL'!J190</f>
        <v>3.25</v>
      </c>
      <c r="I190" s="272">
        <f>'24THAPRIL'!K190</f>
        <v>1</v>
      </c>
      <c r="J190" s="282">
        <v>5.25</v>
      </c>
      <c r="K190" s="283">
        <v>1.0</v>
      </c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10</v>
      </c>
      <c r="N190" s="191"/>
      <c r="O190" s="247"/>
    </row>
    <row r="191">
      <c r="A191" s="12" t="s">
        <v>222</v>
      </c>
      <c r="B191" s="12" t="s">
        <v>17</v>
      </c>
      <c r="C191" s="271" t="str">
        <f>'24THAPRIL'!E191</f>
        <v/>
      </c>
      <c r="D191" s="191"/>
      <c r="E191" s="247"/>
      <c r="F191" s="235" t="s">
        <v>17</v>
      </c>
      <c r="G191" s="235"/>
      <c r="H191" s="272" t="str">
        <f>'24THAPRIL'!J191</f>
        <v/>
      </c>
      <c r="I191" s="272">
        <f>'24THAPRIL'!K191</f>
        <v>1</v>
      </c>
      <c r="J191" s="284"/>
      <c r="K191" s="283">
        <v>1.0</v>
      </c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71" t="str">
        <f>'24THAPRIL'!E192</f>
        <v/>
      </c>
      <c r="D192" s="227">
        <v>8.0</v>
      </c>
      <c r="E192" s="247"/>
      <c r="F192" s="235" t="s">
        <v>17</v>
      </c>
      <c r="G192" s="235"/>
      <c r="H192" s="272" t="str">
        <f>'24THAPRIL'!J192</f>
        <v/>
      </c>
      <c r="I192" s="272">
        <f>'24THAPRIL'!K192</f>
        <v>1</v>
      </c>
      <c r="J192" s="282">
        <v>1.0</v>
      </c>
      <c r="K192" s="283">
        <v>1.0</v>
      </c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7</v>
      </c>
      <c r="N192" s="191"/>
      <c r="O192" s="247"/>
    </row>
    <row r="193">
      <c r="A193" s="12" t="s">
        <v>224</v>
      </c>
      <c r="B193" s="12" t="s">
        <v>202</v>
      </c>
      <c r="C193" s="271" t="str">
        <f>'24THAPRIL'!E193</f>
        <v/>
      </c>
      <c r="D193" s="227">
        <v>1.0</v>
      </c>
      <c r="E193" s="247"/>
      <c r="F193" s="235" t="s">
        <v>202</v>
      </c>
      <c r="G193" s="235"/>
      <c r="H193" s="272" t="str">
        <f>'24THAPRIL'!J193</f>
        <v/>
      </c>
      <c r="I193" s="272">
        <f>'24THAPRIL'!K193</f>
        <v>1</v>
      </c>
      <c r="J193" s="282">
        <v>1.0</v>
      </c>
      <c r="K193" s="283">
        <v>1.0</v>
      </c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</v>
      </c>
      <c r="N193" s="191"/>
      <c r="O193" s="247"/>
    </row>
    <row r="194">
      <c r="A194" s="12" t="s">
        <v>225</v>
      </c>
      <c r="B194" s="12" t="s">
        <v>35</v>
      </c>
      <c r="C194" s="271" t="str">
        <f>'24THAPRIL'!E194</f>
        <v/>
      </c>
      <c r="D194" s="191"/>
      <c r="E194" s="247"/>
      <c r="F194" s="235" t="s">
        <v>35</v>
      </c>
      <c r="G194" s="235"/>
      <c r="H194" s="272">
        <f>'24THAPRIL'!J194</f>
        <v>1</v>
      </c>
      <c r="I194" s="272">
        <f>'24THAPRIL'!K194</f>
        <v>1</v>
      </c>
      <c r="J194" s="282">
        <v>1.0</v>
      </c>
      <c r="K194" s="283">
        <v>1.0</v>
      </c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</v>
      </c>
      <c r="N194" s="191"/>
      <c r="O194" s="247"/>
    </row>
    <row r="195">
      <c r="A195" s="12" t="s">
        <v>227</v>
      </c>
      <c r="B195" s="12" t="s">
        <v>35</v>
      </c>
      <c r="C195" s="271" t="str">
        <f>'24THAPRIL'!E195</f>
        <v/>
      </c>
      <c r="D195" s="191"/>
      <c r="E195" s="247"/>
      <c r="F195" s="235" t="s">
        <v>35</v>
      </c>
      <c r="G195" s="285"/>
      <c r="H195" s="272">
        <f>'24THAPRIL'!J195</f>
        <v>1.2</v>
      </c>
      <c r="I195" s="272">
        <f>'24THAPRIL'!K195</f>
        <v>1</v>
      </c>
      <c r="J195" s="282">
        <v>0.952</v>
      </c>
      <c r="K195" s="283">
        <v>1.0</v>
      </c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0.248</v>
      </c>
      <c r="N195" s="191"/>
      <c r="O195" s="247"/>
    </row>
    <row r="196">
      <c r="A196" s="12" t="s">
        <v>228</v>
      </c>
      <c r="B196" s="12" t="s">
        <v>155</v>
      </c>
      <c r="C196" s="271" t="str">
        <f>'24THAPRIL'!E196</f>
        <v/>
      </c>
      <c r="D196" s="227">
        <v>1.0</v>
      </c>
      <c r="E196" s="247"/>
      <c r="F196" s="235" t="s">
        <v>35</v>
      </c>
      <c r="G196" s="235"/>
      <c r="H196" s="272">
        <f>'24THAPRIL'!J196</f>
        <v>0.258</v>
      </c>
      <c r="I196" s="272">
        <f>'24THAPRIL'!K196</f>
        <v>1</v>
      </c>
      <c r="J196" s="282">
        <v>0.5</v>
      </c>
      <c r="K196" s="283">
        <v>1.0</v>
      </c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0.258</v>
      </c>
      <c r="N196" s="191"/>
      <c r="O196" s="247"/>
    </row>
    <row r="197">
      <c r="A197" s="12" t="s">
        <v>229</v>
      </c>
      <c r="B197" s="12" t="s">
        <v>17</v>
      </c>
      <c r="C197" s="271" t="str">
        <f>'24THAPRIL'!E197</f>
        <v/>
      </c>
      <c r="D197" s="227">
        <v>5.0</v>
      </c>
      <c r="E197" s="247"/>
      <c r="F197" s="235" t="s">
        <v>17</v>
      </c>
      <c r="G197" s="235"/>
      <c r="H197" s="272" t="str">
        <f>'24THAPRIL'!J197</f>
        <v/>
      </c>
      <c r="I197" s="272">
        <f>'24THAPRIL'!K197</f>
        <v>1</v>
      </c>
      <c r="J197" s="282"/>
      <c r="K197" s="283">
        <v>1.0</v>
      </c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5</v>
      </c>
      <c r="N197" s="191"/>
      <c r="O197" s="247"/>
    </row>
    <row r="198">
      <c r="A198" s="12" t="s">
        <v>231</v>
      </c>
      <c r="B198" s="12" t="s">
        <v>35</v>
      </c>
      <c r="C198" s="271" t="str">
        <f>'24THAPRIL'!E198</f>
        <v/>
      </c>
      <c r="D198" s="227">
        <v>1.0</v>
      </c>
      <c r="E198" s="247"/>
      <c r="F198" s="235" t="s">
        <v>35</v>
      </c>
      <c r="G198" s="235"/>
      <c r="H198" s="272">
        <f>'24THAPRIL'!J198</f>
        <v>0.235</v>
      </c>
      <c r="I198" s="272">
        <f>'24THAPRIL'!K198</f>
        <v>1</v>
      </c>
      <c r="J198" s="282">
        <v>0.185</v>
      </c>
      <c r="K198" s="283">
        <v>1.0</v>
      </c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1.05</v>
      </c>
      <c r="N198" s="191"/>
      <c r="O198" s="247"/>
    </row>
    <row r="199">
      <c r="A199" s="12" t="s">
        <v>232</v>
      </c>
      <c r="B199" s="12" t="s">
        <v>202</v>
      </c>
      <c r="C199" s="271" t="str">
        <f>'24THAPRIL'!E199</f>
        <v/>
      </c>
      <c r="D199" s="191"/>
      <c r="E199" s="247"/>
      <c r="F199" s="235" t="s">
        <v>202</v>
      </c>
      <c r="G199" s="285"/>
      <c r="H199" s="272">
        <f>'24THAPRIL'!J199</f>
        <v>1</v>
      </c>
      <c r="I199" s="272">
        <f>'24THAPRIL'!K199</f>
        <v>1</v>
      </c>
      <c r="J199" s="282">
        <v>0.5</v>
      </c>
      <c r="K199" s="283">
        <v>1.0</v>
      </c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0.5</v>
      </c>
      <c r="N199" s="191"/>
      <c r="O199" s="247"/>
    </row>
    <row r="200">
      <c r="A200" s="12" t="s">
        <v>233</v>
      </c>
      <c r="B200" s="12" t="s">
        <v>17</v>
      </c>
      <c r="C200" s="271" t="str">
        <f>'24THAPRIL'!E200</f>
        <v/>
      </c>
      <c r="D200" s="227">
        <v>1.0</v>
      </c>
      <c r="E200" s="280"/>
      <c r="F200" s="235" t="s">
        <v>234</v>
      </c>
      <c r="G200" s="285"/>
      <c r="H200" s="272">
        <f>'24THAPRIL'!J200</f>
        <v>3</v>
      </c>
      <c r="I200" s="272">
        <f>'24THAPRIL'!K200</f>
        <v>1</v>
      </c>
      <c r="J200" s="282">
        <v>2.0</v>
      </c>
      <c r="K200" s="283">
        <v>1.0</v>
      </c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2</v>
      </c>
      <c r="N200" s="191"/>
      <c r="O200" s="247"/>
    </row>
    <row r="201">
      <c r="A201" s="25" t="s">
        <v>235</v>
      </c>
      <c r="B201" s="26" t="s">
        <v>202</v>
      </c>
      <c r="C201" s="271" t="str">
        <f>'24THAPRIL'!E201</f>
        <v/>
      </c>
      <c r="D201" s="227"/>
      <c r="E201" s="247"/>
      <c r="F201" s="235" t="s">
        <v>202</v>
      </c>
      <c r="G201" s="235"/>
      <c r="H201" s="272">
        <f>'24THAPRIL'!J201</f>
        <v>1</v>
      </c>
      <c r="I201" s="272">
        <f>'24THAPRIL'!K201</f>
        <v>1</v>
      </c>
      <c r="J201" s="282">
        <v>0.5</v>
      </c>
      <c r="K201" s="283">
        <v>1.0</v>
      </c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0.5</v>
      </c>
      <c r="N201" s="191"/>
      <c r="O201" s="247"/>
    </row>
    <row r="202">
      <c r="A202" s="25" t="s">
        <v>236</v>
      </c>
      <c r="B202" s="26" t="s">
        <v>237</v>
      </c>
      <c r="C202" s="271" t="str">
        <f>'24THAPRIL'!E202</f>
        <v/>
      </c>
      <c r="D202" s="191"/>
      <c r="E202" s="247"/>
      <c r="F202" s="235" t="s">
        <v>35</v>
      </c>
      <c r="G202" s="235"/>
      <c r="H202" s="272">
        <f>'24THAPRIL'!J202</f>
        <v>0.387</v>
      </c>
      <c r="I202" s="272">
        <f>'24THAPRIL'!K202</f>
        <v>1</v>
      </c>
      <c r="J202" s="282"/>
      <c r="K202" s="283">
        <v>1.0</v>
      </c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0.387</v>
      </c>
      <c r="N202" s="191"/>
      <c r="O202" s="247"/>
    </row>
    <row r="203">
      <c r="A203" s="25" t="s">
        <v>238</v>
      </c>
      <c r="B203" s="26" t="s">
        <v>202</v>
      </c>
      <c r="C203" s="271" t="str">
        <f>'24THAPRIL'!E203</f>
        <v/>
      </c>
      <c r="D203" s="227"/>
      <c r="E203" s="247"/>
      <c r="F203" s="235" t="s">
        <v>202</v>
      </c>
      <c r="G203" s="235"/>
      <c r="H203" s="272">
        <f>'24THAPRIL'!J203</f>
        <v>1</v>
      </c>
      <c r="I203" s="272">
        <f>'24THAPRIL'!K203</f>
        <v>1</v>
      </c>
      <c r="J203" s="282">
        <v>1.0</v>
      </c>
      <c r="K203" s="283">
        <v>1.0</v>
      </c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71" t="str">
        <f>'24THAPRIL'!E204</f>
        <v/>
      </c>
      <c r="D204" s="191"/>
      <c r="E204" s="247"/>
      <c r="F204" s="235" t="s">
        <v>35</v>
      </c>
      <c r="G204" s="235"/>
      <c r="H204" s="272" t="str">
        <f>'24THAPRIL'!J204</f>
        <v/>
      </c>
      <c r="I204" s="272">
        <f>'24THAPRIL'!K204</f>
        <v>1</v>
      </c>
      <c r="J204" s="284"/>
      <c r="K204" s="283">
        <v>1.0</v>
      </c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71" t="str">
        <f>'24THAPRIL'!E205</f>
        <v/>
      </c>
      <c r="D205" s="227"/>
      <c r="E205" s="247"/>
      <c r="F205" s="235" t="s">
        <v>17</v>
      </c>
      <c r="G205" s="285">
        <v>4.0</v>
      </c>
      <c r="H205" s="272">
        <f>'24THAPRIL'!J205</f>
        <v>2</v>
      </c>
      <c r="I205" s="272">
        <f>'24THAPRIL'!K205</f>
        <v>1</v>
      </c>
      <c r="J205" s="282">
        <v>2.0</v>
      </c>
      <c r="K205" s="283">
        <v>1.0</v>
      </c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4</v>
      </c>
      <c r="N205" s="191"/>
      <c r="O205" s="247"/>
    </row>
    <row r="206">
      <c r="A206" s="12" t="s">
        <v>242</v>
      </c>
      <c r="B206" s="12" t="s">
        <v>35</v>
      </c>
      <c r="C206" s="271" t="str">
        <f>'24THAPRIL'!E206</f>
        <v/>
      </c>
      <c r="D206" s="227"/>
      <c r="E206" s="247"/>
      <c r="F206" s="235" t="s">
        <v>35</v>
      </c>
      <c r="G206" s="235"/>
      <c r="H206" s="272">
        <f>'24THAPRIL'!J206</f>
        <v>215</v>
      </c>
      <c r="I206" s="272">
        <f>'24THAPRIL'!K206</f>
        <v>1</v>
      </c>
      <c r="J206" s="282">
        <v>76.45</v>
      </c>
      <c r="K206" s="283">
        <v>1.0</v>
      </c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138.55</v>
      </c>
      <c r="N206" s="191"/>
      <c r="O206" s="247"/>
    </row>
    <row r="207">
      <c r="A207" s="12" t="s">
        <v>243</v>
      </c>
      <c r="B207" s="12" t="s">
        <v>241</v>
      </c>
      <c r="C207" s="271">
        <v>5.0</v>
      </c>
      <c r="D207" s="227"/>
      <c r="E207" s="280">
        <v>5.0</v>
      </c>
      <c r="F207" s="285" t="s">
        <v>241</v>
      </c>
      <c r="G207" s="285">
        <v>15.0</v>
      </c>
      <c r="H207" s="272"/>
      <c r="I207" s="272">
        <f>'24THAPRIL'!K207</f>
        <v>1</v>
      </c>
      <c r="J207" s="282"/>
      <c r="K207" s="283">
        <v>1.0</v>
      </c>
      <c r="L207" s="309" t="s">
        <v>241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15</v>
      </c>
      <c r="N207" s="191"/>
      <c r="O207" s="247"/>
    </row>
    <row r="208">
      <c r="A208" s="10" t="s">
        <v>245</v>
      </c>
      <c r="B208" s="11"/>
      <c r="C208" s="271" t="str">
        <f>'24THAPRIL'!E208</f>
        <v/>
      </c>
      <c r="D208" s="191"/>
      <c r="E208" s="247"/>
      <c r="F208" s="235"/>
      <c r="G208" s="235"/>
      <c r="H208" s="272" t="str">
        <f>'24THAPRIL'!J208</f>
        <v/>
      </c>
      <c r="I208" s="272">
        <f>'24THAPRIL'!K208</f>
        <v>1</v>
      </c>
      <c r="J208" s="284"/>
      <c r="K208" s="283">
        <v>1.0</v>
      </c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71" t="str">
        <f>'24THAPRIL'!E209</f>
        <v/>
      </c>
      <c r="D209" s="227"/>
      <c r="E209" s="247"/>
      <c r="F209" s="235" t="s">
        <v>155</v>
      </c>
      <c r="G209" s="285"/>
      <c r="H209" s="272">
        <f>'24THAPRIL'!J209</f>
        <v>3</v>
      </c>
      <c r="I209" s="272">
        <f>'24THAPRIL'!K209</f>
        <v>1</v>
      </c>
      <c r="J209" s="282">
        <v>1.0</v>
      </c>
      <c r="K209" s="283">
        <v>1.0</v>
      </c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2</v>
      </c>
      <c r="N209" s="191"/>
      <c r="O209" s="247"/>
    </row>
    <row r="210">
      <c r="A210" s="12" t="s">
        <v>247</v>
      </c>
      <c r="B210" s="13" t="s">
        <v>59</v>
      </c>
      <c r="C210" s="271" t="str">
        <f>'24THAPRIL'!E210</f>
        <v/>
      </c>
      <c r="D210" s="227">
        <v>1.0</v>
      </c>
      <c r="E210" s="280"/>
      <c r="F210" s="235" t="s">
        <v>35</v>
      </c>
      <c r="G210" s="235"/>
      <c r="H210" s="272" t="str">
        <f>'24THAPRIL'!J210</f>
        <v/>
      </c>
      <c r="I210" s="272">
        <f>'24THAPRIL'!K210</f>
        <v>1</v>
      </c>
      <c r="J210" s="282"/>
      <c r="K210" s="283">
        <v>1.0</v>
      </c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0.5</v>
      </c>
      <c r="N210" s="191"/>
      <c r="O210" s="247"/>
    </row>
    <row r="211">
      <c r="A211" s="12" t="s">
        <v>248</v>
      </c>
      <c r="B211" s="13" t="s">
        <v>59</v>
      </c>
      <c r="C211" s="271">
        <f>'24THAPRIL'!E211</f>
        <v>2</v>
      </c>
      <c r="D211" s="191"/>
      <c r="E211" s="280">
        <v>2.0</v>
      </c>
      <c r="F211" s="235" t="s">
        <v>35</v>
      </c>
      <c r="G211" s="235"/>
      <c r="H211" s="272" t="str">
        <f>'24THAPRIL'!J211</f>
        <v/>
      </c>
      <c r="I211" s="272">
        <f>'24THAPRIL'!K211</f>
        <v>1</v>
      </c>
      <c r="J211" s="284"/>
      <c r="K211" s="283">
        <v>1.0</v>
      </c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247"/>
    </row>
    <row r="212">
      <c r="A212" s="12" t="s">
        <v>250</v>
      </c>
      <c r="B212" s="13" t="s">
        <v>59</v>
      </c>
      <c r="C212" s="271" t="str">
        <f>'24THAPRIL'!E212</f>
        <v/>
      </c>
      <c r="D212" s="191"/>
      <c r="E212" s="280"/>
      <c r="F212" s="235" t="s">
        <v>35</v>
      </c>
      <c r="G212" s="235"/>
      <c r="H212" s="272">
        <f>'24THAPRIL'!J212</f>
        <v>0.346</v>
      </c>
      <c r="I212" s="272">
        <f>'24THAPRIL'!K212</f>
        <v>1</v>
      </c>
      <c r="J212" s="282">
        <v>0.267</v>
      </c>
      <c r="K212" s="283">
        <v>1.0</v>
      </c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0.079</v>
      </c>
      <c r="N212" s="191"/>
      <c r="O212" s="247"/>
    </row>
    <row r="213">
      <c r="A213" s="12" t="s">
        <v>251</v>
      </c>
      <c r="B213" s="13" t="s">
        <v>34</v>
      </c>
      <c r="C213" s="271" t="str">
        <f>'24THAPRIL'!E213</f>
        <v/>
      </c>
      <c r="D213" s="191"/>
      <c r="E213" s="247"/>
      <c r="F213" s="235" t="s">
        <v>35</v>
      </c>
      <c r="G213" s="235"/>
      <c r="H213" s="272" t="str">
        <f>'24THAPRIL'!J213</f>
        <v/>
      </c>
      <c r="I213" s="272">
        <f>'24THAPRIL'!K213</f>
        <v>1</v>
      </c>
      <c r="J213" s="284"/>
      <c r="K213" s="283">
        <v>1.0</v>
      </c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71" t="str">
        <f>'24THAPRIL'!E214</f>
        <v/>
      </c>
      <c r="D214" s="191"/>
      <c r="E214" s="247"/>
      <c r="F214" s="235"/>
      <c r="G214" s="235"/>
      <c r="H214" s="272" t="str">
        <f>'24THAPRIL'!J214</f>
        <v/>
      </c>
      <c r="I214" s="272">
        <f>'24THAPRIL'!K214</f>
        <v>1</v>
      </c>
      <c r="J214" s="284"/>
      <c r="K214" s="283">
        <v>1.0</v>
      </c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71" t="str">
        <f>'24THAPRIL'!E215</f>
        <v/>
      </c>
      <c r="D215" s="191"/>
      <c r="E215" s="247"/>
      <c r="F215" s="235" t="s">
        <v>254</v>
      </c>
      <c r="G215" s="235"/>
      <c r="H215" s="272" t="str">
        <f>'24THAPRIL'!J215</f>
        <v/>
      </c>
      <c r="I215" s="272">
        <f>'24THAPRIL'!K215</f>
        <v>1</v>
      </c>
      <c r="J215" s="284"/>
      <c r="K215" s="283">
        <v>1.0</v>
      </c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71" t="str">
        <f>'24THAPRIL'!E216</f>
        <v/>
      </c>
      <c r="D216" s="191"/>
      <c r="E216" s="247"/>
      <c r="F216" s="235" t="s">
        <v>234</v>
      </c>
      <c r="G216" s="235"/>
      <c r="H216" s="272" t="str">
        <f>'24THAPRIL'!J216</f>
        <v/>
      </c>
      <c r="I216" s="272">
        <f>'24THAPRIL'!K216</f>
        <v>1</v>
      </c>
      <c r="J216" s="284"/>
      <c r="K216" s="283">
        <v>1.0</v>
      </c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71" t="str">
        <f>'24THAPRIL'!E217</f>
        <v/>
      </c>
      <c r="D217" s="227">
        <v>10.0</v>
      </c>
      <c r="E217" s="247"/>
      <c r="F217" s="235" t="s">
        <v>17</v>
      </c>
      <c r="G217" s="235"/>
      <c r="H217" s="272">
        <f>'24THAPRIL'!J217</f>
        <v>9</v>
      </c>
      <c r="I217" s="272">
        <f>'24THAPRIL'!K217</f>
        <v>1</v>
      </c>
      <c r="J217" s="282">
        <v>16.0</v>
      </c>
      <c r="K217" s="283">
        <v>1.0</v>
      </c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3</v>
      </c>
      <c r="N217" s="191"/>
      <c r="O217" s="247"/>
    </row>
    <row r="218">
      <c r="A218" s="12" t="s">
        <v>260</v>
      </c>
      <c r="B218" s="12" t="s">
        <v>261</v>
      </c>
      <c r="C218" s="271">
        <f>'24THAPRIL'!E218</f>
        <v>1</v>
      </c>
      <c r="D218" s="191"/>
      <c r="E218" s="247"/>
      <c r="F218" s="235" t="s">
        <v>35</v>
      </c>
      <c r="G218" s="235"/>
      <c r="H218" s="272" t="str">
        <f>'24THAPRIL'!J218</f>
        <v/>
      </c>
      <c r="I218" s="272" t="str">
        <f>'24THAPRIL'!K218</f>
        <v/>
      </c>
      <c r="J218" s="282">
        <v>4.544</v>
      </c>
      <c r="K218" s="283">
        <v>1.0</v>
      </c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2.426</v>
      </c>
      <c r="N218" s="191"/>
      <c r="O218" s="247"/>
    </row>
    <row r="219">
      <c r="A219" s="12" t="s">
        <v>263</v>
      </c>
      <c r="B219" s="12" t="s">
        <v>17</v>
      </c>
      <c r="C219" s="271" t="str">
        <f>'24THAPRIL'!E219</f>
        <v/>
      </c>
      <c r="D219" s="227">
        <v>70.0</v>
      </c>
      <c r="E219" s="247"/>
      <c r="F219" s="235" t="s">
        <v>17</v>
      </c>
      <c r="G219" s="235"/>
      <c r="H219" s="272">
        <f>'24THAPRIL'!J219</f>
        <v>55</v>
      </c>
      <c r="I219" s="272">
        <f>'24THAPRIL'!K219</f>
        <v>1</v>
      </c>
      <c r="J219" s="282">
        <v>53.0</v>
      </c>
      <c r="K219" s="283">
        <v>1.0</v>
      </c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72</v>
      </c>
      <c r="N219" s="191"/>
      <c r="O219" s="247"/>
    </row>
    <row r="220">
      <c r="A220" s="12" t="s">
        <v>264</v>
      </c>
      <c r="B220" s="12" t="s">
        <v>261</v>
      </c>
      <c r="C220" s="271">
        <f>'24THAPRIL'!E220</f>
        <v>1</v>
      </c>
      <c r="D220" s="191"/>
      <c r="E220" s="247"/>
      <c r="F220" s="235" t="s">
        <v>35</v>
      </c>
      <c r="G220" s="235"/>
      <c r="H220" s="272" t="str">
        <f>'24THAPRIL'!J220</f>
        <v/>
      </c>
      <c r="I220" s="272">
        <f>'24THAPRIL'!K220</f>
        <v>1</v>
      </c>
      <c r="J220" s="282">
        <v>1.854</v>
      </c>
      <c r="K220" s="283">
        <v>1.0</v>
      </c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1.146</v>
      </c>
      <c r="N220" s="191"/>
      <c r="O220" s="247"/>
    </row>
    <row r="221">
      <c r="A221" s="12" t="s">
        <v>265</v>
      </c>
      <c r="B221" s="12" t="s">
        <v>40</v>
      </c>
      <c r="C221" s="271" t="str">
        <f>'24THAPRIL'!E221</f>
        <v/>
      </c>
      <c r="D221" s="227">
        <v>1.0</v>
      </c>
      <c r="E221" s="247"/>
      <c r="F221" s="235" t="s">
        <v>17</v>
      </c>
      <c r="G221" s="235"/>
      <c r="H221" s="272">
        <f>'24THAPRIL'!J221</f>
        <v>43</v>
      </c>
      <c r="I221" s="272">
        <f>'24THAPRIL'!K221</f>
        <v>1</v>
      </c>
      <c r="J221" s="282">
        <v>49.0</v>
      </c>
      <c r="K221" s="283">
        <v>1.0</v>
      </c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19</v>
      </c>
      <c r="N221" s="191"/>
      <c r="O221" s="247"/>
    </row>
    <row r="222">
      <c r="A222" s="12" t="s">
        <v>266</v>
      </c>
      <c r="B222" s="12" t="s">
        <v>267</v>
      </c>
      <c r="C222" s="271" t="str">
        <f>'24THAPRIL'!E222</f>
        <v/>
      </c>
      <c r="D222" s="227">
        <v>1.0</v>
      </c>
      <c r="E222" s="247"/>
      <c r="F222" s="235" t="s">
        <v>17</v>
      </c>
      <c r="G222" s="235"/>
      <c r="H222" s="272">
        <f>'24THAPRIL'!J222</f>
        <v>68</v>
      </c>
      <c r="I222" s="272">
        <f>'24THAPRIL'!K222</f>
        <v>1</v>
      </c>
      <c r="J222" s="282">
        <v>40.0</v>
      </c>
      <c r="K222" s="283">
        <v>1.0</v>
      </c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78</v>
      </c>
      <c r="N222" s="191"/>
      <c r="O222" s="247"/>
    </row>
    <row r="223">
      <c r="A223" s="12" t="s">
        <v>268</v>
      </c>
      <c r="B223" s="12" t="s">
        <v>40</v>
      </c>
      <c r="C223" s="271" t="str">
        <f>'24THAPRIL'!E223</f>
        <v/>
      </c>
      <c r="D223" s="191"/>
      <c r="E223" s="247"/>
      <c r="F223" s="235" t="s">
        <v>17</v>
      </c>
      <c r="G223" s="235"/>
      <c r="H223" s="272">
        <v>39.0</v>
      </c>
      <c r="I223" s="272">
        <f>'24THAPRIL'!K223</f>
        <v>1</v>
      </c>
      <c r="J223" s="282">
        <v>39.0</v>
      </c>
      <c r="K223" s="283">
        <v>1.0</v>
      </c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0</v>
      </c>
      <c r="N223" s="191"/>
      <c r="O223" s="247"/>
    </row>
    <row r="224">
      <c r="A224" s="12" t="s">
        <v>269</v>
      </c>
      <c r="B224" s="294" t="s">
        <v>40</v>
      </c>
      <c r="C224" s="271" t="str">
        <f>'24THAPRIL'!E224</f>
        <v/>
      </c>
      <c r="D224" s="227">
        <v>1.0</v>
      </c>
      <c r="E224" s="191"/>
      <c r="F224" s="191" t="s">
        <v>17</v>
      </c>
      <c r="G224" s="191"/>
      <c r="H224" s="272">
        <f>'24THAPRIL'!J224</f>
        <v>60</v>
      </c>
      <c r="I224" s="272">
        <f>'24THAPRIL'!K224</f>
        <v>1</v>
      </c>
      <c r="J224" s="227">
        <v>83.0</v>
      </c>
      <c r="K224" s="283">
        <v>1.0</v>
      </c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27</v>
      </c>
      <c r="N224" s="191"/>
      <c r="O224" s="247"/>
    </row>
    <row r="225">
      <c r="A225" s="12" t="s">
        <v>270</v>
      </c>
      <c r="B225" s="294" t="s">
        <v>40</v>
      </c>
      <c r="C225" s="271" t="str">
        <f>'24THAPRIL'!E225</f>
        <v/>
      </c>
      <c r="D225" s="227">
        <v>1.0</v>
      </c>
      <c r="E225" s="191"/>
      <c r="F225" s="191" t="s">
        <v>17</v>
      </c>
      <c r="G225" s="191"/>
      <c r="H225" s="272">
        <f>'24THAPRIL'!J225</f>
        <v>46</v>
      </c>
      <c r="I225" s="272">
        <f>'24THAPRIL'!K225</f>
        <v>1</v>
      </c>
      <c r="J225" s="227">
        <v>75.0</v>
      </c>
      <c r="K225" s="283">
        <v>1.0</v>
      </c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21</v>
      </c>
      <c r="N225" s="191"/>
      <c r="O225" s="247"/>
    </row>
    <row r="226">
      <c r="A226" s="12" t="s">
        <v>271</v>
      </c>
      <c r="B226" s="294" t="s">
        <v>40</v>
      </c>
      <c r="C226" s="271" t="str">
        <f>'24THAPRIL'!E226</f>
        <v/>
      </c>
      <c r="D226" s="227"/>
      <c r="E226" s="191"/>
      <c r="F226" s="191" t="s">
        <v>17</v>
      </c>
      <c r="G226" s="191"/>
      <c r="H226" s="272">
        <f>'24THAPRIL'!J226</f>
        <v>80</v>
      </c>
      <c r="I226" s="272">
        <f>'24THAPRIL'!K226</f>
        <v>1</v>
      </c>
      <c r="J226" s="227">
        <v>46.0</v>
      </c>
      <c r="K226" s="283">
        <v>1.0</v>
      </c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34</v>
      </c>
      <c r="N226" s="191"/>
      <c r="O226" s="247"/>
    </row>
    <row r="227">
      <c r="A227" s="12" t="s">
        <v>272</v>
      </c>
      <c r="B227" s="294" t="s">
        <v>40</v>
      </c>
      <c r="C227" s="271" t="str">
        <f>'24THAPRIL'!E227</f>
        <v/>
      </c>
      <c r="D227" s="297"/>
      <c r="E227" s="296"/>
      <c r="F227" s="296" t="s">
        <v>17</v>
      </c>
      <c r="G227" s="296"/>
      <c r="H227" s="272">
        <f>'24THAPRIL'!J227</f>
        <v>17</v>
      </c>
      <c r="I227" s="272">
        <f>'24THAPRIL'!K227</f>
        <v>1</v>
      </c>
      <c r="J227" s="297">
        <v>12.0</v>
      </c>
      <c r="K227" s="283">
        <v>1.0</v>
      </c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5</v>
      </c>
      <c r="N227" s="296"/>
      <c r="O227" s="299"/>
    </row>
    <row r="228">
      <c r="A228" s="23"/>
      <c r="B228" s="11"/>
      <c r="C228" s="11"/>
      <c r="D228" s="11"/>
      <c r="E228" s="11"/>
      <c r="F228" s="11"/>
      <c r="G228" s="11"/>
      <c r="H228" s="11"/>
      <c r="I228" s="11"/>
      <c r="J228" s="11"/>
      <c r="K228" s="283"/>
      <c r="L228" s="11"/>
      <c r="M228" s="11"/>
      <c r="N228" s="11"/>
      <c r="O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19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</sheetData>
  <mergeCells count="4">
    <mergeCell ref="A1:O1"/>
    <mergeCell ref="B2:E2"/>
    <mergeCell ref="F2:K2"/>
    <mergeCell ref="L2:O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10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</row>
    <row r="2">
      <c r="A2" s="311"/>
      <c r="B2" s="304" t="s">
        <v>1</v>
      </c>
      <c r="C2" s="255"/>
      <c r="D2" s="255"/>
      <c r="E2" s="256"/>
      <c r="F2" s="312" t="s">
        <v>2</v>
      </c>
      <c r="G2" s="255"/>
      <c r="H2" s="255"/>
      <c r="I2" s="255"/>
      <c r="J2" s="255"/>
      <c r="K2" s="256"/>
      <c r="L2" s="312" t="s">
        <v>753</v>
      </c>
      <c r="M2" s="255"/>
      <c r="N2" s="255"/>
      <c r="O2" s="256"/>
    </row>
    <row r="3">
      <c r="A3" s="313" t="s">
        <v>754</v>
      </c>
      <c r="B3" s="193" t="s">
        <v>8</v>
      </c>
      <c r="C3" s="193" t="s">
        <v>755</v>
      </c>
      <c r="D3" s="193" t="s">
        <v>756</v>
      </c>
      <c r="E3" s="193" t="s">
        <v>757</v>
      </c>
      <c r="F3" s="193" t="s">
        <v>8</v>
      </c>
      <c r="G3" s="193" t="s">
        <v>756</v>
      </c>
      <c r="H3" s="193" t="s">
        <v>755</v>
      </c>
      <c r="I3" s="193" t="s">
        <v>758</v>
      </c>
      <c r="J3" s="193" t="s">
        <v>757</v>
      </c>
      <c r="K3" s="193" t="s">
        <v>758</v>
      </c>
      <c r="L3" s="193" t="s">
        <v>8</v>
      </c>
      <c r="M3" s="193" t="s">
        <v>759</v>
      </c>
      <c r="N3" s="193" t="s">
        <v>760</v>
      </c>
      <c r="O3" s="193" t="s">
        <v>761</v>
      </c>
    </row>
    <row r="4">
      <c r="A4" s="314" t="s">
        <v>570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</row>
    <row r="5">
      <c r="A5" s="313" t="s">
        <v>397</v>
      </c>
      <c r="B5" s="191" t="s">
        <v>402</v>
      </c>
      <c r="C5" s="227">
        <f>'23RDAPRIL'!E5</f>
        <v>23</v>
      </c>
      <c r="D5" s="227"/>
      <c r="E5" s="227">
        <v>12.0</v>
      </c>
      <c r="F5" s="191" t="s">
        <v>17</v>
      </c>
      <c r="G5" s="191"/>
      <c r="H5" s="191"/>
      <c r="I5" s="191"/>
      <c r="J5" s="191"/>
      <c r="K5" s="191"/>
      <c r="L5" s="191" t="s">
        <v>17</v>
      </c>
      <c r="M5" s="295">
        <f>IF(AND(H5&lt;&gt;"", J5&lt;&gt;""), H5-J5, IF(H5&lt;&gt;"", H5-I5*VLOOKUP(A5, BACKEND2!$A:$G,6,FALSE), IF(J5&lt;&gt;"", -J5+K5*VLOOKUP(A5, BACKEND2!$A:$G,6,FALSE),0)))+ (C5+D5-E5)*VLOOKUP(A5, BACKEND2!$A:$G,5,FALSE)+G5
</f>
        <v>33</v>
      </c>
      <c r="N5" s="191"/>
      <c r="O5" s="191"/>
    </row>
    <row r="6">
      <c r="A6" s="313" t="s">
        <v>401</v>
      </c>
      <c r="B6" s="191" t="s">
        <v>402</v>
      </c>
      <c r="C6" s="227">
        <f>'23RDAPRIL'!E6</f>
        <v>6</v>
      </c>
      <c r="D6" s="227"/>
      <c r="E6" s="227">
        <v>4.0</v>
      </c>
      <c r="F6" s="191" t="s">
        <v>17</v>
      </c>
      <c r="G6" s="191"/>
      <c r="H6" s="191"/>
      <c r="I6" s="191"/>
      <c r="J6" s="191"/>
      <c r="K6" s="191"/>
      <c r="L6" s="191" t="s">
        <v>17</v>
      </c>
      <c r="M6" s="295">
        <f>IF(AND(H6&lt;&gt;"", J6&lt;&gt;""), H6-J6, IF(H6&lt;&gt;"", H6-I6*VLOOKUP(A6, BACKEND2!$A:$G,6,FALSE), IF(J6&lt;&gt;"", -J6+K6*VLOOKUP(A6, BACKEND2!$A:$G,6,FALSE),0)))+ (C6+D6-E6)*VLOOKUP(A6, BACKEND2!$A:$G,5,FALSE)+G6
</f>
        <v>4</v>
      </c>
      <c r="N6" s="191"/>
      <c r="O6" s="191"/>
    </row>
    <row r="7">
      <c r="A7" s="313" t="s">
        <v>404</v>
      </c>
      <c r="B7" s="191" t="s">
        <v>402</v>
      </c>
      <c r="C7" s="227">
        <f>'23RDAPRIL'!E7</f>
        <v>6</v>
      </c>
      <c r="D7" s="191"/>
      <c r="E7" s="227">
        <v>3.0</v>
      </c>
      <c r="F7" s="191" t="s">
        <v>17</v>
      </c>
      <c r="G7" s="191"/>
      <c r="H7" s="191"/>
      <c r="I7" s="191"/>
      <c r="J7" s="191"/>
      <c r="K7" s="191"/>
      <c r="L7" s="191" t="s">
        <v>17</v>
      </c>
      <c r="M7" s="295">
        <f>IF(AND(H7&lt;&gt;"", J7&lt;&gt;""), H7-J7, IF(H7&lt;&gt;"", H7-I7*VLOOKUP(A7, BACKEND2!$A:$G,6,FALSE), IF(J7&lt;&gt;"", -J7+K7*VLOOKUP(A7, BACKEND2!$A:$G,6,FALSE),0)))+ (C7+D7-E7)*VLOOKUP(A7, BACKEND2!$A:$G,5,FALSE)+G7
</f>
        <v>15</v>
      </c>
      <c r="N7" s="191"/>
      <c r="O7" s="191"/>
    </row>
    <row r="8">
      <c r="A8" s="313" t="s">
        <v>406</v>
      </c>
      <c r="B8" s="191" t="s">
        <v>402</v>
      </c>
      <c r="C8" s="227">
        <f>'23RDAPRIL'!E8</f>
        <v>3</v>
      </c>
      <c r="D8" s="227">
        <v>5.0</v>
      </c>
      <c r="E8" s="227"/>
      <c r="F8" s="191" t="s">
        <v>402</v>
      </c>
      <c r="G8" s="191"/>
      <c r="H8" s="191"/>
      <c r="I8" s="191"/>
      <c r="J8" s="191"/>
      <c r="K8" s="191"/>
      <c r="L8" s="191" t="s">
        <v>402</v>
      </c>
      <c r="M8" s="295">
        <f>IF(AND(H8&lt;&gt;"", J8&lt;&gt;""), H8-J8, IF(H8&lt;&gt;"", H8-I8*VLOOKUP(A8, BACKEND2!$A:$G,6,FALSE), IF(J8&lt;&gt;"", -J8+K8*VLOOKUP(A8, BACKEND2!$A:$G,6,FALSE),0)))+ (C8+D8-E8)*VLOOKUP(A8, BACKEND2!$A:$G,5,FALSE)+G8
</f>
        <v>8</v>
      </c>
      <c r="N8" s="191"/>
      <c r="O8" s="191"/>
    </row>
    <row r="9">
      <c r="A9" s="313" t="s">
        <v>409</v>
      </c>
      <c r="B9" s="191" t="s">
        <v>402</v>
      </c>
      <c r="C9" s="227">
        <f>'23RDAPRIL'!E9</f>
        <v>1</v>
      </c>
      <c r="D9" s="191"/>
      <c r="E9" s="227">
        <v>1.0</v>
      </c>
      <c r="F9" s="191" t="s">
        <v>17</v>
      </c>
      <c r="G9" s="191"/>
      <c r="H9" s="191"/>
      <c r="I9" s="191"/>
      <c r="J9" s="191"/>
      <c r="K9" s="191"/>
      <c r="L9" s="191" t="s">
        <v>17</v>
      </c>
      <c r="M9" s="295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191"/>
      <c r="O9" s="191"/>
    </row>
    <row r="10">
      <c r="A10" s="313" t="s">
        <v>411</v>
      </c>
      <c r="B10" s="191" t="s">
        <v>402</v>
      </c>
      <c r="C10" s="227">
        <f>'23RDAPRIL'!E10</f>
        <v>5</v>
      </c>
      <c r="D10" s="191"/>
      <c r="E10" s="227">
        <v>1.0</v>
      </c>
      <c r="F10" s="191" t="s">
        <v>17</v>
      </c>
      <c r="G10" s="191"/>
      <c r="H10" s="191"/>
      <c r="I10" s="191"/>
      <c r="J10" s="191"/>
      <c r="K10" s="191"/>
      <c r="L10" s="191" t="s">
        <v>17</v>
      </c>
      <c r="M10" s="295">
        <f>IF(AND(H10&lt;&gt;"", J10&lt;&gt;""), H10-J10, IF(H10&lt;&gt;"", H10-I10*VLOOKUP(A10, BACKEND2!$A:$G,6,FALSE), IF(J10&lt;&gt;"", -J10+K10*VLOOKUP(A10, BACKEND2!$A:$G,6,FALSE),0)))+ (C10+D10-E10)*VLOOKUP(A10, BACKEND2!$A:$G,5,FALSE)+G10
</f>
        <v>32</v>
      </c>
      <c r="N10" s="191"/>
      <c r="O10" s="191"/>
    </row>
    <row r="11">
      <c r="A11" s="313" t="s">
        <v>413</v>
      </c>
      <c r="B11" s="191" t="s">
        <v>402</v>
      </c>
      <c r="C11" s="227">
        <f>'23RDAPRIL'!E11</f>
        <v>2</v>
      </c>
      <c r="D11" s="227">
        <v>22.0</v>
      </c>
      <c r="E11" s="227">
        <v>17.0</v>
      </c>
      <c r="F11" s="191" t="s">
        <v>402</v>
      </c>
      <c r="G11" s="191"/>
      <c r="H11" s="191"/>
      <c r="I11" s="191"/>
      <c r="J11" s="191"/>
      <c r="K11" s="191"/>
      <c r="L11" s="191" t="s">
        <v>402</v>
      </c>
      <c r="M11" s="295">
        <f>IF(AND(H11&lt;&gt;"", J11&lt;&gt;""), H11-J11, IF(H11&lt;&gt;"", H11-I11*VLOOKUP(A11, BACKEND2!$A:$G,6,FALSE), IF(J11&lt;&gt;"", -J11+K11*VLOOKUP(A11, BACKEND2!$A:$G,6,FALSE),0)))+ (C11+D11-E11)*VLOOKUP(A11, BACKEND2!$A:$G,5,FALSE)+G11
</f>
        <v>7</v>
      </c>
      <c r="N11" s="191"/>
      <c r="O11" s="191"/>
    </row>
    <row r="12">
      <c r="A12" s="313" t="s">
        <v>414</v>
      </c>
      <c r="B12" s="191" t="s">
        <v>402</v>
      </c>
      <c r="C12" s="227" t="str">
        <f>'23RDAPRIL'!E12</f>
        <v/>
      </c>
      <c r="D12" s="191"/>
      <c r="E12" s="191"/>
      <c r="F12" s="191" t="s">
        <v>402</v>
      </c>
      <c r="G12" s="191"/>
      <c r="H12" s="191"/>
      <c r="I12" s="191"/>
      <c r="J12" s="191"/>
      <c r="K12" s="191"/>
      <c r="L12" s="191" t="s">
        <v>402</v>
      </c>
      <c r="M12" s="295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191"/>
      <c r="O12" s="191"/>
    </row>
    <row r="13">
      <c r="A13" s="313" t="s">
        <v>416</v>
      </c>
      <c r="B13" s="191" t="s">
        <v>402</v>
      </c>
      <c r="C13" s="227">
        <f>'23RDAPRIL'!E13</f>
        <v>4</v>
      </c>
      <c r="D13" s="227">
        <v>5.0</v>
      </c>
      <c r="E13" s="227">
        <v>8.0</v>
      </c>
      <c r="F13" s="191" t="s">
        <v>17</v>
      </c>
      <c r="G13" s="191"/>
      <c r="H13" s="191"/>
      <c r="I13" s="191"/>
      <c r="J13" s="191"/>
      <c r="K13" s="191"/>
      <c r="L13" s="191" t="s">
        <v>17</v>
      </c>
      <c r="M13" s="295">
        <f>IF(AND(H13&lt;&gt;"", J13&lt;&gt;""), H13-J13, IF(H13&lt;&gt;"", H13-I13*VLOOKUP(A13, BACKEND2!$A:$G,6,FALSE), IF(J13&lt;&gt;"", -J13+K13*VLOOKUP(A13, BACKEND2!$A:$G,6,FALSE),0)))+ (C13+D13-E13)*VLOOKUP(A13, BACKEND2!$A:$G,5,FALSE)+G13
</f>
        <v>9</v>
      </c>
      <c r="N13" s="191"/>
      <c r="O13" s="191"/>
    </row>
    <row r="14">
      <c r="A14" s="313" t="s">
        <v>418</v>
      </c>
      <c r="B14" s="191" t="s">
        <v>402</v>
      </c>
      <c r="C14" s="227">
        <f>'23RDAPRIL'!E14</f>
        <v>16</v>
      </c>
      <c r="D14" s="227">
        <v>5.0</v>
      </c>
      <c r="E14" s="227">
        <v>12.0</v>
      </c>
      <c r="F14" s="191" t="s">
        <v>402</v>
      </c>
      <c r="G14" s="191"/>
      <c r="H14" s="191"/>
      <c r="I14" s="191"/>
      <c r="J14" s="191"/>
      <c r="K14" s="191"/>
      <c r="L14" s="191" t="s">
        <v>402</v>
      </c>
      <c r="M14" s="295">
        <f>IF(AND(H14&lt;&gt;"", J14&lt;&gt;""), H14-J14, IF(H14&lt;&gt;"", H14-I14*VLOOKUP(A14, BACKEND2!$A:$G,6,FALSE), IF(J14&lt;&gt;"", -J14+K14*VLOOKUP(A14, BACKEND2!$A:$G,6,FALSE),0)))+ (C14+D14-E14)*VLOOKUP(A14, BACKEND2!$A:$G,5,FALSE)+G14
</f>
        <v>9</v>
      </c>
      <c r="N14" s="191"/>
      <c r="O14" s="191"/>
    </row>
    <row r="15">
      <c r="A15" s="313" t="s">
        <v>420</v>
      </c>
      <c r="B15" s="191" t="s">
        <v>402</v>
      </c>
      <c r="C15" s="227">
        <f>'23RDAPRIL'!E15</f>
        <v>2</v>
      </c>
      <c r="D15" s="191"/>
      <c r="E15" s="227">
        <v>2.0</v>
      </c>
      <c r="F15" s="191" t="s">
        <v>17</v>
      </c>
      <c r="G15" s="191"/>
      <c r="H15" s="191"/>
      <c r="I15" s="191"/>
      <c r="J15" s="191"/>
      <c r="K15" s="191"/>
      <c r="L15" s="191" t="s">
        <v>17</v>
      </c>
      <c r="M15" s="295">
        <f>IF(AND(H15&lt;&gt;"", J15&lt;&gt;""), H15-J15, IF(H15&lt;&gt;"", H15-I15*VLOOKUP(A15, BACKEND2!$A:$G,6,FALSE), IF(J15&lt;&gt;"", -J15+K15*VLOOKUP(A15, BACKEND2!$A:$G,6,FALSE),0)))+ (C15+D15-E15)*VLOOKUP(A15, BACKEND2!$A:$G,5,FALSE)+G15
</f>
        <v>0</v>
      </c>
      <c r="N15" s="191"/>
      <c r="O15" s="191"/>
    </row>
    <row r="16">
      <c r="A16" s="313" t="s">
        <v>422</v>
      </c>
      <c r="B16" s="191" t="s">
        <v>402</v>
      </c>
      <c r="C16" s="227">
        <f>'23RDAPRIL'!E16</f>
        <v>11</v>
      </c>
      <c r="D16" s="227"/>
      <c r="E16" s="227">
        <v>8.0</v>
      </c>
      <c r="F16" s="191" t="s">
        <v>17</v>
      </c>
      <c r="G16" s="191"/>
      <c r="H16" s="191"/>
      <c r="I16" s="191"/>
      <c r="J16" s="191"/>
      <c r="K16" s="191"/>
      <c r="L16" s="191" t="s">
        <v>17</v>
      </c>
      <c r="M16" s="295">
        <f>IF(AND(H16&lt;&gt;"", J16&lt;&gt;""), H16-J16, IF(H16&lt;&gt;"", H16-I16*VLOOKUP(A16, BACKEND2!$A:$G,6,FALSE), IF(J16&lt;&gt;"", -J16+K16*VLOOKUP(A16, BACKEND2!$A:$G,6,FALSE),0)))+ (C16+D16-E16)*VLOOKUP(A16, BACKEND2!$A:$G,5,FALSE)+G16
</f>
        <v>12</v>
      </c>
      <c r="N16" s="191"/>
      <c r="O16" s="191"/>
    </row>
    <row r="17">
      <c r="A17" s="313" t="s">
        <v>423</v>
      </c>
      <c r="B17" s="191" t="s">
        <v>402</v>
      </c>
      <c r="C17" s="227">
        <f>'23RDAPRIL'!E17</f>
        <v>6</v>
      </c>
      <c r="D17" s="227">
        <v>5.0</v>
      </c>
      <c r="E17" s="227">
        <v>11.0</v>
      </c>
      <c r="F17" s="191" t="s">
        <v>17</v>
      </c>
      <c r="G17" s="191"/>
      <c r="H17" s="191"/>
      <c r="I17" s="191"/>
      <c r="J17" s="191"/>
      <c r="K17" s="191"/>
      <c r="L17" s="191" t="s">
        <v>17</v>
      </c>
      <c r="M17" s="295">
        <f>IF(AND(H17&lt;&gt;"", J17&lt;&gt;""), H17-J17, IF(H17&lt;&gt;"", H17-I17*VLOOKUP(A17, BACKEND2!$A:$G,6,FALSE), IF(J17&lt;&gt;"", -J17+K17*VLOOKUP(A17, BACKEND2!$A:$G,6,FALSE),0)))+ (C17+D17-E17)*VLOOKUP(A17, BACKEND2!$A:$G,5,FALSE)+G17
</f>
        <v>0</v>
      </c>
      <c r="N17" s="191"/>
      <c r="O17" s="191"/>
    </row>
    <row r="18">
      <c r="A18" s="313" t="s">
        <v>425</v>
      </c>
      <c r="B18" s="191" t="s">
        <v>402</v>
      </c>
      <c r="C18" s="227">
        <f>'23RDAPRIL'!E18</f>
        <v>5</v>
      </c>
      <c r="D18" s="191"/>
      <c r="E18" s="227">
        <v>2.0</v>
      </c>
      <c r="F18" s="191" t="s">
        <v>17</v>
      </c>
      <c r="G18" s="191"/>
      <c r="H18" s="191"/>
      <c r="I18" s="191"/>
      <c r="J18" s="191"/>
      <c r="K18" s="191"/>
      <c r="L18" s="191" t="s">
        <v>17</v>
      </c>
      <c r="M18" s="295">
        <f>IF(AND(H18&lt;&gt;"", J18&lt;&gt;""), H18-J18, IF(H18&lt;&gt;"", H18-I18*VLOOKUP(A18, BACKEND2!$A:$G,6,FALSE), IF(J18&lt;&gt;"", -J18+K18*VLOOKUP(A18, BACKEND2!$A:$G,6,FALSE),0)))+ (C18+D18-E18)*VLOOKUP(A18, BACKEND2!$A:$G,5,FALSE)+G18
</f>
        <v>6</v>
      </c>
      <c r="N18" s="191"/>
      <c r="O18" s="191"/>
    </row>
    <row r="19">
      <c r="A19" s="313" t="s">
        <v>426</v>
      </c>
      <c r="B19" s="191" t="s">
        <v>402</v>
      </c>
      <c r="C19" s="227">
        <f>'23RDAPRIL'!E19</f>
        <v>3</v>
      </c>
      <c r="D19" s="191"/>
      <c r="E19" s="227"/>
      <c r="F19" s="191" t="s">
        <v>402</v>
      </c>
      <c r="G19" s="191"/>
      <c r="H19" s="191"/>
      <c r="I19" s="191"/>
      <c r="J19" s="191"/>
      <c r="K19" s="191"/>
      <c r="L19" s="191" t="s">
        <v>402</v>
      </c>
      <c r="M19" s="295">
        <f>IF(AND(H19&lt;&gt;"", J19&lt;&gt;""), H19-J19, IF(H19&lt;&gt;"", H19-I19*VLOOKUP(A19, BACKEND2!$A:$G,6,FALSE), IF(J19&lt;&gt;"", -J19+K19*VLOOKUP(A19, BACKEND2!$A:$G,6,FALSE),0)))+ (C19+D19-E19)*VLOOKUP(A19, BACKEND2!$A:$G,5,FALSE)+G19
</f>
        <v>3</v>
      </c>
      <c r="N19" s="191"/>
      <c r="O19" s="191"/>
    </row>
    <row r="20">
      <c r="A20" s="313" t="s">
        <v>428</v>
      </c>
      <c r="B20" s="191" t="s">
        <v>402</v>
      </c>
      <c r="C20" s="227">
        <f>'23RDAPRIL'!E20</f>
        <v>5</v>
      </c>
      <c r="D20" s="191"/>
      <c r="E20" s="227">
        <v>4.0</v>
      </c>
      <c r="F20" s="191" t="s">
        <v>402</v>
      </c>
      <c r="G20" s="191"/>
      <c r="H20" s="191"/>
      <c r="I20" s="191"/>
      <c r="J20" s="191"/>
      <c r="K20" s="191"/>
      <c r="L20" s="191" t="s">
        <v>402</v>
      </c>
      <c r="M20" s="295">
        <f>IF(AND(H20&lt;&gt;"", J20&lt;&gt;""), H20-J20, IF(H20&lt;&gt;"", H20-I20*VLOOKUP(A20, BACKEND2!$A:$G,6,FALSE), IF(J20&lt;&gt;"", -J20+K20*VLOOKUP(A20, BACKEND2!$A:$G,6,FALSE),0)))+ (C20+D20-E20)*VLOOKUP(A20, BACKEND2!$A:$G,5,FALSE)+G20
</f>
        <v>1</v>
      </c>
      <c r="N20" s="191"/>
      <c r="O20" s="191"/>
    </row>
    <row r="21">
      <c r="A21" s="313" t="s">
        <v>429</v>
      </c>
      <c r="B21" s="191" t="s">
        <v>402</v>
      </c>
      <c r="C21" s="227">
        <f>'23RDAPRIL'!E21</f>
        <v>12</v>
      </c>
      <c r="D21" s="227"/>
      <c r="E21" s="227">
        <v>10.0</v>
      </c>
      <c r="F21" s="191" t="s">
        <v>17</v>
      </c>
      <c r="G21" s="191"/>
      <c r="H21" s="191"/>
      <c r="I21" s="191"/>
      <c r="J21" s="191"/>
      <c r="K21" s="191"/>
      <c r="L21" s="191" t="s">
        <v>17</v>
      </c>
      <c r="M21" s="295">
        <f>IF(AND(H21&lt;&gt;"", J21&lt;&gt;""), H21-J21, IF(H21&lt;&gt;"", H21-I21*VLOOKUP(A21, BACKEND2!$A:$G,6,FALSE), IF(J21&lt;&gt;"", -J21+K21*VLOOKUP(A21, BACKEND2!$A:$G,6,FALSE),0)))+ (C21+D21-E21)*VLOOKUP(A21, BACKEND2!$A:$G,5,FALSE)+G21
</f>
        <v>8</v>
      </c>
      <c r="N21" s="191"/>
      <c r="O21" s="191"/>
    </row>
    <row r="22">
      <c r="A22" s="313" t="s">
        <v>431</v>
      </c>
      <c r="B22" s="191" t="s">
        <v>402</v>
      </c>
      <c r="C22" s="227" t="str">
        <f>'23RDAPRIL'!E22</f>
        <v/>
      </c>
      <c r="D22" s="191"/>
      <c r="E22" s="191"/>
      <c r="F22" s="191" t="s">
        <v>17</v>
      </c>
      <c r="G22" s="191"/>
      <c r="H22" s="191"/>
      <c r="I22" s="191"/>
      <c r="J22" s="191"/>
      <c r="K22" s="191"/>
      <c r="L22" s="191" t="s">
        <v>17</v>
      </c>
      <c r="M22" s="295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191"/>
      <c r="O22" s="191"/>
    </row>
    <row r="23">
      <c r="A23" s="313" t="s">
        <v>432</v>
      </c>
      <c r="B23" s="191" t="s">
        <v>402</v>
      </c>
      <c r="C23" s="227">
        <f>'23RDAPRIL'!E23</f>
        <v>9</v>
      </c>
      <c r="D23" s="227"/>
      <c r="E23" s="227">
        <v>3.0</v>
      </c>
      <c r="F23" s="191" t="s">
        <v>17</v>
      </c>
      <c r="G23" s="191"/>
      <c r="H23" s="191"/>
      <c r="I23" s="191"/>
      <c r="J23" s="191"/>
      <c r="K23" s="191"/>
      <c r="L23" s="191" t="s">
        <v>17</v>
      </c>
      <c r="M23" s="295">
        <f>IF(AND(H23&lt;&gt;"", J23&lt;&gt;""), H23-J23, IF(H23&lt;&gt;"", H23-I23*VLOOKUP(A23, BACKEND2!$A:$G,6,FALSE), IF(J23&lt;&gt;"", -J23+K23*VLOOKUP(A23, BACKEND2!$A:$G,6,FALSE),0)))+ (C23+D23-E23)*VLOOKUP(A23, BACKEND2!$A:$G,5,FALSE)+G23
</f>
        <v>12</v>
      </c>
      <c r="N23" s="191"/>
      <c r="O23" s="191"/>
    </row>
    <row r="24">
      <c r="A24" s="313" t="s">
        <v>433</v>
      </c>
      <c r="B24" s="191" t="s">
        <v>402</v>
      </c>
      <c r="C24" s="227">
        <f>'23RDAPRIL'!E24</f>
        <v>9</v>
      </c>
      <c r="D24" s="227">
        <v>5.0</v>
      </c>
      <c r="E24" s="227">
        <v>1.0</v>
      </c>
      <c r="F24" s="191" t="s">
        <v>402</v>
      </c>
      <c r="G24" s="191"/>
      <c r="H24" s="191"/>
      <c r="I24" s="191"/>
      <c r="J24" s="191"/>
      <c r="K24" s="191"/>
      <c r="L24" s="191" t="s">
        <v>402</v>
      </c>
      <c r="M24" s="295">
        <f>IF(AND(H24&lt;&gt;"", J24&lt;&gt;""), H24-J24, IF(H24&lt;&gt;"", H24-I24*VLOOKUP(A24, BACKEND2!$A:$G,6,FALSE), IF(J24&lt;&gt;"", -J24+K24*VLOOKUP(A24, BACKEND2!$A:$G,6,FALSE),0)))+ (C24+D24-E24)*VLOOKUP(A24, BACKEND2!$A:$G,5,FALSE)+G24
</f>
        <v>13</v>
      </c>
      <c r="N24" s="191"/>
      <c r="O24" s="191"/>
    </row>
    <row r="25">
      <c r="A25" s="313" t="s">
        <v>435</v>
      </c>
      <c r="B25" s="191" t="s">
        <v>402</v>
      </c>
      <c r="C25" s="227">
        <f>'23RDAPRIL'!E25</f>
        <v>9</v>
      </c>
      <c r="D25" s="227"/>
      <c r="E25" s="227">
        <v>7.0</v>
      </c>
      <c r="F25" s="191" t="s">
        <v>402</v>
      </c>
      <c r="G25" s="191"/>
      <c r="H25" s="191"/>
      <c r="I25" s="191"/>
      <c r="J25" s="191"/>
      <c r="K25" s="191"/>
      <c r="L25" s="191" t="s">
        <v>402</v>
      </c>
      <c r="M25" s="295">
        <f>IF(AND(H25&lt;&gt;"", J25&lt;&gt;""), H25-J25, IF(H25&lt;&gt;"", H25-I25*VLOOKUP(A25, BACKEND2!$A:$G,6,FALSE), IF(J25&lt;&gt;"", -J25+K25*VLOOKUP(A25, BACKEND2!$A:$G,6,FALSE),0)))+ (C25+D25-E25)*VLOOKUP(A25, BACKEND2!$A:$G,5,FALSE)+G25
</f>
        <v>2</v>
      </c>
      <c r="N25" s="191"/>
      <c r="O25" s="191"/>
    </row>
    <row r="26">
      <c r="A26" s="313" t="s">
        <v>438</v>
      </c>
      <c r="B26" s="191" t="s">
        <v>402</v>
      </c>
      <c r="C26" s="227">
        <f>'23RDAPRIL'!E26</f>
        <v>5</v>
      </c>
      <c r="D26" s="191"/>
      <c r="E26" s="227">
        <v>1.0</v>
      </c>
      <c r="F26" s="191" t="s">
        <v>402</v>
      </c>
      <c r="G26" s="191"/>
      <c r="H26" s="191"/>
      <c r="I26" s="191"/>
      <c r="J26" s="191"/>
      <c r="K26" s="191"/>
      <c r="L26" s="191" t="s">
        <v>402</v>
      </c>
      <c r="M26" s="295">
        <f>IF(AND(H26&lt;&gt;"", J26&lt;&gt;""), H26-J26, IF(H26&lt;&gt;"", H26-I26*VLOOKUP(A26, BACKEND2!$A:$G,6,FALSE), IF(J26&lt;&gt;"", -J26+K26*VLOOKUP(A26, BACKEND2!$A:$G,6,FALSE),0)))+ (C26+D26-E26)*VLOOKUP(A26, BACKEND2!$A:$G,5,FALSE)+G26
</f>
        <v>4</v>
      </c>
      <c r="N26" s="191"/>
      <c r="O26" s="191"/>
    </row>
    <row r="27">
      <c r="A27" s="313" t="s">
        <v>439</v>
      </c>
      <c r="B27" s="191" t="s">
        <v>402</v>
      </c>
      <c r="C27" s="227" t="str">
        <f>'23RDAPRIL'!E27</f>
        <v/>
      </c>
      <c r="D27" s="191"/>
      <c r="E27" s="191"/>
      <c r="F27" s="191" t="s">
        <v>402</v>
      </c>
      <c r="G27" s="191"/>
      <c r="H27" s="191"/>
      <c r="I27" s="191"/>
      <c r="J27" s="191"/>
      <c r="K27" s="191"/>
      <c r="L27" s="191" t="s">
        <v>402</v>
      </c>
      <c r="M27" s="295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191"/>
      <c r="O27" s="191"/>
    </row>
    <row r="28">
      <c r="A28" s="313" t="s">
        <v>440</v>
      </c>
      <c r="B28" s="191" t="s">
        <v>402</v>
      </c>
      <c r="C28" s="227">
        <f>'23RDAPRIL'!E28</f>
        <v>6</v>
      </c>
      <c r="D28" s="191"/>
      <c r="E28" s="227">
        <v>6.0</v>
      </c>
      <c r="F28" s="191" t="s">
        <v>402</v>
      </c>
      <c r="G28" s="191"/>
      <c r="H28" s="191"/>
      <c r="I28" s="191"/>
      <c r="J28" s="191"/>
      <c r="K28" s="191"/>
      <c r="L28" s="191" t="s">
        <v>402</v>
      </c>
      <c r="M28" s="295">
        <f>IF(AND(H28&lt;&gt;"", J28&lt;&gt;""), H28-J28, IF(H28&lt;&gt;"", H28-I28*VLOOKUP(A28, BACKEND2!$A:$G,6,FALSE), IF(J28&lt;&gt;"", -J28+K28*VLOOKUP(A28, BACKEND2!$A:$G,6,FALSE),0)))+ (C28+D28-E28)*VLOOKUP(A28, BACKEND2!$A:$G,5,FALSE)+G28
</f>
        <v>0</v>
      </c>
      <c r="N28" s="191"/>
      <c r="O28" s="191"/>
    </row>
    <row r="29">
      <c r="A29" s="313" t="s">
        <v>441</v>
      </c>
      <c r="B29" s="191" t="s">
        <v>402</v>
      </c>
      <c r="C29" s="227">
        <f>'23RDAPRIL'!E29</f>
        <v>13</v>
      </c>
      <c r="D29" s="191"/>
      <c r="E29" s="227">
        <v>10.0</v>
      </c>
      <c r="F29" s="191" t="s">
        <v>17</v>
      </c>
      <c r="G29" s="191"/>
      <c r="H29" s="191"/>
      <c r="I29" s="191"/>
      <c r="J29" s="191"/>
      <c r="K29" s="191"/>
      <c r="L29" s="191" t="s">
        <v>17</v>
      </c>
      <c r="M29" s="295">
        <f>IF(AND(H29&lt;&gt;"", J29&lt;&gt;""), H29-J29, IF(H29&lt;&gt;"", H29-I29*VLOOKUP(A29, BACKEND2!$A:$G,6,FALSE), IF(J29&lt;&gt;"", -J29+K29*VLOOKUP(A29, BACKEND2!$A:$G,6,FALSE),0)))+ (C29+D29-E29)*VLOOKUP(A29, BACKEND2!$A:$G,5,FALSE)+G29
</f>
        <v>6</v>
      </c>
      <c r="N29" s="191"/>
      <c r="O29" s="191"/>
    </row>
    <row r="30">
      <c r="A30" s="313" t="s">
        <v>442</v>
      </c>
      <c r="B30" s="191" t="s">
        <v>402</v>
      </c>
      <c r="C30" s="227">
        <f>'23RDAPRIL'!E30</f>
        <v>7</v>
      </c>
      <c r="D30" s="191"/>
      <c r="E30" s="227">
        <v>6.0</v>
      </c>
      <c r="F30" s="191" t="s">
        <v>402</v>
      </c>
      <c r="G30" s="191"/>
      <c r="H30" s="191"/>
      <c r="I30" s="191"/>
      <c r="J30" s="191"/>
      <c r="K30" s="191"/>
      <c r="L30" s="191" t="s">
        <v>402</v>
      </c>
      <c r="M30" s="295">
        <f>IF(AND(H30&lt;&gt;"", J30&lt;&gt;""), H30-J30, IF(H30&lt;&gt;"", H30-I30*VLOOKUP(A30, BACKEND2!$A:$G,6,FALSE), IF(J30&lt;&gt;"", -J30+K30*VLOOKUP(A30, BACKEND2!$A:$G,6,FALSE),0)))+ (C30+D30-E30)*VLOOKUP(A30, BACKEND2!$A:$G,5,FALSE)+G30
</f>
        <v>1</v>
      </c>
      <c r="N30" s="191"/>
      <c r="O30" s="191"/>
    </row>
    <row r="31">
      <c r="A31" s="313" t="s">
        <v>444</v>
      </c>
      <c r="B31" s="191" t="s">
        <v>402</v>
      </c>
      <c r="C31" s="227">
        <f>'23RDAPRIL'!E31</f>
        <v>6</v>
      </c>
      <c r="D31" s="191"/>
      <c r="E31" s="227">
        <v>6.0</v>
      </c>
      <c r="F31" s="191" t="s">
        <v>402</v>
      </c>
      <c r="G31" s="191"/>
      <c r="H31" s="191"/>
      <c r="I31" s="191"/>
      <c r="J31" s="191"/>
      <c r="K31" s="191"/>
      <c r="L31" s="191" t="s">
        <v>402</v>
      </c>
      <c r="M31" s="295">
        <f>IF(AND(H31&lt;&gt;"", J31&lt;&gt;""), H31-J31, IF(H31&lt;&gt;"", H31-I31*VLOOKUP(A31, BACKEND2!$A:$G,6,FALSE), IF(J31&lt;&gt;"", -J31+K31*VLOOKUP(A31, BACKEND2!$A:$G,6,FALSE),0)))+ (C31+D31-E31)*VLOOKUP(A31, BACKEND2!$A:$G,5,FALSE)+G31
</f>
        <v>0</v>
      </c>
      <c r="N31" s="191"/>
      <c r="O31" s="191"/>
    </row>
    <row r="32">
      <c r="A32" s="313" t="s">
        <v>445</v>
      </c>
      <c r="B32" s="191" t="s">
        <v>402</v>
      </c>
      <c r="C32" s="227">
        <f>'23RDAPRIL'!E32</f>
        <v>5</v>
      </c>
      <c r="D32" s="191"/>
      <c r="E32" s="227">
        <v>4.0</v>
      </c>
      <c r="F32" s="191" t="s">
        <v>17</v>
      </c>
      <c r="G32" s="191"/>
      <c r="H32" s="191"/>
      <c r="I32" s="191"/>
      <c r="J32" s="191"/>
      <c r="K32" s="191"/>
      <c r="L32" s="191" t="s">
        <v>17</v>
      </c>
      <c r="M32" s="295">
        <f>IF(AND(H32&lt;&gt;"", J32&lt;&gt;""), H32-J32, IF(H32&lt;&gt;"", H32-I32*VLOOKUP(A32, BACKEND2!$A:$G,6,FALSE), IF(J32&lt;&gt;"", -J32+K32*VLOOKUP(A32, BACKEND2!$A:$G,6,FALSE),0)))+ (C32+D32-E32)*VLOOKUP(A32, BACKEND2!$A:$G,5,FALSE)+G32
</f>
        <v>4</v>
      </c>
      <c r="N32" s="191"/>
      <c r="O32" s="191"/>
    </row>
    <row r="33">
      <c r="A33" s="313" t="s">
        <v>446</v>
      </c>
      <c r="B33" s="191" t="s">
        <v>402</v>
      </c>
      <c r="C33" s="227">
        <f>'23RDAPRIL'!E33</f>
        <v>1</v>
      </c>
      <c r="D33" s="191"/>
      <c r="E33" s="227">
        <v>1.0</v>
      </c>
      <c r="F33" s="191" t="s">
        <v>402</v>
      </c>
      <c r="G33" s="191"/>
      <c r="H33" s="191"/>
      <c r="I33" s="191"/>
      <c r="J33" s="191"/>
      <c r="K33" s="191"/>
      <c r="L33" s="191" t="s">
        <v>402</v>
      </c>
      <c r="M33" s="295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191"/>
      <c r="O33" s="191"/>
    </row>
    <row r="34">
      <c r="A34" s="313" t="s">
        <v>447</v>
      </c>
      <c r="B34" s="191" t="s">
        <v>402</v>
      </c>
      <c r="C34" s="227">
        <f>'23RDAPRIL'!E34</f>
        <v>6</v>
      </c>
      <c r="D34" s="227">
        <v>1.0</v>
      </c>
      <c r="E34" s="227">
        <v>6.0</v>
      </c>
      <c r="F34" s="191" t="s">
        <v>402</v>
      </c>
      <c r="G34" s="191"/>
      <c r="H34" s="191"/>
      <c r="I34" s="191"/>
      <c r="J34" s="191"/>
      <c r="K34" s="191"/>
      <c r="L34" s="191" t="s">
        <v>402</v>
      </c>
      <c r="M34" s="295">
        <f>IF(AND(H34&lt;&gt;"", J34&lt;&gt;""), H34-J34, IF(H34&lt;&gt;"", H34-I34*VLOOKUP(A34, BACKEND2!$A:$G,6,FALSE), IF(J34&lt;&gt;"", -J34+K34*VLOOKUP(A34, BACKEND2!$A:$G,6,FALSE),0)))+ (C34+D34-E34)*VLOOKUP(A34, BACKEND2!$A:$G,5,FALSE)+G34
</f>
        <v>1</v>
      </c>
      <c r="N34" s="191"/>
      <c r="O34" s="191"/>
    </row>
    <row r="35">
      <c r="A35" s="313" t="s">
        <v>449</v>
      </c>
      <c r="B35" s="191" t="s">
        <v>402</v>
      </c>
      <c r="C35" s="227">
        <f>'23RDAPRIL'!E35</f>
        <v>0</v>
      </c>
      <c r="D35" s="227"/>
      <c r="E35" s="227"/>
      <c r="F35" s="191" t="s">
        <v>402</v>
      </c>
      <c r="G35" s="191"/>
      <c r="H35" s="191"/>
      <c r="I35" s="191"/>
      <c r="J35" s="191"/>
      <c r="K35" s="191"/>
      <c r="L35" s="191" t="s">
        <v>402</v>
      </c>
      <c r="M35" s="295">
        <f>IF(AND(H35&lt;&gt;"", J35&lt;&gt;""), H35-J35, IF(H35&lt;&gt;"", H35-I35*VLOOKUP(A35, BACKEND2!$A:$G,6,FALSE), IF(J35&lt;&gt;"", -J35+K35*VLOOKUP(A35, BACKEND2!$A:$G,6,FALSE),0)))+ (C35+D35-E35)*VLOOKUP(A35, BACKEND2!$A:$G,5,FALSE)+G35
</f>
        <v>0</v>
      </c>
      <c r="N35" s="191"/>
      <c r="O35" s="191"/>
    </row>
    <row r="36">
      <c r="A36" s="313" t="s">
        <v>451</v>
      </c>
      <c r="B36" s="191" t="s">
        <v>402</v>
      </c>
      <c r="C36" s="227">
        <f>'23RDAPRIL'!E36</f>
        <v>8</v>
      </c>
      <c r="D36" s="227"/>
      <c r="E36" s="227">
        <v>6.0</v>
      </c>
      <c r="F36" s="191" t="s">
        <v>17</v>
      </c>
      <c r="G36" s="191"/>
      <c r="H36" s="191"/>
      <c r="I36" s="191"/>
      <c r="J36" s="191"/>
      <c r="K36" s="191"/>
      <c r="L36" s="191" t="s">
        <v>17</v>
      </c>
      <c r="M36" s="295">
        <f>IF(AND(H36&lt;&gt;"", J36&lt;&gt;""), H36-J36, IF(H36&lt;&gt;"", H36-I36*VLOOKUP(A36, BACKEND2!$A:$G,6,FALSE), IF(J36&lt;&gt;"", -J36+K36*VLOOKUP(A36, BACKEND2!$A:$G,6,FALSE),0)))+ (C36+D36-E36)*VLOOKUP(A36, BACKEND2!$A:$G,5,FALSE)+G36
</f>
        <v>4</v>
      </c>
      <c r="N36" s="191"/>
      <c r="O36" s="191"/>
    </row>
    <row r="37">
      <c r="A37" s="315" t="s">
        <v>452</v>
      </c>
      <c r="B37" s="191" t="s">
        <v>402</v>
      </c>
      <c r="C37" s="227">
        <f>'23RDAPRIL'!E37</f>
        <v>4</v>
      </c>
      <c r="D37" s="191"/>
      <c r="E37" s="227">
        <v>2.0</v>
      </c>
      <c r="F37" s="191" t="s">
        <v>17</v>
      </c>
      <c r="G37" s="191"/>
      <c r="H37" s="191"/>
      <c r="I37" s="191"/>
      <c r="J37" s="191"/>
      <c r="K37" s="191"/>
      <c r="L37" s="191" t="s">
        <v>17</v>
      </c>
      <c r="M37" s="295">
        <f>IF(AND(H37&lt;&gt;"", J37&lt;&gt;""), H37-J37, IF(H37&lt;&gt;"", H37-I37*VLOOKUP(A37, BACKEND2!$A:$G,6,FALSE), IF(J37&lt;&gt;"", -J37+K37*VLOOKUP(A37, BACKEND2!$A:$G,6,FALSE),0)))+ (C37+D37-E37)*VLOOKUP(A37, BACKEND2!$A:$G,5,FALSE)+G37
</f>
        <v>8</v>
      </c>
      <c r="N37" s="191"/>
      <c r="O37" s="191"/>
    </row>
    <row r="38">
      <c r="A38" s="315" t="s">
        <v>454</v>
      </c>
      <c r="B38" s="191" t="s">
        <v>402</v>
      </c>
      <c r="C38" s="227">
        <f>'23RDAPRIL'!E38</f>
        <v>3</v>
      </c>
      <c r="D38" s="191"/>
      <c r="E38" s="227">
        <v>3.0</v>
      </c>
      <c r="F38" s="191" t="s">
        <v>17</v>
      </c>
      <c r="G38" s="191"/>
      <c r="H38" s="191"/>
      <c r="I38" s="191"/>
      <c r="J38" s="191"/>
      <c r="K38" s="191"/>
      <c r="L38" s="191" t="s">
        <v>17</v>
      </c>
      <c r="M38" s="295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191"/>
      <c r="O38" s="191"/>
    </row>
    <row r="39">
      <c r="A39" s="316" t="s">
        <v>455</v>
      </c>
      <c r="B39" s="191" t="s">
        <v>402</v>
      </c>
      <c r="C39" s="227" t="str">
        <f>'23RDAPRIL'!E39</f>
        <v/>
      </c>
      <c r="D39" s="227">
        <v>5.0</v>
      </c>
      <c r="E39" s="227">
        <v>5.0</v>
      </c>
      <c r="F39" s="191" t="s">
        <v>17</v>
      </c>
      <c r="G39" s="191"/>
      <c r="H39" s="191"/>
      <c r="I39" s="191"/>
      <c r="J39" s="191"/>
      <c r="K39" s="191"/>
      <c r="L39" s="191" t="s">
        <v>17</v>
      </c>
      <c r="M39" s="295">
        <f>IF(AND(H39&lt;&gt;"", J39&lt;&gt;""), H39-J39, IF(H39&lt;&gt;"", H39-I39*VLOOKUP(A39, BACKEND2!$A:$G,6,FALSE), IF(J39&lt;&gt;"", -J39+K39*VLOOKUP(A39, BACKEND2!$A:$G,6,FALSE),0)))+ (C39+D39-E39)*VLOOKUP(A39, BACKEND2!$A:$G,5,FALSE)+G39
</f>
        <v>0</v>
      </c>
      <c r="N39" s="191"/>
      <c r="O39" s="191"/>
    </row>
    <row r="40">
      <c r="A40" s="316" t="s">
        <v>456</v>
      </c>
      <c r="B40" s="191" t="s">
        <v>402</v>
      </c>
      <c r="C40" s="227">
        <f>'23RDAPRIL'!E40</f>
        <v>5</v>
      </c>
      <c r="D40" s="227"/>
      <c r="E40" s="227"/>
      <c r="F40" s="191" t="s">
        <v>17</v>
      </c>
      <c r="G40" s="191"/>
      <c r="H40" s="191"/>
      <c r="I40" s="191"/>
      <c r="J40" s="191"/>
      <c r="K40" s="191"/>
      <c r="L40" s="191" t="s">
        <v>17</v>
      </c>
      <c r="M40" s="295">
        <f>IF(AND(H40&lt;&gt;"", J40&lt;&gt;""), H40-J40, IF(H40&lt;&gt;"", H40-I40*VLOOKUP(A40, BACKEND2!$A:$G,6,FALSE), IF(J40&lt;&gt;"", -J40+K40*VLOOKUP(A40, BACKEND2!$A:$G,6,FALSE),0)))+ (C40+D40-E40)*VLOOKUP(A40, BACKEND2!$A:$G,5,FALSE)+G40
</f>
        <v>5</v>
      </c>
      <c r="N40" s="191"/>
      <c r="O40" s="191"/>
    </row>
    <row r="41">
      <c r="A41" s="316" t="s">
        <v>457</v>
      </c>
      <c r="B41" s="191" t="s">
        <v>402</v>
      </c>
      <c r="C41" s="267"/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191"/>
      <c r="O41" s="191"/>
    </row>
    <row r="42">
      <c r="A42" s="317" t="s">
        <v>762</v>
      </c>
      <c r="B42" s="191"/>
      <c r="C42" s="227" t="str">
        <f>'23RDAPRIL'!E42</f>
        <v/>
      </c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</row>
    <row r="43">
      <c r="A43" s="238" t="s">
        <v>11</v>
      </c>
      <c r="B43" s="191"/>
      <c r="C43" s="227" t="str">
        <f>'23RDAPRIL'!E43</f>
        <v/>
      </c>
      <c r="D43" s="191"/>
      <c r="E43" s="191"/>
      <c r="F43" s="191"/>
      <c r="G43" s="191"/>
      <c r="H43" s="191"/>
      <c r="I43" s="295"/>
      <c r="J43" s="191"/>
      <c r="K43" s="295"/>
      <c r="L43" s="191"/>
      <c r="M43" s="295"/>
      <c r="N43" s="191"/>
      <c r="O43" s="191"/>
    </row>
    <row r="44">
      <c r="A44" s="188" t="s">
        <v>12</v>
      </c>
      <c r="B44" s="226" t="s">
        <v>13</v>
      </c>
      <c r="C44" s="227">
        <f>'23RDAPRIL'!E44</f>
        <v>2</v>
      </c>
      <c r="D44" s="227"/>
      <c r="E44" s="227">
        <v>1.0</v>
      </c>
      <c r="F44" s="191" t="s">
        <v>14</v>
      </c>
      <c r="G44" s="191"/>
      <c r="H44" s="227">
        <f>'23RDAPRIL'!J44</f>
        <v>0.5</v>
      </c>
      <c r="I44" s="227" t="str">
        <f>'23RDAPRIL'!K44</f>
        <v/>
      </c>
      <c r="J44" s="227">
        <v>0.25</v>
      </c>
      <c r="K44" s="318">
        <v>1.0</v>
      </c>
      <c r="L44" s="191" t="s">
        <v>14</v>
      </c>
      <c r="M44" s="295">
        <f>IF(AND(H44&lt;&gt;"", J44&lt;&gt;""), H44-J44, IF(H44&lt;&gt;"", H44-I44*VLOOKUP(A44, BACKEND1!$A:$G,6,FALSE), IF(J44&lt;&gt;"", -J44+K44*VLOOKUP(A44, BACKEND1!$A:$G,6,FALSE),0)))+ (C44+D44-E44)*VLOOKUP(A44, BACKEND1!$A:$G,5,FALSE)+G44
</f>
        <v>1.25</v>
      </c>
      <c r="N44" s="191"/>
      <c r="O44" s="191"/>
    </row>
    <row r="45">
      <c r="A45" s="188" t="s">
        <v>16</v>
      </c>
      <c r="B45" s="226" t="s">
        <v>17</v>
      </c>
      <c r="C45" s="227">
        <f>'23RDAPRIL'!E45</f>
        <v>12</v>
      </c>
      <c r="D45" s="227"/>
      <c r="E45" s="227">
        <v>7.0</v>
      </c>
      <c r="F45" s="191" t="s">
        <v>17</v>
      </c>
      <c r="G45" s="191"/>
      <c r="H45" s="227" t="str">
        <f>'23RDAPRIL'!J45</f>
        <v/>
      </c>
      <c r="I45" s="227">
        <f>'23RDAPRIL'!K45</f>
        <v>1</v>
      </c>
      <c r="J45" s="191"/>
      <c r="K45" s="318">
        <v>1.0</v>
      </c>
      <c r="L45" s="191" t="s">
        <v>17</v>
      </c>
      <c r="M45" s="295">
        <f>IF(AND(H45&lt;&gt;"", J45&lt;&gt;""), H45-J45, IF(H45&lt;&gt;"", H45-I45*VLOOKUP(A45, BACKEND1!$A:$G,6,FALSE), IF(J45&lt;&gt;"", -J45+K45*VLOOKUP(A45, BACKEND1!$A:$G,6,FALSE),0)))+ (C45+D45-E45)*VLOOKUP(A45, BACKEND1!$A:$G,5,FALSE)+G45
</f>
        <v>5</v>
      </c>
      <c r="N45" s="191"/>
      <c r="O45" s="191"/>
    </row>
    <row r="46">
      <c r="A46" s="206" t="s">
        <v>19</v>
      </c>
      <c r="B46" s="226" t="s">
        <v>17</v>
      </c>
      <c r="C46" s="227">
        <f>'23RDAPRIL'!E46</f>
        <v>12</v>
      </c>
      <c r="D46" s="227"/>
      <c r="E46" s="227">
        <v>1.0</v>
      </c>
      <c r="F46" s="191" t="s">
        <v>17</v>
      </c>
      <c r="G46" s="191"/>
      <c r="H46" s="227" t="str">
        <f>'23RDAPRIL'!J46</f>
        <v/>
      </c>
      <c r="I46" s="227">
        <f>'23RDAPRIL'!K46</f>
        <v>1</v>
      </c>
      <c r="J46" s="191"/>
      <c r="K46" s="318">
        <v>1.0</v>
      </c>
      <c r="L46" s="191" t="s">
        <v>17</v>
      </c>
      <c r="M46" s="295">
        <f>IF(AND(H46&lt;&gt;"", J46&lt;&gt;""), H46-J46, IF(H46&lt;&gt;"", H46-I46*VLOOKUP(A46, BACKEND1!$A:$G,6,FALSE), IF(J46&lt;&gt;"", -J46+K46*VLOOKUP(A46, BACKEND1!$A:$G,6,FALSE),0)))+ (C46+D46-E46)*VLOOKUP(A46, BACKEND1!$A:$G,5,FALSE)+G46
</f>
        <v>11</v>
      </c>
      <c r="N46" s="191"/>
      <c r="O46" s="191"/>
    </row>
    <row r="47">
      <c r="A47" s="188" t="s">
        <v>20</v>
      </c>
      <c r="B47" s="226" t="s">
        <v>17</v>
      </c>
      <c r="C47" s="227">
        <f>'23RDAPRIL'!E47</f>
        <v>6</v>
      </c>
      <c r="D47" s="227">
        <v>10.0</v>
      </c>
      <c r="E47" s="227">
        <v>15.0</v>
      </c>
      <c r="F47" s="191" t="s">
        <v>17</v>
      </c>
      <c r="G47" s="191"/>
      <c r="H47" s="227" t="str">
        <f>'23RDAPRIL'!J47</f>
        <v/>
      </c>
      <c r="I47" s="227">
        <f>'23RDAPRIL'!K47</f>
        <v>1</v>
      </c>
      <c r="J47" s="191"/>
      <c r="K47" s="318">
        <v>1.0</v>
      </c>
      <c r="L47" s="191" t="s">
        <v>17</v>
      </c>
      <c r="M47" s="295">
        <f>IF(AND(H47&lt;&gt;"", J47&lt;&gt;""), H47-J47, IF(H47&lt;&gt;"", H47-I47*VLOOKUP(A47, BACKEND1!$A:$G,6,FALSE), IF(J47&lt;&gt;"", -J47+K47*VLOOKUP(A47, BACKEND1!$A:$G,6,FALSE),0)))+ (C47+D47-E47)*VLOOKUP(A47, BACKEND1!$A:$G,5,FALSE)+G47
</f>
        <v>1</v>
      </c>
      <c r="N47" s="191"/>
      <c r="O47" s="191"/>
    </row>
    <row r="48">
      <c r="A48" s="188" t="s">
        <v>21</v>
      </c>
      <c r="B48" s="226" t="s">
        <v>17</v>
      </c>
      <c r="C48" s="227">
        <f>'23RDAPRIL'!E48</f>
        <v>6.5</v>
      </c>
      <c r="D48" s="227"/>
      <c r="E48" s="227">
        <v>3.0</v>
      </c>
      <c r="F48" s="191" t="s">
        <v>17</v>
      </c>
      <c r="G48" s="191"/>
      <c r="H48" s="227" t="str">
        <f>'23RDAPRIL'!J48</f>
        <v/>
      </c>
      <c r="I48" s="227">
        <f>'23RDAPRIL'!K48</f>
        <v>1</v>
      </c>
      <c r="J48" s="191"/>
      <c r="K48" s="318">
        <v>1.0</v>
      </c>
      <c r="L48" s="191" t="s">
        <v>17</v>
      </c>
      <c r="M48" s="295">
        <f>IF(AND(H48&lt;&gt;"", J48&lt;&gt;""), H48-J48, IF(H48&lt;&gt;"", H48-I48*VLOOKUP(A48, BACKEND1!$A:$G,6,FALSE), IF(J48&lt;&gt;"", -J48+K48*VLOOKUP(A48, BACKEND1!$A:$G,6,FALSE),0)))+ (C48+D48-E48)*VLOOKUP(A48, BACKEND1!$A:$G,5,FALSE)+G48
</f>
        <v>3.5</v>
      </c>
      <c r="N48" s="191"/>
      <c r="O48" s="191"/>
    </row>
    <row r="49">
      <c r="A49" s="188" t="s">
        <v>22</v>
      </c>
      <c r="B49" s="226" t="s">
        <v>17</v>
      </c>
      <c r="C49" s="227" t="str">
        <f>'23RDAPRIL'!E49</f>
        <v/>
      </c>
      <c r="D49" s="191"/>
      <c r="E49" s="191"/>
      <c r="F49" s="191" t="s">
        <v>17</v>
      </c>
      <c r="G49" s="191"/>
      <c r="H49" s="227" t="str">
        <f>'23RDAPRIL'!J49</f>
        <v/>
      </c>
      <c r="I49" s="227">
        <f>'23RDAPRIL'!K49</f>
        <v>1</v>
      </c>
      <c r="J49" s="191"/>
      <c r="K49" s="318">
        <v>1.0</v>
      </c>
      <c r="L49" s="191" t="s">
        <v>17</v>
      </c>
      <c r="M49" s="295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191"/>
    </row>
    <row r="50">
      <c r="A50" s="188" t="s">
        <v>23</v>
      </c>
      <c r="B50" s="188" t="s">
        <v>24</v>
      </c>
      <c r="C50" s="227" t="str">
        <f>'23RDAPRIL'!E50</f>
        <v/>
      </c>
      <c r="D50" s="227">
        <v>1.0</v>
      </c>
      <c r="E50" s="227">
        <v>1.0</v>
      </c>
      <c r="F50" s="191" t="s">
        <v>25</v>
      </c>
      <c r="G50" s="191"/>
      <c r="H50" s="227">
        <f>'23RDAPRIL'!J50</f>
        <v>0.527</v>
      </c>
      <c r="I50" s="227">
        <f>'23RDAPRIL'!K50</f>
        <v>1</v>
      </c>
      <c r="J50" s="227">
        <v>0.336</v>
      </c>
      <c r="K50" s="318">
        <v>1.0</v>
      </c>
      <c r="L50" s="191" t="s">
        <v>25</v>
      </c>
      <c r="M50" s="295">
        <f>IF(AND(H50&lt;&gt;"", J50&lt;&gt;""), H50-J50, IF(H50&lt;&gt;"", H50-I50*VLOOKUP(A50, BACKEND1!$A:$G,6,FALSE), IF(J50&lt;&gt;"", -J50+K50*VLOOKUP(A50, BACKEND1!$A:$G,6,FALSE),0)))+ (C50+D50-E50)*VLOOKUP(A50, BACKEND1!$A:$G,5,FALSE)+G50
</f>
        <v>0.191</v>
      </c>
      <c r="N50" s="191"/>
      <c r="O50" s="191"/>
    </row>
    <row r="51">
      <c r="A51" s="188" t="s">
        <v>27</v>
      </c>
      <c r="B51" s="188" t="s">
        <v>24</v>
      </c>
      <c r="C51" s="227" t="str">
        <f>'23RDAPRIL'!E51</f>
        <v/>
      </c>
      <c r="D51" s="191"/>
      <c r="E51" s="191"/>
      <c r="F51" s="191" t="s">
        <v>24</v>
      </c>
      <c r="G51" s="191"/>
      <c r="H51" s="227" t="str">
        <f>'23RDAPRIL'!J51</f>
        <v/>
      </c>
      <c r="I51" s="227">
        <f>'23RDAPRIL'!K51</f>
        <v>1</v>
      </c>
      <c r="J51" s="191"/>
      <c r="K51" s="318">
        <v>1.0</v>
      </c>
      <c r="L51" s="191" t="s">
        <v>24</v>
      </c>
      <c r="M51" s="295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191"/>
    </row>
    <row r="52">
      <c r="A52" s="188" t="s">
        <v>29</v>
      </c>
      <c r="B52" s="188" t="s">
        <v>17</v>
      </c>
      <c r="C52" s="227">
        <f>'23RDAPRIL'!E52</f>
        <v>1</v>
      </c>
      <c r="D52" s="191"/>
      <c r="E52" s="227">
        <v>1.0</v>
      </c>
      <c r="F52" s="191" t="s">
        <v>14</v>
      </c>
      <c r="G52" s="191"/>
      <c r="H52" s="227" t="str">
        <f>'23RDAPRIL'!J52</f>
        <v/>
      </c>
      <c r="I52" s="227">
        <f>'23RDAPRIL'!K52</f>
        <v>1</v>
      </c>
      <c r="J52" s="191"/>
      <c r="K52" s="318">
        <v>1.0</v>
      </c>
      <c r="L52" s="191" t="s">
        <v>14</v>
      </c>
      <c r="M52" s="295">
        <f>IF(AND(H52&lt;&gt;"", J52&lt;&gt;""), H52-J52, IF(H52&lt;&gt;"", H52-I52*VLOOKUP(A52, BACKEND1!$A:$G,6,FALSE), IF(J52&lt;&gt;"", -J52+K52*VLOOKUP(A52, BACKEND1!$A:$G,6,FALSE),0)))+ (C52+D52-E52)*VLOOKUP(A52, BACKEND1!$A:$G,5,FALSE)+G52
</f>
        <v>0</v>
      </c>
      <c r="N52" s="191"/>
      <c r="O52" s="191"/>
    </row>
    <row r="53">
      <c r="A53" s="239" t="s">
        <v>30</v>
      </c>
      <c r="B53" s="188" t="s">
        <v>24</v>
      </c>
      <c r="C53" s="227"/>
      <c r="D53" s="227"/>
      <c r="E53" s="227"/>
      <c r="F53" s="191" t="s">
        <v>35</v>
      </c>
      <c r="G53" s="191"/>
      <c r="H53" s="227">
        <v>0.612</v>
      </c>
      <c r="I53" s="227">
        <f>'23RDAPRIL'!K53</f>
        <v>1</v>
      </c>
      <c r="J53" s="227">
        <v>0.558</v>
      </c>
      <c r="K53" s="318">
        <v>1.0</v>
      </c>
      <c r="L53" s="191" t="s">
        <v>35</v>
      </c>
      <c r="M53" s="295">
        <f>IF(AND(H53&lt;&gt;"", J53&lt;&gt;""), H53-J53, IF(H53&lt;&gt;"", H53-I53*VLOOKUP(A53, BACKEND1!$A:$G,6,FALSE), IF(J53&lt;&gt;"", -J53+K53*VLOOKUP(A53, BACKEND1!$A:$G,6,FALSE),0)))+ (C53+D53-E53)*VLOOKUP(A53, BACKEND1!$A:$G,5,FALSE)+G53
</f>
        <v>0.054</v>
      </c>
      <c r="N53" s="191"/>
      <c r="O53" s="191"/>
    </row>
    <row r="54">
      <c r="A54" s="188" t="s">
        <v>33</v>
      </c>
      <c r="B54" s="188" t="s">
        <v>34</v>
      </c>
      <c r="C54" s="227" t="str">
        <f>'23RDAPRIL'!E54</f>
        <v/>
      </c>
      <c r="D54" s="227">
        <v>1.0</v>
      </c>
      <c r="E54" s="191"/>
      <c r="F54" s="191" t="s">
        <v>35</v>
      </c>
      <c r="G54" s="191"/>
      <c r="H54" s="227" t="str">
        <f>'23RDAPRIL'!J54</f>
        <v/>
      </c>
      <c r="I54" s="227">
        <f>'23RDAPRIL'!K54</f>
        <v>1</v>
      </c>
      <c r="J54" s="227">
        <v>0.262</v>
      </c>
      <c r="K54" s="318">
        <v>1.0</v>
      </c>
      <c r="L54" s="191" t="s">
        <v>35</v>
      </c>
      <c r="M54" s="295">
        <f>IF(AND(H54&lt;&gt;"", J54&lt;&gt;""), H54-J54, IF(H54&lt;&gt;"", H54-I54*VLOOKUP(A54, BACKEND1!$A:$G,6,FALSE), IF(J54&lt;&gt;"", -J54+K54*VLOOKUP(A54, BACKEND1!$A:$G,6,FALSE),0)))+ (C54+D54-E54)*VLOOKUP(A54, BACKEND1!$A:$G,5,FALSE)+G54
</f>
        <v>0.201</v>
      </c>
      <c r="N54" s="191"/>
      <c r="O54" s="191"/>
    </row>
    <row r="55">
      <c r="A55" s="188" t="s">
        <v>37</v>
      </c>
      <c r="B55" s="188" t="s">
        <v>17</v>
      </c>
      <c r="C55" s="227" t="str">
        <f>'23RDAPRIL'!E55</f>
        <v/>
      </c>
      <c r="D55" s="191"/>
      <c r="E55" s="191"/>
      <c r="F55" s="191" t="s">
        <v>752</v>
      </c>
      <c r="G55" s="191"/>
      <c r="H55" s="227" t="str">
        <f>'23RDAPRIL'!J55</f>
        <v/>
      </c>
      <c r="I55" s="227">
        <f>'23RDAPRIL'!K55</f>
        <v>1</v>
      </c>
      <c r="J55" s="191"/>
      <c r="K55" s="318">
        <v>1.0</v>
      </c>
      <c r="L55" s="191" t="s">
        <v>752</v>
      </c>
      <c r="M55" s="295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191"/>
    </row>
    <row r="56">
      <c r="A56" s="188" t="s">
        <v>39</v>
      </c>
      <c r="B56" s="188" t="s">
        <v>40</v>
      </c>
      <c r="C56" s="227" t="str">
        <f>'23RDAPRIL'!E56</f>
        <v/>
      </c>
      <c r="D56" s="227">
        <v>2.0</v>
      </c>
      <c r="E56" s="227">
        <v>2.0</v>
      </c>
      <c r="F56" s="191" t="s">
        <v>17</v>
      </c>
      <c r="G56" s="191"/>
      <c r="H56" s="227" t="str">
        <f>'23RDAPRIL'!J56</f>
        <v/>
      </c>
      <c r="I56" s="227">
        <f>'23RDAPRIL'!K56</f>
        <v>1</v>
      </c>
      <c r="J56" s="191"/>
      <c r="K56" s="318">
        <v>1.0</v>
      </c>
      <c r="L56" s="191" t="s">
        <v>17</v>
      </c>
      <c r="M56" s="295">
        <f>IF(AND(H56&lt;&gt;"", J56&lt;&gt;""), H56-J56, IF(H56&lt;&gt;"", H56-I56*VLOOKUP(A56, BACKEND1!$A:$G,6,FALSE), IF(J56&lt;&gt;"", -J56+K56*VLOOKUP(A56, BACKEND1!$A:$G,6,FALSE),0)))+ (C56+D56-E56)*VLOOKUP(A56, BACKEND1!$A:$G,5,FALSE)+G56
</f>
        <v>0</v>
      </c>
      <c r="N56" s="191"/>
      <c r="O56" s="191"/>
    </row>
    <row r="57">
      <c r="A57" s="188" t="s">
        <v>42</v>
      </c>
      <c r="B57" s="188" t="s">
        <v>24</v>
      </c>
      <c r="C57" s="227">
        <f>'23RDAPRIL'!E57</f>
        <v>1</v>
      </c>
      <c r="D57" s="191"/>
      <c r="E57" s="227">
        <v>1.0</v>
      </c>
      <c r="F57" s="191" t="s">
        <v>35</v>
      </c>
      <c r="G57" s="191"/>
      <c r="H57" s="227">
        <f>'23RDAPRIL'!J57</f>
        <v>0.354</v>
      </c>
      <c r="I57" s="227">
        <f>'23RDAPRIL'!K57</f>
        <v>1</v>
      </c>
      <c r="J57" s="227"/>
      <c r="K57" s="318">
        <v>1.0</v>
      </c>
      <c r="L57" s="191" t="s">
        <v>35</v>
      </c>
      <c r="M57" s="295">
        <f>IF(AND(H57&lt;&gt;"", J57&lt;&gt;""), H57-J57, IF(H57&lt;&gt;"", H57-I57*VLOOKUP(A57, BACKEND1!$A:$G,6,FALSE), IF(J57&lt;&gt;"", -J57+K57*VLOOKUP(A57, BACKEND1!$A:$G,6,FALSE),0)))+ (C57+D57-E57)*VLOOKUP(A57, BACKEND1!$A:$G,5,FALSE)+G57
</f>
        <v>0.322</v>
      </c>
      <c r="N57" s="191"/>
      <c r="O57" s="191"/>
    </row>
    <row r="58">
      <c r="A58" s="188" t="s">
        <v>44</v>
      </c>
      <c r="B58" s="188" t="s">
        <v>24</v>
      </c>
      <c r="C58" s="227" t="str">
        <f>'23RDAPRIL'!E58</f>
        <v/>
      </c>
      <c r="D58" s="191"/>
      <c r="E58" s="191"/>
      <c r="F58" s="191" t="s">
        <v>25</v>
      </c>
      <c r="G58" s="191"/>
      <c r="H58" s="227">
        <f>'23RDAPRIL'!J58</f>
        <v>0.65</v>
      </c>
      <c r="I58" s="227">
        <f>'23RDAPRIL'!K58</f>
        <v>1</v>
      </c>
      <c r="J58" s="227">
        <v>0.635</v>
      </c>
      <c r="K58" s="318">
        <v>1.0</v>
      </c>
      <c r="L58" s="191" t="s">
        <v>25</v>
      </c>
      <c r="M58" s="295">
        <f>IF(AND(H58&lt;&gt;"", J58&lt;&gt;""), H58-J58, IF(H58&lt;&gt;"", H58-I58*VLOOKUP(A58, BACKEND1!$A:$G,6,FALSE), IF(J58&lt;&gt;"", -J58+K58*VLOOKUP(A58, BACKEND1!$A:$G,6,FALSE),0)))+ (C58+D58-E58)*VLOOKUP(A58, BACKEND1!$A:$G,5,FALSE)+G58
</f>
        <v>0.015</v>
      </c>
      <c r="N58" s="191"/>
      <c r="O58" s="191"/>
    </row>
    <row r="59">
      <c r="A59" s="188" t="s">
        <v>45</v>
      </c>
      <c r="B59" s="188" t="s">
        <v>24</v>
      </c>
      <c r="C59" s="227" t="str">
        <f>'23RDAPRIL'!E59</f>
        <v/>
      </c>
      <c r="D59" s="191"/>
      <c r="E59" s="191"/>
      <c r="F59" s="191" t="s">
        <v>25</v>
      </c>
      <c r="G59" s="191"/>
      <c r="H59" s="227">
        <f>'23RDAPRIL'!J59</f>
        <v>0.952</v>
      </c>
      <c r="I59" s="227">
        <f>'23RDAPRIL'!K59</f>
        <v>1</v>
      </c>
      <c r="J59" s="227">
        <v>0.948</v>
      </c>
      <c r="K59" s="318">
        <v>1.0</v>
      </c>
      <c r="L59" s="191" t="s">
        <v>25</v>
      </c>
      <c r="M59" s="295">
        <f>IF(AND(H59&lt;&gt;"", J59&lt;&gt;""), H59-J59, IF(H59&lt;&gt;"", H59-I59*VLOOKUP(A59, BACKEND1!$A:$G,6,FALSE), IF(J59&lt;&gt;"", -J59+K59*VLOOKUP(A59, BACKEND1!$A:$G,6,FALSE),0)))+ (C59+D59-E59)*VLOOKUP(A59, BACKEND1!$A:$G,5,FALSE)+G59
</f>
        <v>0.004</v>
      </c>
      <c r="N59" s="191"/>
      <c r="O59" s="191"/>
    </row>
    <row r="60">
      <c r="A60" s="244" t="s">
        <v>46</v>
      </c>
      <c r="B60" s="188" t="s">
        <v>47</v>
      </c>
      <c r="C60" s="227" t="str">
        <f>'23RDAPRIL'!E60</f>
        <v/>
      </c>
      <c r="D60" s="191"/>
      <c r="E60" s="191"/>
      <c r="F60" s="191" t="s">
        <v>48</v>
      </c>
      <c r="G60" s="191"/>
      <c r="H60" s="227" t="str">
        <f>'23RDAPRIL'!J60</f>
        <v/>
      </c>
      <c r="I60" s="227">
        <f>'23RDAPRIL'!K60</f>
        <v>1</v>
      </c>
      <c r="J60" s="191"/>
      <c r="K60" s="318">
        <v>1.0</v>
      </c>
      <c r="L60" s="191" t="s">
        <v>48</v>
      </c>
      <c r="M60" s="295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191"/>
    </row>
    <row r="61">
      <c r="A61" s="188" t="s">
        <v>50</v>
      </c>
      <c r="B61" s="188" t="s">
        <v>47</v>
      </c>
      <c r="C61" s="227" t="str">
        <f>'23RDAPRIL'!E61</f>
        <v/>
      </c>
      <c r="D61" s="191"/>
      <c r="E61" s="191"/>
      <c r="F61" s="191" t="s">
        <v>51</v>
      </c>
      <c r="G61" s="191"/>
      <c r="H61" s="227" t="str">
        <f>'23RDAPRIL'!J61</f>
        <v/>
      </c>
      <c r="I61" s="227">
        <f>'23RDAPRIL'!K61</f>
        <v>1</v>
      </c>
      <c r="J61" s="191"/>
      <c r="K61" s="318">
        <v>1.0</v>
      </c>
      <c r="L61" s="191" t="s">
        <v>51</v>
      </c>
      <c r="M61" s="295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191"/>
    </row>
    <row r="62">
      <c r="A62" s="188" t="s">
        <v>52</v>
      </c>
      <c r="B62" s="188" t="s">
        <v>47</v>
      </c>
      <c r="C62" s="227" t="str">
        <f>'23RDAPRIL'!E62</f>
        <v/>
      </c>
      <c r="D62" s="191"/>
      <c r="E62" s="191"/>
      <c r="F62" s="191" t="s">
        <v>51</v>
      </c>
      <c r="G62" s="191"/>
      <c r="H62" s="227">
        <f>'23RDAPRIL'!J62</f>
        <v>0.651</v>
      </c>
      <c r="I62" s="227">
        <f>'23RDAPRIL'!K62</f>
        <v>1</v>
      </c>
      <c r="J62" s="227">
        <v>0.645</v>
      </c>
      <c r="K62" s="318">
        <v>1.0</v>
      </c>
      <c r="L62" s="191" t="s">
        <v>51</v>
      </c>
      <c r="M62" s="295">
        <f>IF(AND(H62&lt;&gt;"", J62&lt;&gt;""), H62-J62, IF(H62&lt;&gt;"", H62-I62*VLOOKUP(A62, BACKEND1!$A:$G,6,FALSE), IF(J62&lt;&gt;"", -J62+K62*VLOOKUP(A62, BACKEND1!$A:$G,6,FALSE),0)))+ (C62+D62-E62)*VLOOKUP(A62, BACKEND1!$A:$G,5,FALSE)+G62
</f>
        <v>0.006</v>
      </c>
      <c r="N62" s="191"/>
      <c r="O62" s="191"/>
    </row>
    <row r="63">
      <c r="A63" s="188" t="s">
        <v>53</v>
      </c>
      <c r="B63" s="188" t="s">
        <v>35</v>
      </c>
      <c r="C63" s="227" t="str">
        <f>'23RDAPRIL'!E63</f>
        <v/>
      </c>
      <c r="D63" s="191"/>
      <c r="E63" s="191"/>
      <c r="F63" s="191" t="s">
        <v>35</v>
      </c>
      <c r="G63" s="191"/>
      <c r="H63" s="227">
        <f>'23RDAPRIL'!J63</f>
        <v>1.078</v>
      </c>
      <c r="I63" s="227">
        <f>'23RDAPRIL'!K63</f>
        <v>1</v>
      </c>
      <c r="J63" s="227">
        <v>0.853</v>
      </c>
      <c r="K63" s="318">
        <v>1.0</v>
      </c>
      <c r="L63" s="191" t="s">
        <v>35</v>
      </c>
      <c r="M63" s="295">
        <f>IF(AND(H63&lt;&gt;"", J63&lt;&gt;""), H63-J63, IF(H63&lt;&gt;"", H63-I63*VLOOKUP(A63, BACKEND1!$A:$G,6,FALSE), IF(J63&lt;&gt;"", -J63+K63*VLOOKUP(A63, BACKEND1!$A:$G,6,FALSE),0)))+ (C63+D63-E63)*VLOOKUP(A63, BACKEND1!$A:$G,5,FALSE)+G63
</f>
        <v>0.225</v>
      </c>
      <c r="N63" s="191"/>
      <c r="O63" s="191"/>
    </row>
    <row r="64">
      <c r="A64" s="191" t="s">
        <v>55</v>
      </c>
      <c r="B64" s="191" t="s">
        <v>56</v>
      </c>
      <c r="C64" s="227" t="str">
        <f>'23RDAPRIL'!E64</f>
        <v/>
      </c>
      <c r="D64" s="227"/>
      <c r="E64" s="227"/>
      <c r="F64" s="191" t="s">
        <v>14</v>
      </c>
      <c r="G64" s="191"/>
      <c r="H64" s="227" t="str">
        <f>'23RDAPRIL'!J64</f>
        <v/>
      </c>
      <c r="I64" s="227">
        <f>'23RDAPRIL'!K64</f>
        <v>1</v>
      </c>
      <c r="J64" s="191"/>
      <c r="K64" s="318">
        <v>1.0</v>
      </c>
      <c r="L64" s="191" t="s">
        <v>14</v>
      </c>
      <c r="M64" s="295">
        <f>IF(AND(H64&lt;&gt;"", J64&lt;&gt;""), H64-J64, IF(H64&lt;&gt;"", H64-I64*VLOOKUP(A64, BACKEND1!$A:$G,6,FALSE), IF(J64&lt;&gt;"", -J64+K64*VLOOKUP(A64, BACKEND1!$A:$G,6,FALSE),0)))+ (C64+D64-E64)*VLOOKUP(A64, BACKEND1!$A:$G,5,FALSE)+G64
</f>
        <v>0</v>
      </c>
      <c r="N64" s="191"/>
      <c r="O64" s="191"/>
    </row>
    <row r="65">
      <c r="A65" s="238" t="s">
        <v>57</v>
      </c>
      <c r="B65" s="191"/>
      <c r="C65" s="227" t="str">
        <f>'23RDAPRIL'!E65</f>
        <v/>
      </c>
      <c r="D65" s="191"/>
      <c r="E65" s="191"/>
      <c r="F65" s="191"/>
      <c r="G65" s="191"/>
      <c r="H65" s="227" t="str">
        <f>'23RDAPRIL'!J65</f>
        <v/>
      </c>
      <c r="I65" s="227">
        <f>'23RDAPRIL'!K65</f>
        <v>1</v>
      </c>
      <c r="J65" s="191"/>
      <c r="K65" s="318">
        <v>1.0</v>
      </c>
      <c r="L65" s="191"/>
      <c r="M65" s="295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191"/>
    </row>
    <row r="66">
      <c r="A66" s="188" t="s">
        <v>58</v>
      </c>
      <c r="B66" s="188" t="s">
        <v>59</v>
      </c>
      <c r="C66" s="227">
        <f>'23RDAPRIL'!E66</f>
        <v>1</v>
      </c>
      <c r="D66" s="227">
        <v>6.0</v>
      </c>
      <c r="E66" s="227">
        <v>3.0</v>
      </c>
      <c r="F66" s="191" t="s">
        <v>35</v>
      </c>
      <c r="G66" s="191"/>
      <c r="H66" s="227">
        <f>'23RDAPRIL'!J66</f>
        <v>0.963</v>
      </c>
      <c r="I66" s="227">
        <f>'23RDAPRIL'!K66</f>
        <v>1</v>
      </c>
      <c r="J66" s="227">
        <v>1.495</v>
      </c>
      <c r="K66" s="318">
        <v>1.0</v>
      </c>
      <c r="L66" s="191" t="s">
        <v>35</v>
      </c>
      <c r="M66" s="295">
        <f>IF(AND(H66&lt;&gt;"", J66&lt;&gt;""), H66-J66, IF(H66&lt;&gt;"", H66-I66*VLOOKUP(A66, BACKEND1!$A:$G,6,FALSE), IF(J66&lt;&gt;"", -J66+K66*VLOOKUP(A66, BACKEND1!$A:$G,6,FALSE),0)))+ (C66+D66-E66)*VLOOKUP(A66, BACKEND1!$A:$G,5,FALSE)+G66
</f>
        <v>7.468</v>
      </c>
      <c r="N66" s="191"/>
      <c r="O66" s="191"/>
    </row>
    <row r="67">
      <c r="A67" s="188" t="s">
        <v>61</v>
      </c>
      <c r="B67" s="188" t="s">
        <v>59</v>
      </c>
      <c r="C67" s="227" t="str">
        <f>'23RDAPRIL'!E67</f>
        <v/>
      </c>
      <c r="D67" s="227">
        <v>1.0</v>
      </c>
      <c r="E67" s="227">
        <v>1.0</v>
      </c>
      <c r="F67" s="191" t="s">
        <v>35</v>
      </c>
      <c r="G67" s="191"/>
      <c r="H67" s="227">
        <f>'23RDAPRIL'!J67</f>
        <v>0.062</v>
      </c>
      <c r="I67" s="227">
        <f>'23RDAPRIL'!K67</f>
        <v>1</v>
      </c>
      <c r="J67" s="227">
        <v>0.043</v>
      </c>
      <c r="K67" s="318">
        <v>1.0</v>
      </c>
      <c r="L67" s="191" t="s">
        <v>35</v>
      </c>
      <c r="M67" s="295">
        <f>IF(AND(H67&lt;&gt;"", J67&lt;&gt;""), H67-J67, IF(H67&lt;&gt;"", H67-I67*VLOOKUP(A67, BACKEND1!$A:$G,6,FALSE), IF(J67&lt;&gt;"", -J67+K67*VLOOKUP(A67, BACKEND1!$A:$G,6,FALSE),0)))+ (C67+D67-E67)*VLOOKUP(A67, BACKEND1!$A:$G,5,FALSE)+G67
</f>
        <v>0.019</v>
      </c>
      <c r="N67" s="191"/>
      <c r="O67" s="191"/>
    </row>
    <row r="68">
      <c r="A68" s="188" t="s">
        <v>62</v>
      </c>
      <c r="B68" s="188" t="s">
        <v>35</v>
      </c>
      <c r="C68" s="227">
        <f>'23RDAPRIL'!E68</f>
        <v>5</v>
      </c>
      <c r="D68" s="227"/>
      <c r="E68" s="227">
        <v>3.0</v>
      </c>
      <c r="F68" s="191" t="s">
        <v>35</v>
      </c>
      <c r="G68" s="191"/>
      <c r="H68" s="227" t="str">
        <f>'23RDAPRIL'!J68</f>
        <v/>
      </c>
      <c r="I68" s="227">
        <f>'23RDAPRIL'!K68</f>
        <v>1</v>
      </c>
      <c r="J68" s="191"/>
      <c r="K68" s="318">
        <v>1.0</v>
      </c>
      <c r="L68" s="191" t="s">
        <v>35</v>
      </c>
      <c r="M68" s="295">
        <f>IF(AND(H68&lt;&gt;"", J68&lt;&gt;""), H68-J68, IF(H68&lt;&gt;"", H68-I68*VLOOKUP(A68, BACKEND1!$A:$G,6,FALSE), IF(J68&lt;&gt;"", -J68+K68*VLOOKUP(A68, BACKEND1!$A:$G,6,FALSE),0)))+ (C68+D68-E68)*VLOOKUP(A68, BACKEND1!$A:$G,5,FALSE)+G68
</f>
        <v>2</v>
      </c>
      <c r="N68" s="191"/>
      <c r="O68" s="191"/>
    </row>
    <row r="69">
      <c r="A69" s="188" t="s">
        <v>64</v>
      </c>
      <c r="B69" s="188" t="s">
        <v>59</v>
      </c>
      <c r="C69" s="227" t="str">
        <f>'23RDAPRIL'!E69</f>
        <v/>
      </c>
      <c r="D69" s="227">
        <v>1.0</v>
      </c>
      <c r="E69" s="227">
        <v>1.0</v>
      </c>
      <c r="F69" s="191" t="s">
        <v>35</v>
      </c>
      <c r="G69" s="191"/>
      <c r="H69" s="227">
        <f>'23RDAPRIL'!J69</f>
        <v>0.331</v>
      </c>
      <c r="I69" s="227">
        <f>'23RDAPRIL'!K69</f>
        <v>1</v>
      </c>
      <c r="J69" s="227"/>
      <c r="K69" s="318">
        <v>1.0</v>
      </c>
      <c r="L69" s="191" t="s">
        <v>35</v>
      </c>
      <c r="M69" s="295">
        <f>IF(AND(H69&lt;&gt;"", J69&lt;&gt;""), H69-J69, IF(H69&lt;&gt;"", H69-I69*VLOOKUP(A69, BACKEND1!$A:$G,6,FALSE), IF(J69&lt;&gt;"", -J69+K69*VLOOKUP(A69, BACKEND1!$A:$G,6,FALSE),0)))+ (C69+D69-E69)*VLOOKUP(A69, BACKEND1!$A:$G,5,FALSE)+G69
</f>
        <v>0.281</v>
      </c>
      <c r="N69" s="191"/>
      <c r="O69" s="191"/>
    </row>
    <row r="70">
      <c r="A70" s="238" t="s">
        <v>65</v>
      </c>
      <c r="B70" s="191"/>
      <c r="C70" s="227" t="str">
        <f>'23RDAPRIL'!E70</f>
        <v/>
      </c>
      <c r="D70" s="191"/>
      <c r="E70" s="191"/>
      <c r="F70" s="191"/>
      <c r="G70" s="191"/>
      <c r="H70" s="227" t="str">
        <f>'23RDAPRIL'!J70</f>
        <v/>
      </c>
      <c r="I70" s="227">
        <f>'23RDAPRIL'!K70</f>
        <v>1</v>
      </c>
      <c r="J70" s="191"/>
      <c r="K70" s="318">
        <v>1.0</v>
      </c>
      <c r="L70" s="191"/>
      <c r="M70" s="295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191"/>
    </row>
    <row r="71">
      <c r="A71" s="188" t="s">
        <v>66</v>
      </c>
      <c r="B71" s="188" t="s">
        <v>56</v>
      </c>
      <c r="C71" s="227"/>
      <c r="D71" s="227">
        <v>1.0</v>
      </c>
      <c r="E71" s="191"/>
      <c r="F71" s="191" t="s">
        <v>25</v>
      </c>
      <c r="G71" s="227">
        <v>5.0</v>
      </c>
      <c r="H71" s="227">
        <f>'23RDAPRIL'!J71</f>
        <v>0.311</v>
      </c>
      <c r="I71" s="227">
        <f>'23RDAPRIL'!K71</f>
        <v>1</v>
      </c>
      <c r="J71" s="227"/>
      <c r="K71" s="318">
        <v>1.0</v>
      </c>
      <c r="L71" s="191" t="s">
        <v>25</v>
      </c>
      <c r="M71" s="295">
        <f>IF(AND(H71&lt;&gt;"", J71&lt;&gt;""), H71-J71, IF(H71&lt;&gt;"", H71-I71*VLOOKUP(A71, BACKEND1!$A:$G,6,FALSE), IF(J71&lt;&gt;"", -J71+K71*VLOOKUP(A71, BACKEND1!$A:$G,6,FALSE),0)))+ (C71+D71-E71)*VLOOKUP(A71, BACKEND1!$A:$G,5,FALSE)+G71
</f>
        <v>22.901</v>
      </c>
      <c r="N71" s="191"/>
      <c r="O71" s="191"/>
    </row>
    <row r="72">
      <c r="A72" s="188" t="s">
        <v>68</v>
      </c>
      <c r="B72" s="188" t="s">
        <v>35</v>
      </c>
      <c r="C72" s="227" t="str">
        <f>'23RDAPRIL'!E72</f>
        <v/>
      </c>
      <c r="D72" s="227">
        <v>0.5</v>
      </c>
      <c r="E72" s="191"/>
      <c r="F72" s="191" t="s">
        <v>35</v>
      </c>
      <c r="G72" s="191"/>
      <c r="H72" s="227" t="str">
        <f>'23RDAPRIL'!J72</f>
        <v/>
      </c>
      <c r="I72" s="227">
        <f>'23RDAPRIL'!K72</f>
        <v>1</v>
      </c>
      <c r="J72" s="191"/>
      <c r="K72" s="318">
        <v>1.0</v>
      </c>
      <c r="L72" s="191" t="s">
        <v>35</v>
      </c>
      <c r="M72" s="295">
        <f>IF(AND(H72&lt;&gt;"", J72&lt;&gt;""), H72-J72, IF(H72&lt;&gt;"", H72-I72*VLOOKUP(A72, BACKEND1!$A:$G,6,FALSE), IF(J72&lt;&gt;"", -J72+K72*VLOOKUP(A72, BACKEND1!$A:$G,6,FALSE),0)))+ (C72+D72-E72)*VLOOKUP(A72, BACKEND1!$A:$G,5,FALSE)+G72
</f>
        <v>0.5</v>
      </c>
      <c r="N72" s="191"/>
      <c r="O72" s="191"/>
    </row>
    <row r="73">
      <c r="A73" s="188" t="s">
        <v>70</v>
      </c>
      <c r="B73" s="188" t="s">
        <v>35</v>
      </c>
      <c r="C73" s="227" t="str">
        <f>'23RDAPRIL'!E73</f>
        <v/>
      </c>
      <c r="D73" s="191"/>
      <c r="E73" s="191"/>
      <c r="F73" s="191" t="s">
        <v>35</v>
      </c>
      <c r="G73" s="191"/>
      <c r="H73" s="227" t="str">
        <f>'23RDAPRIL'!J73</f>
        <v/>
      </c>
      <c r="I73" s="227">
        <f>'23RDAPRIL'!K73</f>
        <v>1</v>
      </c>
      <c r="J73" s="191"/>
      <c r="K73" s="318">
        <v>1.0</v>
      </c>
      <c r="L73" s="191" t="s">
        <v>35</v>
      </c>
      <c r="M73" s="295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191"/>
    </row>
    <row r="74">
      <c r="A74" s="188" t="s">
        <v>71</v>
      </c>
      <c r="B74" s="188" t="s">
        <v>72</v>
      </c>
      <c r="C74" s="227" t="str">
        <f>'23RDAPRIL'!E74</f>
        <v/>
      </c>
      <c r="D74" s="227">
        <v>1.0</v>
      </c>
      <c r="E74" s="191"/>
      <c r="F74" s="191" t="s">
        <v>25</v>
      </c>
      <c r="G74" s="191"/>
      <c r="H74" s="227">
        <f>'23RDAPRIL'!J74</f>
        <v>0.549</v>
      </c>
      <c r="I74" s="227">
        <f>'23RDAPRIL'!K74</f>
        <v>1</v>
      </c>
      <c r="J74" s="227">
        <v>0.76</v>
      </c>
      <c r="K74" s="318">
        <v>1.0</v>
      </c>
      <c r="L74" s="191" t="s">
        <v>25</v>
      </c>
      <c r="M74" s="295">
        <f>IF(AND(H74&lt;&gt;"", J74&lt;&gt;""), H74-J74, IF(H74&lt;&gt;"", H74-I74*VLOOKUP(A74, BACKEND1!$A:$G,6,FALSE), IF(J74&lt;&gt;"", -J74+K74*VLOOKUP(A74, BACKEND1!$A:$G,6,FALSE),0)))+ (C74+D74-E74)*VLOOKUP(A74, BACKEND1!$A:$G,5,FALSE)+G74
</f>
        <v>0.789</v>
      </c>
      <c r="N74" s="191"/>
      <c r="O74" s="191"/>
    </row>
    <row r="75">
      <c r="A75" s="188" t="s">
        <v>74</v>
      </c>
      <c r="B75" s="188" t="s">
        <v>17</v>
      </c>
      <c r="C75" s="227" t="str">
        <f>'23RDAPRIL'!E75</f>
        <v/>
      </c>
      <c r="D75" s="191"/>
      <c r="E75" s="191"/>
      <c r="F75" s="191" t="s">
        <v>25</v>
      </c>
      <c r="G75" s="227">
        <v>1.0</v>
      </c>
      <c r="H75" s="227" t="str">
        <f>'23RDAPRIL'!J75</f>
        <v/>
      </c>
      <c r="I75" s="227">
        <f>'23RDAPRIL'!K75</f>
        <v>1</v>
      </c>
      <c r="J75" s="227">
        <v>0.667</v>
      </c>
      <c r="K75" s="318">
        <v>1.0</v>
      </c>
      <c r="L75" s="191" t="s">
        <v>25</v>
      </c>
      <c r="M75" s="295">
        <f>IF(AND(H75&lt;&gt;"", J75&lt;&gt;""), H75-J75, IF(H75&lt;&gt;"", H75-I75*VLOOKUP(A75, BACKEND1!$A:$G,6,FALSE), IF(J75&lt;&gt;"", -J75+K75*VLOOKUP(A75, BACKEND1!$A:$G,6,FALSE),0)))+ (C75+D75-E75)*VLOOKUP(A75, BACKEND1!$A:$G,5,FALSE)+G75
</f>
        <v>0.513</v>
      </c>
      <c r="N75" s="191"/>
      <c r="O75" s="191"/>
    </row>
    <row r="76">
      <c r="A76" s="188" t="s">
        <v>76</v>
      </c>
      <c r="B76" s="188" t="s">
        <v>72</v>
      </c>
      <c r="C76" s="227" t="str">
        <f>'23RDAPRIL'!E76</f>
        <v/>
      </c>
      <c r="D76" s="191"/>
      <c r="E76" s="191"/>
      <c r="F76" s="191" t="s">
        <v>35</v>
      </c>
      <c r="G76" s="191"/>
      <c r="H76" s="227" t="str">
        <f>'23RDAPRIL'!J76</f>
        <v/>
      </c>
      <c r="I76" s="227">
        <f>'23RDAPRIL'!K76</f>
        <v>1</v>
      </c>
      <c r="J76" s="191"/>
      <c r="K76" s="318">
        <v>1.0</v>
      </c>
      <c r="L76" s="191" t="s">
        <v>35</v>
      </c>
      <c r="M76" s="295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191"/>
    </row>
    <row r="77">
      <c r="A77" s="188" t="s">
        <v>77</v>
      </c>
      <c r="B77" s="188" t="s">
        <v>78</v>
      </c>
      <c r="C77" s="227" t="str">
        <f>'23RDAPRIL'!E77</f>
        <v/>
      </c>
      <c r="D77" s="227"/>
      <c r="E77" s="191"/>
      <c r="F77" s="191" t="s">
        <v>25</v>
      </c>
      <c r="G77" s="227">
        <v>2.0</v>
      </c>
      <c r="H77" s="227">
        <v>0.424</v>
      </c>
      <c r="I77" s="227">
        <f>'23RDAPRIL'!K77</f>
        <v>1</v>
      </c>
      <c r="J77" s="227">
        <v>2.424</v>
      </c>
      <c r="K77" s="318">
        <v>1.0</v>
      </c>
      <c r="L77" s="191" t="s">
        <v>25</v>
      </c>
      <c r="M77" s="295">
        <f>IF(AND(H77&lt;&gt;"", J77&lt;&gt;""), H77-J77, IF(H77&lt;&gt;"", H77-I77*VLOOKUP(A77, BACKEND1!$A:$G,6,FALSE), IF(J77&lt;&gt;"", -J77+K77*VLOOKUP(A77, BACKEND1!$A:$G,6,FALSE),0)))+ (C77+D77-E77)*VLOOKUP(A77, BACKEND1!$A:$G,5,FALSE)+G77
</f>
        <v>0</v>
      </c>
      <c r="N77" s="191"/>
      <c r="O77" s="191"/>
    </row>
    <row r="78">
      <c r="A78" s="188" t="s">
        <v>80</v>
      </c>
      <c r="B78" s="188" t="s">
        <v>56</v>
      </c>
      <c r="C78" s="227" t="str">
        <f>'23RDAPRIL'!E78</f>
        <v/>
      </c>
      <c r="D78" s="191"/>
      <c r="E78" s="191"/>
      <c r="F78" s="191" t="s">
        <v>35</v>
      </c>
      <c r="G78" s="191"/>
      <c r="H78" s="227" t="str">
        <f>'23RDAPRIL'!J78</f>
        <v/>
      </c>
      <c r="I78" s="227">
        <f>'23RDAPRIL'!K78</f>
        <v>1</v>
      </c>
      <c r="J78" s="191"/>
      <c r="K78" s="318">
        <v>1.0</v>
      </c>
      <c r="L78" s="191" t="s">
        <v>35</v>
      </c>
      <c r="M78" s="295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191"/>
    </row>
    <row r="79">
      <c r="A79" s="188" t="s">
        <v>82</v>
      </c>
      <c r="B79" s="188" t="s">
        <v>83</v>
      </c>
      <c r="C79" s="227" t="str">
        <f>'23RDAPRIL'!E79</f>
        <v/>
      </c>
      <c r="D79" s="191"/>
      <c r="E79" s="191"/>
      <c r="F79" s="191" t="s">
        <v>35</v>
      </c>
      <c r="G79" s="191"/>
      <c r="H79" s="227">
        <f>'23RDAPRIL'!J79</f>
        <v>0.46</v>
      </c>
      <c r="I79" s="227">
        <f>'23RDAPRIL'!K79</f>
        <v>1</v>
      </c>
      <c r="J79" s="227">
        <v>0.312</v>
      </c>
      <c r="K79" s="318">
        <v>1.0</v>
      </c>
      <c r="L79" s="191" t="s">
        <v>35</v>
      </c>
      <c r="M79" s="295">
        <f>IF(AND(H79&lt;&gt;"", J79&lt;&gt;""), H79-J79, IF(H79&lt;&gt;"", H79-I79*VLOOKUP(A79, BACKEND1!$A:$G,6,FALSE), IF(J79&lt;&gt;"", -J79+K79*VLOOKUP(A79, BACKEND1!$A:$G,6,FALSE),0)))+ (C79+D79-E79)*VLOOKUP(A79, BACKEND1!$A:$G,5,FALSE)+G79
</f>
        <v>0.148</v>
      </c>
      <c r="N79" s="191"/>
      <c r="O79" s="191"/>
    </row>
    <row r="80">
      <c r="A80" s="238" t="s">
        <v>85</v>
      </c>
      <c r="B80" s="191"/>
      <c r="C80" s="227" t="str">
        <f>'23RDAPRIL'!E80</f>
        <v/>
      </c>
      <c r="D80" s="191"/>
      <c r="E80" s="191"/>
      <c r="F80" s="191"/>
      <c r="G80" s="191"/>
      <c r="H80" s="227" t="str">
        <f>'23RDAPRIL'!J80</f>
        <v/>
      </c>
      <c r="I80" s="227">
        <f>'23RDAPRIL'!K80</f>
        <v>1</v>
      </c>
      <c r="J80" s="191"/>
      <c r="K80" s="318">
        <v>1.0</v>
      </c>
      <c r="L80" s="191"/>
      <c r="M80" s="295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191"/>
    </row>
    <row r="81">
      <c r="A81" s="188" t="s">
        <v>86</v>
      </c>
      <c r="B81" s="188" t="s">
        <v>83</v>
      </c>
      <c r="C81" s="227" t="str">
        <f>'23RDAPRIL'!E81</f>
        <v/>
      </c>
      <c r="D81" s="227">
        <v>1.0</v>
      </c>
      <c r="E81" s="191"/>
      <c r="F81" s="191" t="s">
        <v>25</v>
      </c>
      <c r="G81" s="191"/>
      <c r="H81" s="227">
        <f>'23RDAPRIL'!J81</f>
        <v>0.13</v>
      </c>
      <c r="I81" s="227">
        <f>'23RDAPRIL'!K81</f>
        <v>1</v>
      </c>
      <c r="J81" s="227">
        <v>0.487</v>
      </c>
      <c r="K81" s="318">
        <v>1.0</v>
      </c>
      <c r="L81" s="191" t="s">
        <v>25</v>
      </c>
      <c r="M81" s="295">
        <f>IF(AND(H81&lt;&gt;"", J81&lt;&gt;""), H81-J81, IF(H81&lt;&gt;"", H81-I81*VLOOKUP(A81, BACKEND1!$A:$G,6,FALSE), IF(J81&lt;&gt;"", -J81+K81*VLOOKUP(A81, BACKEND1!$A:$G,6,FALSE),0)))+ (C81+D81-E81)*VLOOKUP(A81, BACKEND1!$A:$G,5,FALSE)+G81
</f>
        <v>0.143</v>
      </c>
      <c r="N81" s="191"/>
      <c r="O81" s="191"/>
    </row>
    <row r="82">
      <c r="A82" s="188" t="s">
        <v>87</v>
      </c>
      <c r="B82" s="188" t="s">
        <v>83</v>
      </c>
      <c r="C82" s="227">
        <f>'23RDAPRIL'!E82</f>
        <v>1</v>
      </c>
      <c r="D82" s="227"/>
      <c r="E82" s="227"/>
      <c r="F82" s="191" t="s">
        <v>25</v>
      </c>
      <c r="G82" s="191"/>
      <c r="H82" s="227">
        <f>'23RDAPRIL'!J82</f>
        <v>0.403</v>
      </c>
      <c r="I82" s="227">
        <f>'23RDAPRIL'!K82</f>
        <v>1</v>
      </c>
      <c r="J82" s="227">
        <v>0.861</v>
      </c>
      <c r="K82" s="318">
        <v>1.0</v>
      </c>
      <c r="L82" s="191" t="s">
        <v>25</v>
      </c>
      <c r="M82" s="295">
        <f>IF(AND(H82&lt;&gt;"", J82&lt;&gt;""), H82-J82, IF(H82&lt;&gt;"", H82-I82*VLOOKUP(A82, BACKEND1!$A:$G,6,FALSE), IF(J82&lt;&gt;"", -J82+K82*VLOOKUP(A82, BACKEND1!$A:$G,6,FALSE),0)))+ (C82+D82-E82)*VLOOKUP(A82, BACKEND1!$A:$G,5,FALSE)+G82
</f>
        <v>0.042</v>
      </c>
      <c r="N82" s="191"/>
      <c r="O82" s="191"/>
    </row>
    <row r="83">
      <c r="A83" s="188" t="s">
        <v>88</v>
      </c>
      <c r="B83" s="188" t="s">
        <v>83</v>
      </c>
      <c r="C83" s="227" t="str">
        <f>'23RDAPRIL'!E83</f>
        <v/>
      </c>
      <c r="D83" s="191"/>
      <c r="E83" s="191"/>
      <c r="F83" s="191" t="s">
        <v>25</v>
      </c>
      <c r="G83" s="191"/>
      <c r="H83" s="227">
        <f>'23RDAPRIL'!J83</f>
        <v>0.952</v>
      </c>
      <c r="I83" s="227">
        <f>'23RDAPRIL'!K83</f>
        <v>1</v>
      </c>
      <c r="J83" s="227">
        <v>0.562</v>
      </c>
      <c r="K83" s="318">
        <v>1.0</v>
      </c>
      <c r="L83" s="191" t="s">
        <v>25</v>
      </c>
      <c r="M83" s="295">
        <f>IF(AND(H83&lt;&gt;"", J83&lt;&gt;""), H83-J83, IF(H83&lt;&gt;"", H83-I83*VLOOKUP(A83, BACKEND1!$A:$G,6,FALSE), IF(J83&lt;&gt;"", -J83+K83*VLOOKUP(A83, BACKEND1!$A:$G,6,FALSE),0)))+ (C83+D83-E83)*VLOOKUP(A83, BACKEND1!$A:$G,5,FALSE)+G83
</f>
        <v>0.39</v>
      </c>
      <c r="N83" s="191"/>
      <c r="O83" s="191"/>
    </row>
    <row r="84">
      <c r="A84" s="188" t="s">
        <v>89</v>
      </c>
      <c r="B84" s="188" t="s">
        <v>83</v>
      </c>
      <c r="C84" s="227">
        <f>'23RDAPRIL'!E84</f>
        <v>1</v>
      </c>
      <c r="D84" s="227">
        <v>1.0</v>
      </c>
      <c r="E84" s="227"/>
      <c r="F84" s="191" t="s">
        <v>25</v>
      </c>
      <c r="G84" s="191"/>
      <c r="H84" s="227" t="str">
        <f>'23RDAPRIL'!J84</f>
        <v/>
      </c>
      <c r="I84" s="227">
        <f>'23RDAPRIL'!K84</f>
        <v>1</v>
      </c>
      <c r="J84" s="227">
        <v>0.701</v>
      </c>
      <c r="K84" s="318">
        <v>1.0</v>
      </c>
      <c r="L84" s="191" t="s">
        <v>25</v>
      </c>
      <c r="M84" s="295">
        <f>IF(AND(H84&lt;&gt;"", J84&lt;&gt;""), H84-J84, IF(H84&lt;&gt;"", H84-I84*VLOOKUP(A84, BACKEND1!$A:$G,6,FALSE), IF(J84&lt;&gt;"", -J84+K84*VLOOKUP(A84, BACKEND1!$A:$G,6,FALSE),0)))+ (C84+D84-E84)*VLOOKUP(A84, BACKEND1!$A:$G,5,FALSE)+G84
</f>
        <v>0.612</v>
      </c>
      <c r="N84" s="191"/>
      <c r="O84" s="191"/>
    </row>
    <row r="85">
      <c r="A85" s="188" t="s">
        <v>90</v>
      </c>
      <c r="B85" s="188" t="s">
        <v>24</v>
      </c>
      <c r="C85" s="227"/>
      <c r="D85" s="191"/>
      <c r="E85" s="227"/>
      <c r="F85" s="191" t="s">
        <v>25</v>
      </c>
      <c r="G85" s="191"/>
      <c r="H85" s="227">
        <v>0.309</v>
      </c>
      <c r="I85" s="227">
        <f>'23RDAPRIL'!K85</f>
        <v>1</v>
      </c>
      <c r="J85" s="227">
        <v>0.289</v>
      </c>
      <c r="K85" s="318">
        <v>1.0</v>
      </c>
      <c r="L85" s="191" t="s">
        <v>25</v>
      </c>
      <c r="M85" s="295">
        <f>IF(AND(H85&lt;&gt;"", J85&lt;&gt;""), H85-J85, IF(H85&lt;&gt;"", H85-I85*VLOOKUP(A85, BACKEND1!$A:$G,6,FALSE), IF(J85&lt;&gt;"", -J85+K85*VLOOKUP(A85, BACKEND1!$A:$G,6,FALSE),0)))+ (C85+D85-E85)*VLOOKUP(A85, BACKEND1!$A:$G,5,FALSE)+G85
</f>
        <v>0.02</v>
      </c>
      <c r="N85" s="191"/>
      <c r="O85" s="191"/>
    </row>
    <row r="86">
      <c r="A86" s="188" t="s">
        <v>91</v>
      </c>
      <c r="B86" s="188" t="s">
        <v>56</v>
      </c>
      <c r="C86" s="227">
        <v>1.0</v>
      </c>
      <c r="D86" s="227"/>
      <c r="E86" s="227"/>
      <c r="F86" s="191" t="s">
        <v>25</v>
      </c>
      <c r="G86" s="191"/>
      <c r="H86" s="227" t="str">
        <f>'23RDAPRIL'!J86</f>
        <v/>
      </c>
      <c r="I86" s="227">
        <f>'23RDAPRIL'!K86</f>
        <v>1</v>
      </c>
      <c r="J86" s="227">
        <v>4.8</v>
      </c>
      <c r="K86" s="318">
        <v>1.0</v>
      </c>
      <c r="L86" s="191" t="s">
        <v>25</v>
      </c>
      <c r="M86" s="295">
        <f>IF(AND(H86&lt;&gt;"", J86&lt;&gt;""), H86-J86, IF(H86&lt;&gt;"", H86-I86*VLOOKUP(A86, BACKEND1!$A:$G,6,FALSE), IF(J86&lt;&gt;"", -J86+K86*VLOOKUP(A86, BACKEND1!$A:$G,6,FALSE),0)))+ (C86+D86-E86)*VLOOKUP(A86, BACKEND1!$A:$G,5,FALSE)+G86
</f>
        <v>0.32</v>
      </c>
      <c r="N86" s="191"/>
      <c r="O86" s="191"/>
    </row>
    <row r="87">
      <c r="A87" s="188" t="s">
        <v>92</v>
      </c>
      <c r="B87" s="188" t="s">
        <v>83</v>
      </c>
      <c r="C87" s="227" t="str">
        <f>'23RDAPRIL'!E87</f>
        <v/>
      </c>
      <c r="D87" s="191"/>
      <c r="E87" s="191"/>
      <c r="F87" s="191" t="s">
        <v>25</v>
      </c>
      <c r="G87" s="191"/>
      <c r="H87" s="227" t="str">
        <f>'23RDAPRIL'!J87</f>
        <v/>
      </c>
      <c r="I87" s="227">
        <f>'23RDAPRIL'!K87</f>
        <v>1</v>
      </c>
      <c r="J87" s="191"/>
      <c r="K87" s="318">
        <v>1.0</v>
      </c>
      <c r="L87" s="191" t="s">
        <v>25</v>
      </c>
      <c r="M87" s="295">
        <f>IF(AND(H87&lt;&gt;"", J87&lt;&gt;""), H87-J87, IF(H87&lt;&gt;"", H87-I87*VLOOKUP(A87, BACKEND1!$A:$G,6,FALSE), IF(J87&lt;&gt;"", -J87+K87*VLOOKUP(A87, BACKEND1!$A:$G,6,FALSE),0)))+ (C87+D87-E87)*VLOOKUP(A87, BACKEND1!$A:$G,5,FALSE)+G87
</f>
        <v>0</v>
      </c>
      <c r="N87" s="191"/>
      <c r="O87" s="191"/>
    </row>
    <row r="88">
      <c r="A88" s="188" t="s">
        <v>93</v>
      </c>
      <c r="B88" s="188" t="s">
        <v>83</v>
      </c>
      <c r="C88" s="227" t="str">
        <f>'23RDAPRIL'!E88</f>
        <v/>
      </c>
      <c r="D88" s="191"/>
      <c r="E88" s="191"/>
      <c r="F88" s="191" t="s">
        <v>25</v>
      </c>
      <c r="G88" s="191"/>
      <c r="H88" s="227">
        <f>'23RDAPRIL'!J88</f>
        <v>0.861</v>
      </c>
      <c r="I88" s="227">
        <f>'23RDAPRIL'!K88</f>
        <v>1</v>
      </c>
      <c r="J88" s="227">
        <v>0.857</v>
      </c>
      <c r="K88" s="318">
        <v>1.0</v>
      </c>
      <c r="L88" s="191" t="s">
        <v>25</v>
      </c>
      <c r="M88" s="295">
        <f>IF(AND(H88&lt;&gt;"", J88&lt;&gt;""), H88-J88, IF(H88&lt;&gt;"", H88-I88*VLOOKUP(A88, BACKEND1!$A:$G,6,FALSE), IF(J88&lt;&gt;"", -J88+K88*VLOOKUP(A88, BACKEND1!$A:$G,6,FALSE),0)))+ (C88+D88-E88)*VLOOKUP(A88, BACKEND1!$A:$G,5,FALSE)+G88
</f>
        <v>0.004</v>
      </c>
      <c r="N88" s="191"/>
      <c r="O88" s="191"/>
    </row>
    <row r="89">
      <c r="A89" s="188" t="s">
        <v>95</v>
      </c>
      <c r="B89" s="188" t="s">
        <v>83</v>
      </c>
      <c r="C89" s="227" t="str">
        <f>'23RDAPRIL'!E89</f>
        <v/>
      </c>
      <c r="D89" s="191"/>
      <c r="E89" s="191"/>
      <c r="F89" s="191" t="s">
        <v>25</v>
      </c>
      <c r="G89" s="191"/>
      <c r="H89" s="227" t="str">
        <f>'23RDAPRIL'!J89</f>
        <v/>
      </c>
      <c r="I89" s="227">
        <f>'23RDAPRIL'!K89</f>
        <v>1</v>
      </c>
      <c r="J89" s="191"/>
      <c r="K89" s="318">
        <v>1.0</v>
      </c>
      <c r="L89" s="191" t="s">
        <v>25</v>
      </c>
      <c r="M89" s="295">
        <f>IF(AND(H89&lt;&gt;"", J89&lt;&gt;""), H89-J89, IF(H89&lt;&gt;"", H89-I89*VLOOKUP(A89, BACKEND1!$A:$G,6,FALSE), IF(J89&lt;&gt;"", -J89+K89*VLOOKUP(A89, BACKEND1!$A:$G,6,FALSE),0)))+ (C89+D89-E89)*VLOOKUP(A89, BACKEND1!$A:$G,5,FALSE)+G89
</f>
        <v>0</v>
      </c>
      <c r="N89" s="191"/>
      <c r="O89" s="191"/>
    </row>
    <row r="90">
      <c r="A90" s="238" t="s">
        <v>96</v>
      </c>
      <c r="B90" s="191"/>
      <c r="C90" s="227" t="str">
        <f>'23RDAPRIL'!E90</f>
        <v/>
      </c>
      <c r="D90" s="191"/>
      <c r="E90" s="191"/>
      <c r="F90" s="191"/>
      <c r="G90" s="191"/>
      <c r="H90" s="227" t="str">
        <f>'23RDAPRIL'!J90</f>
        <v/>
      </c>
      <c r="I90" s="227">
        <f>'23RDAPRIL'!K90</f>
        <v>1</v>
      </c>
      <c r="J90" s="191"/>
      <c r="K90" s="318">
        <v>1.0</v>
      </c>
      <c r="L90" s="191"/>
      <c r="M90" s="295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191"/>
    </row>
    <row r="91">
      <c r="A91" s="188" t="s">
        <v>97</v>
      </c>
      <c r="B91" s="188" t="s">
        <v>40</v>
      </c>
      <c r="C91" s="227" t="str">
        <f>'23RDAPRIL'!E91</f>
        <v/>
      </c>
      <c r="D91" s="191"/>
      <c r="E91" s="191"/>
      <c r="F91" s="191" t="s">
        <v>35</v>
      </c>
      <c r="G91" s="191"/>
      <c r="H91" s="227" t="str">
        <f>'23RDAPRIL'!J91</f>
        <v/>
      </c>
      <c r="I91" s="227">
        <f>'23RDAPRIL'!K91</f>
        <v>1</v>
      </c>
      <c r="J91" s="191"/>
      <c r="K91" s="318">
        <v>1.0</v>
      </c>
      <c r="L91" s="191" t="s">
        <v>35</v>
      </c>
      <c r="M91" s="295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191"/>
    </row>
    <row r="92">
      <c r="A92" s="188" t="s">
        <v>99</v>
      </c>
      <c r="B92" s="188" t="s">
        <v>40</v>
      </c>
      <c r="C92" s="227" t="str">
        <f>'23RDAPRIL'!E92</f>
        <v/>
      </c>
      <c r="D92" s="191"/>
      <c r="E92" s="191"/>
      <c r="F92" s="191" t="s">
        <v>35</v>
      </c>
      <c r="G92" s="191"/>
      <c r="H92" s="227">
        <f>'23RDAPRIL'!J92</f>
        <v>0.724</v>
      </c>
      <c r="I92" s="227">
        <f>'23RDAPRIL'!K92</f>
        <v>1</v>
      </c>
      <c r="J92" s="227">
        <v>0.61</v>
      </c>
      <c r="K92" s="318">
        <v>1.0</v>
      </c>
      <c r="L92" s="191" t="s">
        <v>35</v>
      </c>
      <c r="M92" s="295">
        <f>IF(AND(H92&lt;&gt;"", J92&lt;&gt;""), H92-J92, IF(H92&lt;&gt;"", H92-I92*VLOOKUP(A92, BACKEND1!$A:$G,6,FALSE), IF(J92&lt;&gt;"", -J92+K92*VLOOKUP(A92, BACKEND1!$A:$G,6,FALSE),0)))+ (C92+D92-E92)*VLOOKUP(A92, BACKEND1!$A:$G,5,FALSE)+G92
</f>
        <v>0.114</v>
      </c>
      <c r="N92" s="191"/>
      <c r="O92" s="191"/>
    </row>
    <row r="93">
      <c r="A93" s="188" t="s">
        <v>100</v>
      </c>
      <c r="B93" s="188" t="s">
        <v>40</v>
      </c>
      <c r="C93" s="227" t="str">
        <f>'23RDAPRIL'!E93</f>
        <v/>
      </c>
      <c r="D93" s="191"/>
      <c r="E93" s="191"/>
      <c r="F93" s="191" t="s">
        <v>35</v>
      </c>
      <c r="G93" s="191"/>
      <c r="H93" s="227">
        <f>'23RDAPRIL'!J93</f>
        <v>0.148</v>
      </c>
      <c r="I93" s="227">
        <f>'23RDAPRIL'!K93</f>
        <v>1</v>
      </c>
      <c r="J93" s="227">
        <v>0.12</v>
      </c>
      <c r="K93" s="318">
        <v>1.0</v>
      </c>
      <c r="L93" s="191" t="s">
        <v>35</v>
      </c>
      <c r="M93" s="295">
        <f>IF(AND(H93&lt;&gt;"", J93&lt;&gt;""), H93-J93, IF(H93&lt;&gt;"", H93-I93*VLOOKUP(A93, BACKEND1!$A:$G,6,FALSE), IF(J93&lt;&gt;"", -J93+K93*VLOOKUP(A93, BACKEND1!$A:$G,6,FALSE),0)))+ (C93+D93-E93)*VLOOKUP(A93, BACKEND1!$A:$G,5,FALSE)+G93
</f>
        <v>0.028</v>
      </c>
      <c r="N93" s="191"/>
      <c r="O93" s="191"/>
    </row>
    <row r="94">
      <c r="A94" s="188" t="s">
        <v>101</v>
      </c>
      <c r="B94" s="188" t="s">
        <v>40</v>
      </c>
      <c r="C94" s="227" t="str">
        <f>'23RDAPRIL'!E94</f>
        <v/>
      </c>
      <c r="D94" s="191"/>
      <c r="E94" s="191"/>
      <c r="F94" s="191" t="s">
        <v>35</v>
      </c>
      <c r="G94" s="191"/>
      <c r="H94" s="227" t="str">
        <f>'23RDAPRIL'!J94</f>
        <v/>
      </c>
      <c r="I94" s="227">
        <f>'23RDAPRIL'!K94</f>
        <v>1</v>
      </c>
      <c r="J94" s="191"/>
      <c r="K94" s="318">
        <v>1.0</v>
      </c>
      <c r="L94" s="191" t="s">
        <v>35</v>
      </c>
      <c r="M94" s="295">
        <f>IF(AND(H94&lt;&gt;"", J94&lt;&gt;""), H94-J94, IF(H94&lt;&gt;"", H94-I94*VLOOKUP(A94, BACKEND1!$A:$G,6,FALSE), IF(J94&lt;&gt;"", -J94+K94*VLOOKUP(A94, BACKEND1!$A:$G,6,FALSE),0)))+ (C94+D94-E94)*VLOOKUP(A94, BACKEND1!$A:$G,5,FALSE)+G94
</f>
        <v>0</v>
      </c>
      <c r="N94" s="191"/>
      <c r="O94" s="191"/>
    </row>
    <row r="95">
      <c r="A95" s="188" t="s">
        <v>102</v>
      </c>
      <c r="B95" s="188" t="s">
        <v>40</v>
      </c>
      <c r="C95" s="227" t="str">
        <f>'23RDAPRIL'!E95</f>
        <v/>
      </c>
      <c r="D95" s="191"/>
      <c r="E95" s="191"/>
      <c r="F95" s="191" t="s">
        <v>35</v>
      </c>
      <c r="G95" s="191"/>
      <c r="H95" s="227">
        <f>'23RDAPRIL'!J95</f>
        <v>0.3</v>
      </c>
      <c r="I95" s="227">
        <f>'23RDAPRIL'!K95</f>
        <v>1</v>
      </c>
      <c r="J95" s="227">
        <v>0.258</v>
      </c>
      <c r="K95" s="318">
        <v>1.0</v>
      </c>
      <c r="L95" s="191" t="s">
        <v>35</v>
      </c>
      <c r="M95" s="295">
        <f>IF(AND(H95&lt;&gt;"", J95&lt;&gt;""), H95-J95, IF(H95&lt;&gt;"", H95-I95*VLOOKUP(A95, BACKEND1!$A:$G,6,FALSE), IF(J95&lt;&gt;"", -J95+K95*VLOOKUP(A95, BACKEND1!$A:$G,6,FALSE),0)))+ (C95+D95-E95)*VLOOKUP(A95, BACKEND1!$A:$G,5,FALSE)+G95
</f>
        <v>0.042</v>
      </c>
      <c r="N95" s="191"/>
      <c r="O95" s="191"/>
    </row>
    <row r="96">
      <c r="A96" s="188" t="s">
        <v>103</v>
      </c>
      <c r="B96" s="188" t="s">
        <v>40</v>
      </c>
      <c r="C96" s="227" t="str">
        <f>'23RDAPRIL'!E96</f>
        <v/>
      </c>
      <c r="D96" s="191"/>
      <c r="E96" s="191"/>
      <c r="F96" s="191" t="s">
        <v>35</v>
      </c>
      <c r="G96" s="191"/>
      <c r="H96" s="227">
        <f>'23RDAPRIL'!J96</f>
        <v>0.5</v>
      </c>
      <c r="I96" s="227">
        <f>'23RDAPRIL'!K96</f>
        <v>1</v>
      </c>
      <c r="J96" s="227">
        <v>0.5</v>
      </c>
      <c r="K96" s="318">
        <v>1.0</v>
      </c>
      <c r="L96" s="191" t="s">
        <v>35</v>
      </c>
      <c r="M96" s="295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191"/>
    </row>
    <row r="97">
      <c r="A97" s="188" t="s">
        <v>104</v>
      </c>
      <c r="B97" s="188" t="s">
        <v>40</v>
      </c>
      <c r="C97" s="227">
        <v>1.0</v>
      </c>
      <c r="D97" s="191"/>
      <c r="E97" s="227">
        <v>1.0</v>
      </c>
      <c r="F97" s="191" t="s">
        <v>35</v>
      </c>
      <c r="G97" s="191"/>
      <c r="H97" s="227" t="str">
        <f>'23RDAPRIL'!J97</f>
        <v/>
      </c>
      <c r="I97" s="227">
        <f>'23RDAPRIL'!K97</f>
        <v>1</v>
      </c>
      <c r="J97" s="191"/>
      <c r="K97" s="318">
        <v>1.0</v>
      </c>
      <c r="L97" s="191" t="s">
        <v>35</v>
      </c>
      <c r="M97" s="295">
        <f>IF(AND(H97&lt;&gt;"", J97&lt;&gt;""), H97-J97, IF(H97&lt;&gt;"", H97-I97*VLOOKUP(A97, BACKEND1!$A:$G,6,FALSE), IF(J97&lt;&gt;"", -J97+K97*VLOOKUP(A97, BACKEND1!$A:$G,6,FALSE),0)))+ (C97+D97-E97)*VLOOKUP(A97, BACKEND1!$A:$G,5,FALSE)+G97
</f>
        <v>0</v>
      </c>
      <c r="N97" s="191"/>
      <c r="O97" s="191"/>
    </row>
    <row r="98">
      <c r="A98" s="188" t="s">
        <v>105</v>
      </c>
      <c r="B98" s="188" t="s">
        <v>106</v>
      </c>
      <c r="C98" s="227" t="str">
        <f>'23RDAPRIL'!E98</f>
        <v/>
      </c>
      <c r="D98" s="191"/>
      <c r="E98" s="191"/>
      <c r="F98" s="191" t="s">
        <v>35</v>
      </c>
      <c r="G98" s="191"/>
      <c r="H98" s="227">
        <f>'23RDAPRIL'!J98</f>
        <v>0.505</v>
      </c>
      <c r="I98" s="227">
        <f>'23RDAPRIL'!K98</f>
        <v>1</v>
      </c>
      <c r="J98" s="227">
        <v>0.431</v>
      </c>
      <c r="K98" s="318">
        <v>1.0</v>
      </c>
      <c r="L98" s="191" t="s">
        <v>35</v>
      </c>
      <c r="M98" s="295">
        <f>IF(AND(H98&lt;&gt;"", J98&lt;&gt;""), H98-J98, IF(H98&lt;&gt;"", H98-I98*VLOOKUP(A98, BACKEND1!$A:$G,6,FALSE), IF(J98&lt;&gt;"", -J98+K98*VLOOKUP(A98, BACKEND1!$A:$G,6,FALSE),0)))+ (C98+D98-E98)*VLOOKUP(A98, BACKEND1!$A:$G,5,FALSE)+G98
</f>
        <v>0.074</v>
      </c>
      <c r="N98" s="191"/>
      <c r="O98" s="191"/>
    </row>
    <row r="99">
      <c r="A99" s="188" t="s">
        <v>108</v>
      </c>
      <c r="B99" s="188" t="s">
        <v>40</v>
      </c>
      <c r="C99" s="227" t="str">
        <f>'23RDAPRIL'!E99</f>
        <v/>
      </c>
      <c r="D99" s="191"/>
      <c r="E99" s="191"/>
      <c r="F99" s="191" t="s">
        <v>35</v>
      </c>
      <c r="G99" s="191"/>
      <c r="H99" s="227" t="str">
        <f>'23RDAPRIL'!J99</f>
        <v/>
      </c>
      <c r="I99" s="227">
        <f>'23RDAPRIL'!K99</f>
        <v>1</v>
      </c>
      <c r="J99" s="191"/>
      <c r="K99" s="318">
        <v>1.0</v>
      </c>
      <c r="L99" s="191" t="s">
        <v>35</v>
      </c>
      <c r="M99" s="295">
        <f>IF(AND(H99&lt;&gt;"", J99&lt;&gt;""), H99-J99, IF(H99&lt;&gt;"", H99-I99*VLOOKUP(A99, BACKEND1!$A:$G,6,FALSE), IF(J99&lt;&gt;"", -J99+K99*VLOOKUP(A99, BACKEND1!$A:$G,6,FALSE),0)))+ (C99+D99-E99)*VLOOKUP(A99, BACKEND1!$A:$G,5,FALSE)+G99
</f>
        <v>0</v>
      </c>
      <c r="N99" s="191"/>
      <c r="O99" s="191"/>
    </row>
    <row r="100">
      <c r="A100" s="188" t="s">
        <v>109</v>
      </c>
      <c r="B100" s="188" t="s">
        <v>40</v>
      </c>
      <c r="C100" s="227" t="str">
        <f>'23RDAPRIL'!E100</f>
        <v/>
      </c>
      <c r="D100" s="191"/>
      <c r="E100" s="191"/>
      <c r="F100" s="191" t="s">
        <v>35</v>
      </c>
      <c r="G100" s="191"/>
      <c r="H100" s="227">
        <f>'23RDAPRIL'!J100</f>
        <v>0.06</v>
      </c>
      <c r="I100" s="227">
        <f>'23RDAPRIL'!K100</f>
        <v>1</v>
      </c>
      <c r="J100" s="227">
        <v>0.056</v>
      </c>
      <c r="K100" s="318">
        <v>1.0</v>
      </c>
      <c r="L100" s="191" t="s">
        <v>35</v>
      </c>
      <c r="M100" s="295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0.004</v>
      </c>
      <c r="N100" s="191"/>
      <c r="O100" s="191"/>
    </row>
    <row r="101">
      <c r="A101" s="206" t="s">
        <v>110</v>
      </c>
      <c r="B101" s="188" t="s">
        <v>40</v>
      </c>
      <c r="C101" s="227" t="str">
        <f>'23RDAPRIL'!E101</f>
        <v/>
      </c>
      <c r="D101" s="191"/>
      <c r="E101" s="191"/>
      <c r="F101" s="191" t="s">
        <v>35</v>
      </c>
      <c r="G101" s="191"/>
      <c r="H101" s="227">
        <f>'23RDAPRIL'!J101</f>
        <v>0.405</v>
      </c>
      <c r="I101" s="227">
        <f>'23RDAPRIL'!K101</f>
        <v>1</v>
      </c>
      <c r="J101" s="227">
        <v>0.403</v>
      </c>
      <c r="K101" s="318">
        <v>1.0</v>
      </c>
      <c r="L101" s="191" t="s">
        <v>35</v>
      </c>
      <c r="M101" s="295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0.002</v>
      </c>
      <c r="N101" s="191"/>
      <c r="O101" s="191"/>
    </row>
    <row r="102">
      <c r="A102" s="188" t="s">
        <v>111</v>
      </c>
      <c r="B102" s="188" t="s">
        <v>40</v>
      </c>
      <c r="C102" s="227" t="str">
        <f>'23RDAPRIL'!E102</f>
        <v/>
      </c>
      <c r="D102" s="191"/>
      <c r="E102" s="191"/>
      <c r="F102" s="191" t="s">
        <v>35</v>
      </c>
      <c r="G102" s="191"/>
      <c r="H102" s="227" t="str">
        <f>'23RDAPRIL'!J102</f>
        <v/>
      </c>
      <c r="I102" s="227">
        <f>'23RDAPRIL'!K102</f>
        <v>1</v>
      </c>
      <c r="J102" s="191"/>
      <c r="K102" s="318">
        <v>1.0</v>
      </c>
      <c r="L102" s="191" t="s">
        <v>35</v>
      </c>
      <c r="M102" s="295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191"/>
    </row>
    <row r="103">
      <c r="A103" s="188" t="s">
        <v>112</v>
      </c>
      <c r="B103" s="188" t="s">
        <v>40</v>
      </c>
      <c r="C103" s="227" t="str">
        <f>'23RDAPRIL'!E103</f>
        <v/>
      </c>
      <c r="D103" s="191"/>
      <c r="E103" s="191"/>
      <c r="F103" s="191" t="s">
        <v>35</v>
      </c>
      <c r="G103" s="191"/>
      <c r="H103" s="227">
        <f>'23RDAPRIL'!J103</f>
        <v>0.168</v>
      </c>
      <c r="I103" s="227">
        <f>'23RDAPRIL'!K103</f>
        <v>1</v>
      </c>
      <c r="J103" s="227">
        <v>0.097</v>
      </c>
      <c r="K103" s="318">
        <v>1.0</v>
      </c>
      <c r="L103" s="191" t="s">
        <v>35</v>
      </c>
      <c r="M103" s="295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0.071</v>
      </c>
      <c r="N103" s="191"/>
      <c r="O103" s="191"/>
    </row>
    <row r="104">
      <c r="A104" s="188" t="s">
        <v>114</v>
      </c>
      <c r="B104" s="188" t="s">
        <v>40</v>
      </c>
      <c r="C104" s="227" t="str">
        <f>'23RDAPRIL'!E104</f>
        <v/>
      </c>
      <c r="D104" s="191"/>
      <c r="E104" s="191"/>
      <c r="F104" s="191" t="s">
        <v>35</v>
      </c>
      <c r="G104" s="227"/>
      <c r="H104" s="227">
        <f>'23RDAPRIL'!J104</f>
        <v>0.068</v>
      </c>
      <c r="I104" s="227">
        <f>'23RDAPRIL'!K104</f>
        <v>1</v>
      </c>
      <c r="J104" s="227"/>
      <c r="K104" s="318">
        <v>1.0</v>
      </c>
      <c r="L104" s="191" t="s">
        <v>35</v>
      </c>
      <c r="M104" s="295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0.055</v>
      </c>
      <c r="N104" s="191"/>
      <c r="O104" s="191"/>
    </row>
    <row r="105">
      <c r="A105" s="188" t="s">
        <v>116</v>
      </c>
      <c r="B105" s="188" t="s">
        <v>40</v>
      </c>
      <c r="C105" s="227" t="str">
        <f>'23RDAPRIL'!E105</f>
        <v/>
      </c>
      <c r="D105" s="191"/>
      <c r="E105" s="191"/>
      <c r="F105" s="191" t="s">
        <v>35</v>
      </c>
      <c r="G105" s="191"/>
      <c r="H105" s="227" t="str">
        <f>'23RDAPRIL'!J105</f>
        <v/>
      </c>
      <c r="I105" s="227">
        <f>'23RDAPRIL'!K105</f>
        <v>1</v>
      </c>
      <c r="J105" s="191"/>
      <c r="K105" s="318">
        <v>1.0</v>
      </c>
      <c r="L105" s="191" t="s">
        <v>35</v>
      </c>
      <c r="M105" s="295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191"/>
    </row>
    <row r="106">
      <c r="A106" s="188" t="s">
        <v>117</v>
      </c>
      <c r="B106" s="188" t="s">
        <v>40</v>
      </c>
      <c r="C106" s="227" t="str">
        <f>'23RDAPRIL'!E106</f>
        <v/>
      </c>
      <c r="D106" s="191"/>
      <c r="E106" s="191"/>
      <c r="F106" s="191" t="s">
        <v>35</v>
      </c>
      <c r="G106" s="227"/>
      <c r="H106" s="227">
        <f>'23RDAPRIL'!J106</f>
        <v>0.262</v>
      </c>
      <c r="I106" s="227">
        <f>'23RDAPRIL'!K106</f>
        <v>1</v>
      </c>
      <c r="J106" s="227">
        <v>0.174</v>
      </c>
      <c r="K106" s="318">
        <v>1.0</v>
      </c>
      <c r="L106" s="191" t="s">
        <v>35</v>
      </c>
      <c r="M106" s="295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0.088</v>
      </c>
      <c r="N106" s="191"/>
      <c r="O106" s="191"/>
    </row>
    <row r="107">
      <c r="A107" s="188" t="s">
        <v>118</v>
      </c>
      <c r="B107" s="188" t="s">
        <v>40</v>
      </c>
      <c r="C107" s="227" t="str">
        <f>'23RDAPRIL'!E107</f>
        <v/>
      </c>
      <c r="D107" s="191"/>
      <c r="E107" s="191"/>
      <c r="F107" s="191" t="s">
        <v>35</v>
      </c>
      <c r="G107" s="191"/>
      <c r="H107" s="227" t="str">
        <f>'23RDAPRIL'!J107</f>
        <v/>
      </c>
      <c r="I107" s="227">
        <f>'23RDAPRIL'!K107</f>
        <v>1</v>
      </c>
      <c r="J107" s="191"/>
      <c r="K107" s="318">
        <v>1.0</v>
      </c>
      <c r="L107" s="191" t="s">
        <v>35</v>
      </c>
      <c r="M107" s="295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</v>
      </c>
      <c r="N107" s="191"/>
      <c r="O107" s="191"/>
    </row>
    <row r="108">
      <c r="A108" s="188" t="s">
        <v>119</v>
      </c>
      <c r="B108" s="188" t="s">
        <v>40</v>
      </c>
      <c r="C108" s="227" t="str">
        <f>'23RDAPRIL'!E108</f>
        <v/>
      </c>
      <c r="D108" s="191"/>
      <c r="E108" s="191"/>
      <c r="F108" s="191" t="s">
        <v>35</v>
      </c>
      <c r="G108" s="191"/>
      <c r="H108" s="227">
        <f>'23RDAPRIL'!J108</f>
        <v>0.871</v>
      </c>
      <c r="I108" s="227">
        <f>'23RDAPRIL'!K108</f>
        <v>1</v>
      </c>
      <c r="J108" s="191">
        <f>0.36+0.5</f>
        <v>0.86</v>
      </c>
      <c r="K108" s="318">
        <v>1.0</v>
      </c>
      <c r="L108" s="191" t="s">
        <v>35</v>
      </c>
      <c r="M108" s="295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0.011</v>
      </c>
      <c r="N108" s="191"/>
      <c r="O108" s="191"/>
    </row>
    <row r="109">
      <c r="A109" s="188" t="s">
        <v>120</v>
      </c>
      <c r="B109" s="188" t="s">
        <v>40</v>
      </c>
      <c r="C109" s="227" t="str">
        <f>'23RDAPRIL'!E109</f>
        <v/>
      </c>
      <c r="D109" s="191"/>
      <c r="E109" s="191"/>
      <c r="F109" s="191" t="s">
        <v>35</v>
      </c>
      <c r="G109" s="191"/>
      <c r="H109" s="227">
        <f>'23RDAPRIL'!J109</f>
        <v>0.067</v>
      </c>
      <c r="I109" s="227">
        <f>'23RDAPRIL'!K109</f>
        <v>1</v>
      </c>
      <c r="J109" s="227">
        <v>0.058</v>
      </c>
      <c r="K109" s="318">
        <v>1.0</v>
      </c>
      <c r="L109" s="191" t="s">
        <v>35</v>
      </c>
      <c r="M109" s="295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0.009</v>
      </c>
      <c r="N109" s="191"/>
      <c r="O109" s="191"/>
    </row>
    <row r="110">
      <c r="A110" s="188" t="s">
        <v>121</v>
      </c>
      <c r="B110" s="188" t="s">
        <v>40</v>
      </c>
      <c r="C110" s="227" t="str">
        <f>'23RDAPRIL'!E110</f>
        <v/>
      </c>
      <c r="D110" s="191"/>
      <c r="E110" s="191"/>
      <c r="F110" s="191" t="s">
        <v>35</v>
      </c>
      <c r="G110" s="191"/>
      <c r="H110" s="227">
        <f>'23RDAPRIL'!J110</f>
        <v>0.725</v>
      </c>
      <c r="I110" s="227">
        <f>'23RDAPRIL'!K110</f>
        <v>1</v>
      </c>
      <c r="J110" s="191">
        <f>0.122+0.6</f>
        <v>0.722</v>
      </c>
      <c r="K110" s="318">
        <v>1.0</v>
      </c>
      <c r="L110" s="191" t="s">
        <v>35</v>
      </c>
      <c r="M110" s="295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0.003</v>
      </c>
      <c r="N110" s="191"/>
      <c r="O110" s="191"/>
    </row>
    <row r="111">
      <c r="A111" s="188" t="s">
        <v>122</v>
      </c>
      <c r="B111" s="188" t="s">
        <v>40</v>
      </c>
      <c r="C111" s="227" t="str">
        <f>'23RDAPRIL'!E111</f>
        <v/>
      </c>
      <c r="D111" s="191"/>
      <c r="E111" s="191"/>
      <c r="F111" s="191" t="s">
        <v>35</v>
      </c>
      <c r="G111" s="191"/>
      <c r="H111" s="227" t="str">
        <f>'23RDAPRIL'!J111</f>
        <v/>
      </c>
      <c r="I111" s="227">
        <f>'23RDAPRIL'!K111</f>
        <v>1</v>
      </c>
      <c r="J111" s="191"/>
      <c r="K111" s="318">
        <v>1.0</v>
      </c>
      <c r="L111" s="191" t="s">
        <v>35</v>
      </c>
      <c r="M111" s="295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191"/>
    </row>
    <row r="112">
      <c r="A112" s="188" t="s">
        <v>123</v>
      </c>
      <c r="B112" s="188" t="s">
        <v>40</v>
      </c>
      <c r="C112" s="227" t="str">
        <f>'23RDAPRIL'!E112</f>
        <v/>
      </c>
      <c r="D112" s="191"/>
      <c r="E112" s="191"/>
      <c r="F112" s="191" t="s">
        <v>35</v>
      </c>
      <c r="G112" s="191"/>
      <c r="H112" s="227">
        <f>'23RDAPRIL'!J112</f>
        <v>0.121</v>
      </c>
      <c r="I112" s="227">
        <f>'23RDAPRIL'!K112</f>
        <v>1</v>
      </c>
      <c r="J112" s="227">
        <v>0.117</v>
      </c>
      <c r="K112" s="318">
        <v>1.0</v>
      </c>
      <c r="L112" s="191" t="s">
        <v>35</v>
      </c>
      <c r="M112" s="295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0.004</v>
      </c>
      <c r="N112" s="191"/>
      <c r="O112" s="191"/>
    </row>
    <row r="113">
      <c r="A113" s="188" t="s">
        <v>124</v>
      </c>
      <c r="B113" s="188" t="s">
        <v>40</v>
      </c>
      <c r="C113" s="227" t="str">
        <f>'23RDAPRIL'!E113</f>
        <v/>
      </c>
      <c r="D113" s="191"/>
      <c r="E113" s="191"/>
      <c r="F113" s="191" t="s">
        <v>35</v>
      </c>
      <c r="G113" s="227">
        <v>0.023</v>
      </c>
      <c r="H113" s="227">
        <f>'23RDAPRIL'!J113</f>
        <v>0.2</v>
      </c>
      <c r="I113" s="227">
        <f>'23RDAPRIL'!K113</f>
        <v>1</v>
      </c>
      <c r="J113" s="227">
        <v>0.223</v>
      </c>
      <c r="K113" s="318">
        <v>1.0</v>
      </c>
      <c r="L113" s="191" t="s">
        <v>35</v>
      </c>
      <c r="M113" s="295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</v>
      </c>
      <c r="N113" s="191"/>
      <c r="O113" s="191"/>
    </row>
    <row r="114">
      <c r="A114" s="188" t="s">
        <v>125</v>
      </c>
      <c r="B114" s="188" t="s">
        <v>40</v>
      </c>
      <c r="C114" s="227" t="str">
        <f>'23RDAPRIL'!E114</f>
        <v/>
      </c>
      <c r="D114" s="191"/>
      <c r="E114" s="191"/>
      <c r="F114" s="191" t="s">
        <v>35</v>
      </c>
      <c r="G114" s="191"/>
      <c r="H114" s="227" t="str">
        <f>'23RDAPRIL'!J114</f>
        <v/>
      </c>
      <c r="I114" s="227">
        <f>'23RDAPRIL'!K114</f>
        <v>1</v>
      </c>
      <c r="J114" s="191"/>
      <c r="K114" s="318">
        <v>1.0</v>
      </c>
      <c r="L114" s="191" t="s">
        <v>35</v>
      </c>
      <c r="M114" s="295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191"/>
    </row>
    <row r="115">
      <c r="A115" s="188" t="s">
        <v>126</v>
      </c>
      <c r="B115" s="188" t="s">
        <v>40</v>
      </c>
      <c r="C115" s="227" t="str">
        <f>'23RDAPRIL'!E115</f>
        <v/>
      </c>
      <c r="D115" s="191"/>
      <c r="E115" s="191"/>
      <c r="F115" s="191" t="s">
        <v>35</v>
      </c>
      <c r="G115" s="191"/>
      <c r="H115" s="227">
        <f>'23RDAPRIL'!J115</f>
        <v>0.172</v>
      </c>
      <c r="I115" s="227">
        <f>'23RDAPRIL'!K115</f>
        <v>1</v>
      </c>
      <c r="J115" s="227">
        <v>0.16</v>
      </c>
      <c r="K115" s="318">
        <v>1.0</v>
      </c>
      <c r="L115" s="191" t="s">
        <v>35</v>
      </c>
      <c r="M115" s="295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0.012</v>
      </c>
      <c r="N115" s="191"/>
      <c r="O115" s="191"/>
    </row>
    <row r="116">
      <c r="A116" s="188" t="s">
        <v>127</v>
      </c>
      <c r="B116" s="188" t="s">
        <v>40</v>
      </c>
      <c r="C116" s="227" t="str">
        <f>'23RDAPRIL'!E116</f>
        <v/>
      </c>
      <c r="D116" s="191"/>
      <c r="E116" s="191"/>
      <c r="F116" s="191" t="s">
        <v>35</v>
      </c>
      <c r="G116" s="191"/>
      <c r="H116" s="227">
        <f>'23RDAPRIL'!J116</f>
        <v>0.1</v>
      </c>
      <c r="I116" s="227">
        <f>'23RDAPRIL'!K116</f>
        <v>1</v>
      </c>
      <c r="J116" s="227">
        <v>0.1</v>
      </c>
      <c r="K116" s="318">
        <v>1.0</v>
      </c>
      <c r="L116" s="191" t="s">
        <v>35</v>
      </c>
      <c r="M116" s="295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</v>
      </c>
      <c r="N116" s="191"/>
      <c r="O116" s="191"/>
    </row>
    <row r="117">
      <c r="A117" s="188" t="s">
        <v>128</v>
      </c>
      <c r="B117" s="188" t="s">
        <v>40</v>
      </c>
      <c r="C117" s="227" t="str">
        <f>'23RDAPRIL'!E117</f>
        <v/>
      </c>
      <c r="D117" s="191"/>
      <c r="E117" s="191"/>
      <c r="F117" s="191" t="s">
        <v>35</v>
      </c>
      <c r="G117" s="191"/>
      <c r="H117" s="227">
        <f>'23RDAPRIL'!J117</f>
        <v>0.044</v>
      </c>
      <c r="I117" s="227">
        <f>'23RDAPRIL'!K117</f>
        <v>1</v>
      </c>
      <c r="J117" s="227">
        <v>0.041</v>
      </c>
      <c r="K117" s="318">
        <v>1.0</v>
      </c>
      <c r="L117" s="191" t="s">
        <v>35</v>
      </c>
      <c r="M117" s="295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0.003</v>
      </c>
      <c r="N117" s="191"/>
      <c r="O117" s="191"/>
    </row>
    <row r="118">
      <c r="A118" s="188" t="s">
        <v>129</v>
      </c>
      <c r="B118" s="188" t="s">
        <v>40</v>
      </c>
      <c r="C118" s="227" t="str">
        <f>'23RDAPRIL'!E118</f>
        <v/>
      </c>
      <c r="D118" s="191"/>
      <c r="E118" s="191"/>
      <c r="F118" s="191" t="s">
        <v>35</v>
      </c>
      <c r="G118" s="191"/>
      <c r="H118" s="227">
        <f>'23RDAPRIL'!J118</f>
        <v>0.266</v>
      </c>
      <c r="I118" s="227">
        <f>'23RDAPRIL'!K118</f>
        <v>1</v>
      </c>
      <c r="J118" s="227">
        <v>0.265</v>
      </c>
      <c r="K118" s="318">
        <v>1.0</v>
      </c>
      <c r="L118" s="191" t="s">
        <v>35</v>
      </c>
      <c r="M118" s="295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0.001</v>
      </c>
      <c r="N118" s="191"/>
      <c r="O118" s="191"/>
    </row>
    <row r="119">
      <c r="A119" s="188" t="s">
        <v>130</v>
      </c>
      <c r="B119" s="188" t="s">
        <v>40</v>
      </c>
      <c r="C119" s="227" t="str">
        <f>'23RDAPRIL'!E119</f>
        <v/>
      </c>
      <c r="D119" s="191"/>
      <c r="E119" s="191"/>
      <c r="F119" s="191" t="s">
        <v>35</v>
      </c>
      <c r="G119" s="227">
        <v>0.001</v>
      </c>
      <c r="H119" s="227">
        <f>'23RDAPRIL'!J119</f>
        <v>0.481</v>
      </c>
      <c r="I119" s="227">
        <f>'23RDAPRIL'!K119</f>
        <v>1</v>
      </c>
      <c r="J119" s="227">
        <v>0.482</v>
      </c>
      <c r="K119" s="318">
        <v>1.0</v>
      </c>
      <c r="L119" s="191" t="s">
        <v>35</v>
      </c>
      <c r="M119" s="295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</v>
      </c>
      <c r="N119" s="191"/>
      <c r="O119" s="191"/>
    </row>
    <row r="120">
      <c r="A120" s="188" t="s">
        <v>131</v>
      </c>
      <c r="B120" s="188" t="s">
        <v>40</v>
      </c>
      <c r="C120" s="227" t="str">
        <f>'23RDAPRIL'!E120</f>
        <v/>
      </c>
      <c r="D120" s="191"/>
      <c r="E120" s="191"/>
      <c r="F120" s="191" t="s">
        <v>35</v>
      </c>
      <c r="G120" s="227">
        <v>0.02</v>
      </c>
      <c r="H120" s="227">
        <f>'23RDAPRIL'!J120</f>
        <v>0.1</v>
      </c>
      <c r="I120" s="227">
        <f>'23RDAPRIL'!K120</f>
        <v>1</v>
      </c>
      <c r="J120" s="227">
        <v>0.12</v>
      </c>
      <c r="K120" s="318">
        <v>1.0</v>
      </c>
      <c r="L120" s="191" t="s">
        <v>35</v>
      </c>
      <c r="M120" s="295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</v>
      </c>
      <c r="N120" s="191"/>
      <c r="O120" s="191"/>
    </row>
    <row r="121">
      <c r="A121" s="188" t="s">
        <v>132</v>
      </c>
      <c r="B121" s="188" t="s">
        <v>40</v>
      </c>
      <c r="C121" s="227" t="str">
        <f>'23RDAPRIL'!E121</f>
        <v/>
      </c>
      <c r="D121" s="191"/>
      <c r="E121" s="191"/>
      <c r="F121" s="191" t="s">
        <v>35</v>
      </c>
      <c r="G121" s="191"/>
      <c r="H121" s="227">
        <f>'23RDAPRIL'!J121</f>
        <v>0.245</v>
      </c>
      <c r="I121" s="227">
        <f>'23RDAPRIL'!K121</f>
        <v>1</v>
      </c>
      <c r="J121" s="227">
        <v>0.244</v>
      </c>
      <c r="K121" s="318">
        <v>1.0</v>
      </c>
      <c r="L121" s="191" t="s">
        <v>35</v>
      </c>
      <c r="M121" s="295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0.001</v>
      </c>
      <c r="N121" s="191"/>
      <c r="O121" s="191"/>
    </row>
    <row r="122">
      <c r="A122" s="188" t="s">
        <v>133</v>
      </c>
      <c r="B122" s="188" t="s">
        <v>40</v>
      </c>
      <c r="C122" s="227" t="str">
        <f>'23RDAPRIL'!E122</f>
        <v/>
      </c>
      <c r="D122" s="191"/>
      <c r="E122" s="191"/>
      <c r="F122" s="191" t="s">
        <v>35</v>
      </c>
      <c r="G122" s="191"/>
      <c r="H122" s="227">
        <f>'23RDAPRIL'!J122</f>
        <v>0.033</v>
      </c>
      <c r="I122" s="227">
        <f>'23RDAPRIL'!K122</f>
        <v>1</v>
      </c>
      <c r="J122" s="227">
        <v>0.03</v>
      </c>
      <c r="K122" s="318">
        <v>1.0</v>
      </c>
      <c r="L122" s="191" t="s">
        <v>35</v>
      </c>
      <c r="M122" s="295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0.003</v>
      </c>
      <c r="N122" s="191"/>
      <c r="O122" s="191"/>
    </row>
    <row r="123">
      <c r="A123" s="188" t="s">
        <v>134</v>
      </c>
      <c r="B123" s="188" t="s">
        <v>40</v>
      </c>
      <c r="C123" s="227" t="str">
        <f>'23RDAPRIL'!E123</f>
        <v/>
      </c>
      <c r="D123" s="191"/>
      <c r="E123" s="191"/>
      <c r="F123" s="191" t="s">
        <v>35</v>
      </c>
      <c r="G123" s="191"/>
      <c r="H123" s="227" t="str">
        <f>'23RDAPRIL'!J123</f>
        <v/>
      </c>
      <c r="I123" s="227">
        <f>'23RDAPRIL'!K123</f>
        <v>1</v>
      </c>
      <c r="J123" s="191"/>
      <c r="K123" s="318">
        <v>1.0</v>
      </c>
      <c r="L123" s="191" t="s">
        <v>35</v>
      </c>
      <c r="M123" s="295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191"/>
    </row>
    <row r="124">
      <c r="A124" s="188" t="s">
        <v>135</v>
      </c>
      <c r="B124" s="188" t="s">
        <v>136</v>
      </c>
      <c r="C124" s="227" t="str">
        <f>'23RDAPRIL'!E124</f>
        <v/>
      </c>
      <c r="D124" s="191"/>
      <c r="E124" s="191"/>
      <c r="F124" s="191" t="s">
        <v>35</v>
      </c>
      <c r="G124" s="191"/>
      <c r="H124" s="227" t="str">
        <f>'23RDAPRIL'!J124</f>
        <v/>
      </c>
      <c r="I124" s="227">
        <f>'23RDAPRIL'!K124</f>
        <v>1</v>
      </c>
      <c r="J124" s="191"/>
      <c r="K124" s="318">
        <v>1.0</v>
      </c>
      <c r="L124" s="191" t="s">
        <v>35</v>
      </c>
      <c r="M124" s="295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191"/>
    </row>
    <row r="125">
      <c r="A125" s="206" t="s">
        <v>138</v>
      </c>
      <c r="B125" s="206" t="s">
        <v>139</v>
      </c>
      <c r="C125" s="227" t="str">
        <f>'23RDAPRIL'!E125</f>
        <v/>
      </c>
      <c r="D125" s="191"/>
      <c r="E125" s="191"/>
      <c r="F125" s="227" t="s">
        <v>35</v>
      </c>
      <c r="G125" s="191"/>
      <c r="H125" s="227" t="str">
        <f>'23RDAPRIL'!J125</f>
        <v/>
      </c>
      <c r="I125" s="227">
        <f>'23RDAPRIL'!K125</f>
        <v>1</v>
      </c>
      <c r="J125" s="191"/>
      <c r="K125" s="318">
        <v>1.0</v>
      </c>
      <c r="L125" s="227" t="s">
        <v>35</v>
      </c>
      <c r="M125" s="295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191"/>
    </row>
    <row r="126">
      <c r="A126" s="240" t="s">
        <v>143</v>
      </c>
      <c r="B126" s="206" t="s">
        <v>40</v>
      </c>
      <c r="C126" s="227" t="str">
        <f>'23RDAPRIL'!E126</f>
        <v/>
      </c>
      <c r="D126" s="191"/>
      <c r="E126" s="191"/>
      <c r="F126" s="227" t="s">
        <v>35</v>
      </c>
      <c r="G126" s="191"/>
      <c r="H126" s="227" t="str">
        <f>'23RDAPRIL'!J126</f>
        <v/>
      </c>
      <c r="I126" s="227">
        <f>'23RDAPRIL'!K126</f>
        <v>1</v>
      </c>
      <c r="J126" s="191"/>
      <c r="K126" s="318">
        <v>1.0</v>
      </c>
      <c r="L126" s="227" t="s">
        <v>35</v>
      </c>
      <c r="M126" s="295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</v>
      </c>
      <c r="N126" s="191"/>
      <c r="O126" s="191"/>
      <c r="Q126" s="116"/>
    </row>
    <row r="127">
      <c r="A127" s="238" t="s">
        <v>146</v>
      </c>
      <c r="B127" s="191"/>
      <c r="C127" s="227" t="str">
        <f>'23RDAPRIL'!E127</f>
        <v/>
      </c>
      <c r="D127" s="191"/>
      <c r="E127" s="191"/>
      <c r="F127" s="191"/>
      <c r="G127" s="191"/>
      <c r="H127" s="227" t="str">
        <f>'23RDAPRIL'!J127</f>
        <v/>
      </c>
      <c r="I127" s="227">
        <f>'23RDAPRIL'!K127</f>
        <v>1</v>
      </c>
      <c r="J127" s="191"/>
      <c r="K127" s="318">
        <v>1.0</v>
      </c>
      <c r="L127" s="191"/>
      <c r="M127" s="295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191"/>
    </row>
    <row r="128">
      <c r="A128" s="188" t="s">
        <v>147</v>
      </c>
      <c r="B128" s="188" t="s">
        <v>40</v>
      </c>
      <c r="C128" s="227" t="str">
        <f>'23RDAPRIL'!E128</f>
        <v/>
      </c>
      <c r="D128" s="191"/>
      <c r="E128" s="191"/>
      <c r="F128" s="191" t="s">
        <v>35</v>
      </c>
      <c r="G128" s="191"/>
      <c r="H128" s="227" t="str">
        <f>'23RDAPRIL'!J128</f>
        <v/>
      </c>
      <c r="I128" s="227">
        <f>'23RDAPRIL'!K128</f>
        <v>1</v>
      </c>
      <c r="J128" s="191"/>
      <c r="K128" s="318">
        <v>1.0</v>
      </c>
      <c r="L128" s="191" t="s">
        <v>35</v>
      </c>
      <c r="M128" s="295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191"/>
    </row>
    <row r="129">
      <c r="A129" s="188" t="s">
        <v>148</v>
      </c>
      <c r="B129" s="188" t="s">
        <v>35</v>
      </c>
      <c r="C129" s="227" t="str">
        <f>'23RDAPRIL'!E129</f>
        <v/>
      </c>
      <c r="D129" s="191"/>
      <c r="E129" s="191"/>
      <c r="F129" s="191" t="s">
        <v>35</v>
      </c>
      <c r="G129" s="227">
        <v>0.07</v>
      </c>
      <c r="H129" s="227">
        <f>'23RDAPRIL'!J129</f>
        <v>1</v>
      </c>
      <c r="I129" s="227">
        <f>'23RDAPRIL'!K129</f>
        <v>1</v>
      </c>
      <c r="J129" s="227">
        <v>1.07</v>
      </c>
      <c r="K129" s="318">
        <v>1.0</v>
      </c>
      <c r="L129" s="191" t="s">
        <v>35</v>
      </c>
      <c r="M129" s="295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</v>
      </c>
      <c r="N129" s="191"/>
      <c r="O129" s="191"/>
    </row>
    <row r="130">
      <c r="A130" s="188" t="s">
        <v>149</v>
      </c>
      <c r="B130" s="188" t="s">
        <v>40</v>
      </c>
      <c r="C130" s="227" t="str">
        <f>'23RDAPRIL'!E130</f>
        <v/>
      </c>
      <c r="D130" s="191"/>
      <c r="E130" s="191"/>
      <c r="F130" s="191" t="s">
        <v>35</v>
      </c>
      <c r="G130" s="191"/>
      <c r="H130" s="227">
        <f>'23RDAPRIL'!J130</f>
        <v>0.435</v>
      </c>
      <c r="I130" s="227">
        <f>'23RDAPRIL'!K130</f>
        <v>1</v>
      </c>
      <c r="J130" s="227">
        <v>0.295</v>
      </c>
      <c r="K130" s="318">
        <v>1.0</v>
      </c>
      <c r="L130" s="191" t="s">
        <v>35</v>
      </c>
      <c r="M130" s="295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0.14</v>
      </c>
      <c r="N130" s="191"/>
      <c r="O130" s="191"/>
    </row>
    <row r="131">
      <c r="A131" s="188" t="s">
        <v>150</v>
      </c>
      <c r="B131" s="188" t="s">
        <v>24</v>
      </c>
      <c r="C131" s="227" t="str">
        <f>'23RDAPRIL'!E131</f>
        <v/>
      </c>
      <c r="D131" s="191"/>
      <c r="E131" s="191"/>
      <c r="F131" s="191" t="s">
        <v>25</v>
      </c>
      <c r="G131" s="191"/>
      <c r="H131" s="227" t="str">
        <f>'23RDAPRIL'!J131</f>
        <v/>
      </c>
      <c r="I131" s="227">
        <f>'23RDAPRIL'!K131</f>
        <v>1</v>
      </c>
      <c r="J131" s="191"/>
      <c r="K131" s="318">
        <v>1.0</v>
      </c>
      <c r="L131" s="191" t="s">
        <v>25</v>
      </c>
      <c r="M131" s="295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191"/>
    </row>
    <row r="132">
      <c r="A132" s="238" t="s">
        <v>151</v>
      </c>
      <c r="B132" s="191"/>
      <c r="C132" s="227" t="str">
        <f>'23RDAPRIL'!E132</f>
        <v/>
      </c>
      <c r="D132" s="191"/>
      <c r="E132" s="191"/>
      <c r="F132" s="191"/>
      <c r="G132" s="191"/>
      <c r="H132" s="227" t="str">
        <f>'23RDAPRIL'!J132</f>
        <v/>
      </c>
      <c r="I132" s="227">
        <f>'23RDAPRIL'!K132</f>
        <v>1</v>
      </c>
      <c r="J132" s="191"/>
      <c r="K132" s="318">
        <v>1.0</v>
      </c>
      <c r="L132" s="191"/>
      <c r="M132" s="295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191"/>
    </row>
    <row r="133">
      <c r="A133" s="188" t="s">
        <v>152</v>
      </c>
      <c r="B133" s="188" t="s">
        <v>106</v>
      </c>
      <c r="C133" s="227" t="str">
        <f>'23RDAPRIL'!E133</f>
        <v/>
      </c>
      <c r="D133" s="227">
        <v>1.0</v>
      </c>
      <c r="E133" s="191"/>
      <c r="F133" s="191" t="s">
        <v>35</v>
      </c>
      <c r="G133" s="191"/>
      <c r="H133" s="227" t="str">
        <f>'23RDAPRIL'!J133</f>
        <v/>
      </c>
      <c r="I133" s="227">
        <f>'23RDAPRIL'!K133</f>
        <v>1</v>
      </c>
      <c r="J133" s="227">
        <v>0.179</v>
      </c>
      <c r="K133" s="318">
        <v>1.0</v>
      </c>
      <c r="L133" s="191" t="s">
        <v>35</v>
      </c>
      <c r="M133" s="295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0.057</v>
      </c>
      <c r="N133" s="191"/>
      <c r="O133" s="191"/>
    </row>
    <row r="134">
      <c r="A134" s="188" t="s">
        <v>154</v>
      </c>
      <c r="B134" s="188" t="s">
        <v>155</v>
      </c>
      <c r="C134" s="227" t="str">
        <f>'23RDAPRIL'!E134</f>
        <v/>
      </c>
      <c r="D134" s="191"/>
      <c r="E134" s="191"/>
      <c r="F134" s="191" t="s">
        <v>35</v>
      </c>
      <c r="G134" s="191"/>
      <c r="H134" s="227" t="str">
        <f>'23RDAPRIL'!J134</f>
        <v/>
      </c>
      <c r="I134" s="227">
        <f>'23RDAPRIL'!K134</f>
        <v>1</v>
      </c>
      <c r="J134" s="191"/>
      <c r="K134" s="318">
        <v>1.0</v>
      </c>
      <c r="L134" s="191" t="s">
        <v>35</v>
      </c>
      <c r="M134" s="295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191"/>
    </row>
    <row r="135">
      <c r="A135" s="188" t="s">
        <v>157</v>
      </c>
      <c r="B135" s="188" t="s">
        <v>34</v>
      </c>
      <c r="C135" s="227">
        <f>'23RDAPRIL'!E135</f>
        <v>1</v>
      </c>
      <c r="D135" s="227"/>
      <c r="E135" s="227"/>
      <c r="F135" s="191" t="s">
        <v>35</v>
      </c>
      <c r="G135" s="191"/>
      <c r="H135" s="227">
        <f>'23RDAPRIL'!J135</f>
        <v>0.26</v>
      </c>
      <c r="I135" s="227">
        <f>'23RDAPRIL'!K135</f>
        <v>1</v>
      </c>
      <c r="J135" s="227">
        <v>0.097</v>
      </c>
      <c r="K135" s="318">
        <v>1.0</v>
      </c>
      <c r="L135" s="191" t="s">
        <v>35</v>
      </c>
      <c r="M135" s="295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0.588</v>
      </c>
      <c r="N135" s="191"/>
      <c r="O135" s="191"/>
    </row>
    <row r="136">
      <c r="A136" s="188" t="s">
        <v>158</v>
      </c>
      <c r="B136" s="188" t="s">
        <v>34</v>
      </c>
      <c r="C136" s="227" t="str">
        <f>'23RDAPRIL'!E136</f>
        <v/>
      </c>
      <c r="D136" s="227">
        <v>1.0</v>
      </c>
      <c r="E136" s="227">
        <v>1.0</v>
      </c>
      <c r="F136" s="191" t="s">
        <v>35</v>
      </c>
      <c r="G136" s="191"/>
      <c r="H136" s="227" t="str">
        <f>'23RDAPRIL'!J136</f>
        <v/>
      </c>
      <c r="I136" s="227">
        <f>'23RDAPRIL'!K136</f>
        <v>1</v>
      </c>
      <c r="J136" s="191"/>
      <c r="K136" s="318">
        <v>1.0</v>
      </c>
      <c r="L136" s="191" t="s">
        <v>35</v>
      </c>
      <c r="M136" s="295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</v>
      </c>
      <c r="N136" s="191"/>
      <c r="O136" s="191"/>
    </row>
    <row r="137">
      <c r="A137" s="188" t="s">
        <v>159</v>
      </c>
      <c r="B137" s="188" t="s">
        <v>34</v>
      </c>
      <c r="C137" s="227" t="str">
        <f>'23RDAPRIL'!E137</f>
        <v/>
      </c>
      <c r="D137" s="191"/>
      <c r="E137" s="191"/>
      <c r="F137" s="191" t="s">
        <v>35</v>
      </c>
      <c r="G137" s="191"/>
      <c r="H137" s="227" t="str">
        <f>'23RDAPRIL'!J137</f>
        <v/>
      </c>
      <c r="I137" s="227">
        <f>'23RDAPRIL'!K137</f>
        <v>1</v>
      </c>
      <c r="J137" s="191"/>
      <c r="K137" s="318">
        <v>1.0</v>
      </c>
      <c r="L137" s="191" t="s">
        <v>35</v>
      </c>
      <c r="M137" s="295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191"/>
    </row>
    <row r="138">
      <c r="A138" s="188" t="s">
        <v>160</v>
      </c>
      <c r="B138" s="188" t="s">
        <v>34</v>
      </c>
      <c r="C138" s="227" t="str">
        <f>'23RDAPRIL'!E138</f>
        <v/>
      </c>
      <c r="D138" s="191"/>
      <c r="E138" s="191"/>
      <c r="F138" s="191" t="s">
        <v>35</v>
      </c>
      <c r="G138" s="191"/>
      <c r="H138" s="227">
        <f>'23RDAPRIL'!J138</f>
        <v>0.5</v>
      </c>
      <c r="I138" s="227">
        <f>'23RDAPRIL'!K138</f>
        <v>1</v>
      </c>
      <c r="J138" s="227">
        <v>0.5</v>
      </c>
      <c r="K138" s="318">
        <v>1.0</v>
      </c>
      <c r="L138" s="191" t="s">
        <v>35</v>
      </c>
      <c r="M138" s="295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</v>
      </c>
      <c r="N138" s="191"/>
      <c r="O138" s="191"/>
    </row>
    <row r="139">
      <c r="A139" s="188" t="s">
        <v>161</v>
      </c>
      <c r="B139" s="188" t="s">
        <v>34</v>
      </c>
      <c r="C139" s="227" t="str">
        <f>'23RDAPRIL'!E139</f>
        <v/>
      </c>
      <c r="D139" s="191"/>
      <c r="E139" s="191"/>
      <c r="F139" s="191" t="s">
        <v>35</v>
      </c>
      <c r="G139" s="227">
        <v>0.01</v>
      </c>
      <c r="H139" s="227">
        <f>'23RDAPRIL'!J139</f>
        <v>0.429</v>
      </c>
      <c r="I139" s="227">
        <f>'23RDAPRIL'!K139</f>
        <v>1</v>
      </c>
      <c r="J139" s="227">
        <v>0.439</v>
      </c>
      <c r="K139" s="318">
        <v>1.0</v>
      </c>
      <c r="L139" s="191" t="s">
        <v>35</v>
      </c>
      <c r="M139" s="295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</v>
      </c>
      <c r="N139" s="191"/>
      <c r="O139" s="191"/>
    </row>
    <row r="140">
      <c r="A140" s="188" t="s">
        <v>162</v>
      </c>
      <c r="B140" s="188" t="s">
        <v>34</v>
      </c>
      <c r="C140" s="227" t="str">
        <f>'23RDAPRIL'!E140</f>
        <v/>
      </c>
      <c r="D140" s="191"/>
      <c r="E140" s="191"/>
      <c r="F140" s="191" t="s">
        <v>35</v>
      </c>
      <c r="G140" s="191"/>
      <c r="H140" s="227">
        <f>'23RDAPRIL'!J140</f>
        <v>0.391</v>
      </c>
      <c r="I140" s="227">
        <f>'23RDAPRIL'!K140</f>
        <v>1</v>
      </c>
      <c r="J140" s="227">
        <v>0.391</v>
      </c>
      <c r="K140" s="318">
        <v>1.0</v>
      </c>
      <c r="L140" s="191" t="s">
        <v>35</v>
      </c>
      <c r="M140" s="295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</v>
      </c>
      <c r="N140" s="191"/>
      <c r="O140" s="191"/>
    </row>
    <row r="141">
      <c r="A141" s="188" t="s">
        <v>163</v>
      </c>
      <c r="B141" s="188" t="s">
        <v>34</v>
      </c>
      <c r="C141" s="227" t="str">
        <f>'23RDAPRIL'!E141</f>
        <v/>
      </c>
      <c r="D141" s="227">
        <v>1.0</v>
      </c>
      <c r="E141" s="227">
        <v>1.0</v>
      </c>
      <c r="F141" s="191" t="s">
        <v>35</v>
      </c>
      <c r="G141" s="191"/>
      <c r="H141" s="227">
        <f>'23RDAPRIL'!J141</f>
        <v>0.647</v>
      </c>
      <c r="I141" s="227">
        <f>'23RDAPRIL'!K141</f>
        <v>1</v>
      </c>
      <c r="J141" s="227">
        <v>0.053</v>
      </c>
      <c r="K141" s="318">
        <v>1.0</v>
      </c>
      <c r="L141" s="191" t="s">
        <v>35</v>
      </c>
      <c r="M141" s="295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0.594</v>
      </c>
      <c r="N141" s="191"/>
      <c r="O141" s="191"/>
    </row>
    <row r="142">
      <c r="A142" s="188" t="s">
        <v>164</v>
      </c>
      <c r="B142" s="188" t="s">
        <v>155</v>
      </c>
      <c r="C142" s="227" t="str">
        <f>'23RDAPRIL'!E142</f>
        <v/>
      </c>
      <c r="D142" s="227">
        <v>1.0</v>
      </c>
      <c r="E142" s="191"/>
      <c r="F142" s="191" t="s">
        <v>35</v>
      </c>
      <c r="G142" s="191"/>
      <c r="H142" s="227">
        <f>'23RDAPRIL'!J142</f>
        <v>0.171</v>
      </c>
      <c r="I142" s="227">
        <f>'23RDAPRIL'!K142</f>
        <v>1</v>
      </c>
      <c r="J142" s="227">
        <v>0.349</v>
      </c>
      <c r="K142" s="318">
        <v>1.0</v>
      </c>
      <c r="L142" s="191" t="s">
        <v>35</v>
      </c>
      <c r="M142" s="295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0.322</v>
      </c>
      <c r="N142" s="191"/>
      <c r="O142" s="191"/>
    </row>
    <row r="143">
      <c r="A143" s="188" t="s">
        <v>165</v>
      </c>
      <c r="B143" s="188" t="s">
        <v>155</v>
      </c>
      <c r="C143" s="227" t="str">
        <f>'23RDAPRIL'!E143</f>
        <v/>
      </c>
      <c r="D143" s="191"/>
      <c r="E143" s="191"/>
      <c r="F143" s="191" t="s">
        <v>35</v>
      </c>
      <c r="G143" s="191"/>
      <c r="H143" s="227" t="str">
        <f>'23RDAPRIL'!J143</f>
        <v/>
      </c>
      <c r="I143" s="227">
        <f>'23RDAPRIL'!K143</f>
        <v>1</v>
      </c>
      <c r="J143" s="191"/>
      <c r="K143" s="318">
        <v>1.0</v>
      </c>
      <c r="L143" s="191" t="s">
        <v>35</v>
      </c>
      <c r="M143" s="295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191"/>
    </row>
    <row r="144">
      <c r="A144" s="188" t="s">
        <v>166</v>
      </c>
      <c r="B144" s="188" t="s">
        <v>106</v>
      </c>
      <c r="C144" s="227" t="str">
        <f>'23RDAPRIL'!E144</f>
        <v/>
      </c>
      <c r="D144" s="191"/>
      <c r="E144" s="191"/>
      <c r="F144" s="191" t="s">
        <v>35</v>
      </c>
      <c r="G144" s="191"/>
      <c r="H144" s="227" t="str">
        <f>'23RDAPRIL'!J144</f>
        <v/>
      </c>
      <c r="I144" s="227">
        <f>'23RDAPRIL'!K144</f>
        <v>1</v>
      </c>
      <c r="J144" s="191"/>
      <c r="K144" s="318">
        <v>1.0</v>
      </c>
      <c r="L144" s="191" t="s">
        <v>35</v>
      </c>
      <c r="M144" s="295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</v>
      </c>
      <c r="N144" s="191"/>
      <c r="O144" s="191"/>
    </row>
    <row r="145">
      <c r="A145" s="188" t="s">
        <v>167</v>
      </c>
      <c r="B145" s="188" t="s">
        <v>106</v>
      </c>
      <c r="C145" s="227" t="str">
        <f>'23RDAPRIL'!E145</f>
        <v/>
      </c>
      <c r="D145" s="191"/>
      <c r="E145" s="191"/>
      <c r="F145" s="191" t="s">
        <v>35</v>
      </c>
      <c r="G145" s="191"/>
      <c r="H145" s="227">
        <f>'23RDAPRIL'!J145</f>
        <v>0.64</v>
      </c>
      <c r="I145" s="227">
        <f>'23RDAPRIL'!K145</f>
        <v>1</v>
      </c>
      <c r="J145" s="227">
        <v>0.596</v>
      </c>
      <c r="K145" s="318">
        <v>1.0</v>
      </c>
      <c r="L145" s="191" t="s">
        <v>35</v>
      </c>
      <c r="M145" s="295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0.044</v>
      </c>
      <c r="N145" s="191"/>
      <c r="O145" s="191"/>
    </row>
    <row r="146">
      <c r="A146" s="188" t="s">
        <v>168</v>
      </c>
      <c r="B146" s="188" t="s">
        <v>17</v>
      </c>
      <c r="C146" s="227">
        <v>1.0</v>
      </c>
      <c r="D146" s="227"/>
      <c r="E146" s="227">
        <v>1.0</v>
      </c>
      <c r="F146" s="191" t="s">
        <v>35</v>
      </c>
      <c r="G146" s="191"/>
      <c r="H146" s="227" t="str">
        <f>'23RDAPRIL'!J146</f>
        <v/>
      </c>
      <c r="I146" s="227">
        <f>'23RDAPRIL'!K146</f>
        <v>1</v>
      </c>
      <c r="J146" s="191"/>
      <c r="K146" s="318">
        <v>1.0</v>
      </c>
      <c r="L146" s="191" t="s">
        <v>35</v>
      </c>
      <c r="M146" s="295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</v>
      </c>
      <c r="N146" s="191"/>
      <c r="O146" s="191"/>
    </row>
    <row r="147">
      <c r="A147" s="188" t="s">
        <v>169</v>
      </c>
      <c r="B147" s="188" t="s">
        <v>106</v>
      </c>
      <c r="C147" s="227" t="str">
        <f>'23RDAPRIL'!E147</f>
        <v/>
      </c>
      <c r="D147" s="191"/>
      <c r="E147" s="191"/>
      <c r="F147" s="191" t="s">
        <v>35</v>
      </c>
      <c r="G147" s="191"/>
      <c r="H147" s="227" t="str">
        <f>'23RDAPRIL'!J147</f>
        <v/>
      </c>
      <c r="I147" s="227">
        <f>'23RDAPRIL'!K147</f>
        <v>1</v>
      </c>
      <c r="J147" s="191"/>
      <c r="K147" s="318">
        <v>1.0</v>
      </c>
      <c r="L147" s="191" t="s">
        <v>35</v>
      </c>
      <c r="M147" s="295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191"/>
    </row>
    <row r="148">
      <c r="A148" s="188" t="s">
        <v>170</v>
      </c>
      <c r="B148" s="188" t="s">
        <v>106</v>
      </c>
      <c r="C148" s="227" t="str">
        <f>'23RDAPRIL'!E148</f>
        <v/>
      </c>
      <c r="D148" s="191"/>
      <c r="E148" s="191"/>
      <c r="F148" s="191" t="s">
        <v>35</v>
      </c>
      <c r="G148" s="191"/>
      <c r="H148" s="227" t="str">
        <f>'23RDAPRIL'!J148</f>
        <v/>
      </c>
      <c r="I148" s="227">
        <f>'23RDAPRIL'!K148</f>
        <v>1</v>
      </c>
      <c r="J148" s="191"/>
      <c r="K148" s="318">
        <v>1.0</v>
      </c>
      <c r="L148" s="191" t="s">
        <v>35</v>
      </c>
      <c r="M148" s="295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191"/>
    </row>
    <row r="149">
      <c r="A149" s="188" t="s">
        <v>171</v>
      </c>
      <c r="B149" s="188" t="s">
        <v>155</v>
      </c>
      <c r="C149" s="227" t="str">
        <f>'23RDAPRIL'!E149</f>
        <v/>
      </c>
      <c r="D149" s="227">
        <v>1.0</v>
      </c>
      <c r="E149" s="227">
        <v>1.0</v>
      </c>
      <c r="F149" s="191" t="s">
        <v>14</v>
      </c>
      <c r="G149" s="191"/>
      <c r="H149" s="227">
        <f>'23RDAPRIL'!J149</f>
        <v>0.073</v>
      </c>
      <c r="I149" s="227">
        <f>'23RDAPRIL'!K149</f>
        <v>1</v>
      </c>
      <c r="J149" s="227">
        <v>0.073</v>
      </c>
      <c r="K149" s="318">
        <v>1.0</v>
      </c>
      <c r="L149" s="191" t="s">
        <v>14</v>
      </c>
      <c r="M149" s="295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</v>
      </c>
      <c r="N149" s="191"/>
      <c r="O149" s="191"/>
    </row>
    <row r="150">
      <c r="A150" s="191" t="s">
        <v>173</v>
      </c>
      <c r="B150" s="191" t="s">
        <v>106</v>
      </c>
      <c r="C150" s="227">
        <f>'23RDAPRIL'!E150</f>
        <v>1</v>
      </c>
      <c r="D150" s="287">
        <v>1.0</v>
      </c>
      <c r="E150" s="287">
        <v>1.0</v>
      </c>
      <c r="F150" s="191" t="s">
        <v>14</v>
      </c>
      <c r="G150" s="216"/>
      <c r="H150" s="227" t="str">
        <f>'23RDAPRIL'!J150</f>
        <v/>
      </c>
      <c r="I150" s="227">
        <f>'23RDAPRIL'!K150</f>
        <v>1</v>
      </c>
      <c r="J150" s="287">
        <v>0.493</v>
      </c>
      <c r="K150" s="318">
        <v>1.0</v>
      </c>
      <c r="L150" s="191" t="s">
        <v>14</v>
      </c>
      <c r="M150" s="295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0.407</v>
      </c>
      <c r="N150" s="216"/>
      <c r="O150" s="216"/>
    </row>
    <row r="151">
      <c r="A151" s="319" t="s">
        <v>174</v>
      </c>
      <c r="B151" s="227" t="s">
        <v>106</v>
      </c>
      <c r="C151" s="227" t="str">
        <f>'23RDAPRIL'!E151</f>
        <v/>
      </c>
      <c r="D151" s="216"/>
      <c r="E151" s="287"/>
      <c r="F151" s="191" t="s">
        <v>14</v>
      </c>
      <c r="G151" s="216"/>
      <c r="H151" s="227">
        <v>0.43</v>
      </c>
      <c r="I151" s="227">
        <f>'23RDAPRIL'!K151</f>
        <v>1</v>
      </c>
      <c r="J151" s="287">
        <v>0.43</v>
      </c>
      <c r="K151" s="318">
        <v>1.0</v>
      </c>
      <c r="L151" s="227" t="s">
        <v>14</v>
      </c>
      <c r="M151" s="295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</v>
      </c>
      <c r="N151" s="216"/>
      <c r="O151" s="216"/>
    </row>
    <row r="152">
      <c r="A152" s="238" t="s">
        <v>175</v>
      </c>
      <c r="B152" s="191"/>
      <c r="C152" s="227" t="str">
        <f>'23RDAPRIL'!E152</f>
        <v/>
      </c>
      <c r="D152" s="191"/>
      <c r="E152" s="191"/>
      <c r="F152" s="191"/>
      <c r="G152" s="191"/>
      <c r="H152" s="227" t="str">
        <f>'23RDAPRIL'!J152</f>
        <v/>
      </c>
      <c r="I152" s="227">
        <f>'23RDAPRIL'!K152</f>
        <v>1</v>
      </c>
      <c r="J152" s="191"/>
      <c r="K152" s="318">
        <v>1.0</v>
      </c>
      <c r="L152" s="191"/>
      <c r="M152" s="295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191"/>
    </row>
    <row r="153">
      <c r="A153" s="188" t="s">
        <v>176</v>
      </c>
      <c r="B153" s="188" t="s">
        <v>25</v>
      </c>
      <c r="C153" s="227" t="str">
        <f>'23RDAPRIL'!E153</f>
        <v/>
      </c>
      <c r="D153" s="227">
        <v>5.0</v>
      </c>
      <c r="E153" s="191"/>
      <c r="F153" s="191" t="s">
        <v>25</v>
      </c>
      <c r="G153" s="191"/>
      <c r="H153" s="227" t="str">
        <f>'23RDAPRIL'!J153</f>
        <v/>
      </c>
      <c r="I153" s="227">
        <f>'23RDAPRIL'!K153</f>
        <v>1</v>
      </c>
      <c r="J153" s="191"/>
      <c r="K153" s="318">
        <v>1.0</v>
      </c>
      <c r="L153" s="191" t="s">
        <v>25</v>
      </c>
      <c r="M153" s="295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5</v>
      </c>
      <c r="N153" s="191"/>
      <c r="O153" s="191"/>
    </row>
    <row r="154">
      <c r="A154" s="188" t="s">
        <v>178</v>
      </c>
      <c r="B154" s="188" t="s">
        <v>35</v>
      </c>
      <c r="C154" s="227">
        <f>'23RDAPRIL'!E154</f>
        <v>2</v>
      </c>
      <c r="D154" s="227">
        <v>1.0</v>
      </c>
      <c r="E154" s="227">
        <v>3.0</v>
      </c>
      <c r="F154" s="191" t="s">
        <v>35</v>
      </c>
      <c r="G154" s="191"/>
      <c r="H154" s="227" t="str">
        <f>'23RDAPRIL'!J154</f>
        <v/>
      </c>
      <c r="I154" s="227">
        <f>'23RDAPRIL'!K154</f>
        <v>1</v>
      </c>
      <c r="J154" s="191"/>
      <c r="K154" s="318">
        <v>1.0</v>
      </c>
      <c r="L154" s="191" t="s">
        <v>35</v>
      </c>
      <c r="M154" s="295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0</v>
      </c>
      <c r="N154" s="191"/>
      <c r="O154" s="191"/>
    </row>
    <row r="155">
      <c r="A155" s="188" t="s">
        <v>180</v>
      </c>
      <c r="B155" s="188" t="s">
        <v>35</v>
      </c>
      <c r="C155" s="227" t="str">
        <f>'23RDAPRIL'!E155</f>
        <v/>
      </c>
      <c r="D155" s="191"/>
      <c r="E155" s="191"/>
      <c r="F155" s="191" t="s">
        <v>35</v>
      </c>
      <c r="G155" s="191"/>
      <c r="H155" s="227">
        <v>0.203</v>
      </c>
      <c r="I155" s="227">
        <f>'23RDAPRIL'!K155</f>
        <v>1</v>
      </c>
      <c r="J155" s="227">
        <v>0.203</v>
      </c>
      <c r="K155" s="318">
        <v>1.0</v>
      </c>
      <c r="L155" s="191" t="s">
        <v>35</v>
      </c>
      <c r="M155" s="295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</v>
      </c>
      <c r="N155" s="191"/>
      <c r="O155" s="191"/>
    </row>
    <row r="156">
      <c r="A156" s="188" t="s">
        <v>181</v>
      </c>
      <c r="B156" s="188" t="s">
        <v>35</v>
      </c>
      <c r="C156" s="227">
        <f>'23RDAPRIL'!E156</f>
        <v>1</v>
      </c>
      <c r="D156" s="191"/>
      <c r="E156" s="227"/>
      <c r="F156" s="191" t="s">
        <v>35</v>
      </c>
      <c r="G156" s="191"/>
      <c r="H156" s="227">
        <f>'23RDAPRIL'!J156</f>
        <v>0.254</v>
      </c>
      <c r="I156" s="227">
        <f>'23RDAPRIL'!K156</f>
        <v>1</v>
      </c>
      <c r="J156" s="227">
        <v>1.12</v>
      </c>
      <c r="K156" s="318">
        <v>1.0</v>
      </c>
      <c r="L156" s="191" t="s">
        <v>35</v>
      </c>
      <c r="M156" s="295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0.322</v>
      </c>
      <c r="N156" s="191"/>
      <c r="O156" s="191"/>
    </row>
    <row r="157">
      <c r="A157" s="188" t="s">
        <v>182</v>
      </c>
      <c r="B157" s="188" t="s">
        <v>35</v>
      </c>
      <c r="C157" s="227" t="str">
        <f>'23RDAPRIL'!E157</f>
        <v/>
      </c>
      <c r="D157" s="191"/>
      <c r="E157" s="191"/>
      <c r="F157" s="191" t="s">
        <v>35</v>
      </c>
      <c r="G157" s="227"/>
      <c r="H157" s="227">
        <f>'23RDAPRIL'!J157</f>
        <v>0.65</v>
      </c>
      <c r="I157" s="227">
        <f>'23RDAPRIL'!K157</f>
        <v>1</v>
      </c>
      <c r="J157" s="227">
        <v>0.64</v>
      </c>
      <c r="K157" s="318">
        <v>1.0</v>
      </c>
      <c r="L157" s="191" t="s">
        <v>35</v>
      </c>
      <c r="M157" s="295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0.01</v>
      </c>
      <c r="N157" s="191"/>
      <c r="O157" s="191"/>
    </row>
    <row r="158">
      <c r="A158" s="188" t="s">
        <v>183</v>
      </c>
      <c r="B158" s="188" t="s">
        <v>35</v>
      </c>
      <c r="C158" s="227" t="str">
        <f>'23RDAPRIL'!E158</f>
        <v/>
      </c>
      <c r="D158" s="191"/>
      <c r="E158" s="191"/>
      <c r="F158" s="191" t="s">
        <v>14</v>
      </c>
      <c r="G158" s="191"/>
      <c r="H158" s="227" t="str">
        <f>'23RDAPRIL'!J158</f>
        <v/>
      </c>
      <c r="I158" s="227">
        <f>'23RDAPRIL'!K158</f>
        <v>1</v>
      </c>
      <c r="J158" s="191"/>
      <c r="K158" s="318">
        <v>1.0</v>
      </c>
      <c r="L158" s="191" t="s">
        <v>14</v>
      </c>
      <c r="M158" s="295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191"/>
    </row>
    <row r="159">
      <c r="A159" s="238" t="s">
        <v>184</v>
      </c>
      <c r="B159" s="191"/>
      <c r="C159" s="227" t="str">
        <f>'23RDAPRIL'!E159</f>
        <v/>
      </c>
      <c r="D159" s="191"/>
      <c r="E159" s="191"/>
      <c r="F159" s="191"/>
      <c r="G159" s="191"/>
      <c r="H159" s="227" t="str">
        <f>'23RDAPRIL'!J159</f>
        <v/>
      </c>
      <c r="I159" s="227">
        <f>'23RDAPRIL'!K159</f>
        <v>1</v>
      </c>
      <c r="J159" s="191"/>
      <c r="K159" s="318">
        <v>1.0</v>
      </c>
      <c r="L159" s="191"/>
      <c r="M159" s="295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191"/>
    </row>
    <row r="160">
      <c r="A160" s="188" t="s">
        <v>185</v>
      </c>
      <c r="B160" s="188" t="s">
        <v>17</v>
      </c>
      <c r="C160" s="227" t="str">
        <f>'23RDAPRIL'!E160</f>
        <v/>
      </c>
      <c r="D160" s="227">
        <v>3.0</v>
      </c>
      <c r="E160" s="191"/>
      <c r="F160" s="191" t="s">
        <v>17</v>
      </c>
      <c r="G160" s="191"/>
      <c r="H160" s="227" t="str">
        <f>'23RDAPRIL'!J160</f>
        <v/>
      </c>
      <c r="I160" s="227">
        <f>'23RDAPRIL'!K160</f>
        <v>1</v>
      </c>
      <c r="J160" s="227">
        <v>1.5</v>
      </c>
      <c r="K160" s="318">
        <v>1.0</v>
      </c>
      <c r="L160" s="191" t="s">
        <v>17</v>
      </c>
      <c r="M160" s="295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1.5</v>
      </c>
      <c r="N160" s="191"/>
      <c r="O160" s="191"/>
    </row>
    <row r="161">
      <c r="A161" s="188" t="s">
        <v>187</v>
      </c>
      <c r="B161" s="188" t="s">
        <v>17</v>
      </c>
      <c r="C161" s="227" t="str">
        <f>'23RDAPRIL'!E161</f>
        <v/>
      </c>
      <c r="D161" s="227">
        <v>2.0</v>
      </c>
      <c r="E161" s="191"/>
      <c r="F161" s="191" t="s">
        <v>17</v>
      </c>
      <c r="G161" s="191"/>
      <c r="H161" s="227">
        <f>'23RDAPRIL'!J161</f>
        <v>2</v>
      </c>
      <c r="I161" s="227">
        <f>'23RDAPRIL'!K161</f>
        <v>1</v>
      </c>
      <c r="J161" s="227">
        <v>1.0</v>
      </c>
      <c r="K161" s="318">
        <v>1.0</v>
      </c>
      <c r="L161" s="191" t="s">
        <v>17</v>
      </c>
      <c r="M161" s="295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3</v>
      </c>
      <c r="N161" s="191"/>
      <c r="O161" s="191"/>
    </row>
    <row r="162">
      <c r="A162" s="188" t="s">
        <v>188</v>
      </c>
      <c r="B162" s="188" t="s">
        <v>35</v>
      </c>
      <c r="C162" s="227" t="str">
        <f>'23RDAPRIL'!E162</f>
        <v/>
      </c>
      <c r="D162" s="227">
        <v>4.5</v>
      </c>
      <c r="E162" s="191"/>
      <c r="F162" s="191" t="s">
        <v>35</v>
      </c>
      <c r="G162" s="191"/>
      <c r="H162" s="227" t="str">
        <f>'23RDAPRIL'!J162</f>
        <v/>
      </c>
      <c r="I162" s="227">
        <f>'23RDAPRIL'!K162</f>
        <v>1</v>
      </c>
      <c r="J162" s="227">
        <v>3.928</v>
      </c>
      <c r="K162" s="318">
        <v>1.0</v>
      </c>
      <c r="L162" s="191" t="s">
        <v>35</v>
      </c>
      <c r="M162" s="295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0.572</v>
      </c>
      <c r="N162" s="191"/>
      <c r="O162" s="191"/>
    </row>
    <row r="163">
      <c r="A163" s="188" t="s">
        <v>189</v>
      </c>
      <c r="B163" s="188" t="s">
        <v>17</v>
      </c>
      <c r="C163" s="227">
        <f>'23RDAPRIL'!E163</f>
        <v>1</v>
      </c>
      <c r="D163" s="227"/>
      <c r="E163" s="227"/>
      <c r="F163" s="191" t="s">
        <v>17</v>
      </c>
      <c r="G163" s="191"/>
      <c r="H163" s="227">
        <f>'23RDAPRIL'!J163</f>
        <v>0.25</v>
      </c>
      <c r="I163" s="227">
        <f>'23RDAPRIL'!K163</f>
        <v>1</v>
      </c>
      <c r="J163" s="227">
        <v>0.5</v>
      </c>
      <c r="K163" s="318">
        <v>1.0</v>
      </c>
      <c r="L163" s="191" t="s">
        <v>17</v>
      </c>
      <c r="M163" s="295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0.75</v>
      </c>
      <c r="N163" s="191"/>
      <c r="O163" s="191"/>
    </row>
    <row r="164">
      <c r="A164" s="188" t="s">
        <v>190</v>
      </c>
      <c r="B164" s="188" t="s">
        <v>17</v>
      </c>
      <c r="C164" s="227" t="str">
        <f>'23RDAPRIL'!E164</f>
        <v/>
      </c>
      <c r="D164" s="191"/>
      <c r="E164" s="191"/>
      <c r="F164" s="191" t="s">
        <v>17</v>
      </c>
      <c r="G164" s="191"/>
      <c r="H164" s="227" t="str">
        <f>'23RDAPRIL'!J164</f>
        <v/>
      </c>
      <c r="I164" s="227">
        <f>'23RDAPRIL'!K164</f>
        <v>1</v>
      </c>
      <c r="J164" s="191"/>
      <c r="K164" s="318">
        <v>1.0</v>
      </c>
      <c r="L164" s="191" t="s">
        <v>17</v>
      </c>
      <c r="M164" s="295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191"/>
    </row>
    <row r="165">
      <c r="A165" s="188" t="s">
        <v>191</v>
      </c>
      <c r="B165" s="188" t="s">
        <v>35</v>
      </c>
      <c r="C165" s="227" t="str">
        <f>'23RDAPRIL'!E165</f>
        <v/>
      </c>
      <c r="D165" s="227">
        <v>1.0</v>
      </c>
      <c r="E165" s="191"/>
      <c r="F165" s="191" t="s">
        <v>35</v>
      </c>
      <c r="G165" s="191"/>
      <c r="H165" s="227" t="str">
        <f>'23RDAPRIL'!J165</f>
        <v/>
      </c>
      <c r="I165" s="227">
        <f>'23RDAPRIL'!K165</f>
        <v>1</v>
      </c>
      <c r="J165" s="191"/>
      <c r="K165" s="318">
        <v>1.0</v>
      </c>
      <c r="L165" s="191" t="s">
        <v>35</v>
      </c>
      <c r="M165" s="295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1</v>
      </c>
      <c r="N165" s="191"/>
      <c r="O165" s="191"/>
    </row>
    <row r="166">
      <c r="A166" s="188" t="s">
        <v>192</v>
      </c>
      <c r="B166" s="188" t="s">
        <v>35</v>
      </c>
      <c r="C166" s="227" t="str">
        <f>'23RDAPRIL'!E166</f>
        <v/>
      </c>
      <c r="D166" s="191"/>
      <c r="E166" s="191"/>
      <c r="F166" s="191" t="s">
        <v>35</v>
      </c>
      <c r="G166" s="227"/>
      <c r="H166" s="227">
        <f>'23RDAPRIL'!J166</f>
        <v>0.699</v>
      </c>
      <c r="I166" s="227">
        <f>'23RDAPRIL'!K166</f>
        <v>1</v>
      </c>
      <c r="J166" s="227"/>
      <c r="K166" s="318">
        <v>1.0</v>
      </c>
      <c r="L166" s="191" t="s">
        <v>35</v>
      </c>
      <c r="M166" s="295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0.699</v>
      </c>
      <c r="N166" s="191"/>
      <c r="O166" s="191"/>
    </row>
    <row r="167">
      <c r="A167" s="188" t="s">
        <v>193</v>
      </c>
      <c r="B167" s="188" t="s">
        <v>35</v>
      </c>
      <c r="C167" s="227" t="str">
        <f>'23RDAPRIL'!E167</f>
        <v/>
      </c>
      <c r="D167" s="227">
        <v>8.0</v>
      </c>
      <c r="E167" s="191"/>
      <c r="F167" s="191" t="s">
        <v>35</v>
      </c>
      <c r="G167" s="191"/>
      <c r="H167" s="227">
        <f>'23RDAPRIL'!J167</f>
        <v>3.636</v>
      </c>
      <c r="I167" s="227">
        <f>'23RDAPRIL'!K167</f>
        <v>1</v>
      </c>
      <c r="J167" s="227">
        <v>3.117</v>
      </c>
      <c r="K167" s="318">
        <v>1.0</v>
      </c>
      <c r="L167" s="191" t="s">
        <v>35</v>
      </c>
      <c r="M167" s="295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8.519</v>
      </c>
      <c r="N167" s="191"/>
      <c r="O167" s="191"/>
    </row>
    <row r="168">
      <c r="A168" s="188" t="s">
        <v>194</v>
      </c>
      <c r="B168" s="188" t="s">
        <v>17</v>
      </c>
      <c r="C168" s="227" t="str">
        <f>'23RDAPRIL'!E168</f>
        <v/>
      </c>
      <c r="D168" s="227"/>
      <c r="E168" s="191"/>
      <c r="F168" s="191" t="s">
        <v>17</v>
      </c>
      <c r="G168" s="191"/>
      <c r="H168" s="227" t="str">
        <f>'23RDAPRIL'!J168</f>
        <v/>
      </c>
      <c r="I168" s="227">
        <f>'23RDAPRIL'!K168</f>
        <v>1</v>
      </c>
      <c r="J168" s="191"/>
      <c r="K168" s="318">
        <v>1.0</v>
      </c>
      <c r="L168" s="191" t="s">
        <v>17</v>
      </c>
      <c r="M168" s="295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0</v>
      </c>
      <c r="N168" s="191"/>
      <c r="O168" s="191"/>
    </row>
    <row r="169">
      <c r="A169" s="188" t="s">
        <v>195</v>
      </c>
      <c r="B169" s="188" t="s">
        <v>35</v>
      </c>
      <c r="C169" s="227" t="str">
        <f>'23RDAPRIL'!E169</f>
        <v/>
      </c>
      <c r="D169" s="227">
        <v>3.0</v>
      </c>
      <c r="E169" s="191"/>
      <c r="F169" s="191" t="s">
        <v>35</v>
      </c>
      <c r="G169" s="191"/>
      <c r="H169" s="227">
        <f>'23RDAPRIL'!J169</f>
        <v>0.467</v>
      </c>
      <c r="I169" s="227">
        <f>'23RDAPRIL'!K169</f>
        <v>1</v>
      </c>
      <c r="J169" s="227">
        <v>0.737</v>
      </c>
      <c r="K169" s="318">
        <v>1.0</v>
      </c>
      <c r="L169" s="191" t="s">
        <v>35</v>
      </c>
      <c r="M169" s="295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2.73</v>
      </c>
      <c r="N169" s="191"/>
      <c r="O169" s="191"/>
    </row>
    <row r="170">
      <c r="A170" s="188" t="s">
        <v>196</v>
      </c>
      <c r="B170" s="188" t="s">
        <v>35</v>
      </c>
      <c r="C170" s="227" t="str">
        <f>'23RDAPRIL'!E170</f>
        <v/>
      </c>
      <c r="D170" s="191"/>
      <c r="E170" s="191"/>
      <c r="F170" s="191" t="s">
        <v>35</v>
      </c>
      <c r="G170" s="191"/>
      <c r="H170" s="227">
        <f>'23RDAPRIL'!J170</f>
        <v>0.14</v>
      </c>
      <c r="I170" s="227">
        <f>'23RDAPRIL'!K170</f>
        <v>1</v>
      </c>
      <c r="J170" s="227"/>
      <c r="K170" s="318">
        <v>1.0</v>
      </c>
      <c r="L170" s="191" t="s">
        <v>35</v>
      </c>
      <c r="M170" s="295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0.14</v>
      </c>
      <c r="N170" s="191"/>
      <c r="O170" s="191"/>
    </row>
    <row r="171">
      <c r="A171" s="188" t="s">
        <v>197</v>
      </c>
      <c r="B171" s="188" t="s">
        <v>35</v>
      </c>
      <c r="C171" s="227" t="str">
        <f>'23RDAPRIL'!E171</f>
        <v/>
      </c>
      <c r="D171" s="191"/>
      <c r="E171" s="191"/>
      <c r="F171" s="191" t="s">
        <v>35</v>
      </c>
      <c r="G171" s="227"/>
      <c r="H171" s="227">
        <f>'23RDAPRIL'!J171</f>
        <v>1.5</v>
      </c>
      <c r="I171" s="227">
        <f>'23RDAPRIL'!K171</f>
        <v>1</v>
      </c>
      <c r="J171" s="227">
        <v>0.116</v>
      </c>
      <c r="K171" s="318">
        <v>1.0</v>
      </c>
      <c r="L171" s="191" t="s">
        <v>35</v>
      </c>
      <c r="M171" s="295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1.384</v>
      </c>
      <c r="N171" s="191"/>
      <c r="O171" s="191"/>
    </row>
    <row r="172">
      <c r="A172" s="188" t="s">
        <v>198</v>
      </c>
      <c r="B172" s="188" t="s">
        <v>35</v>
      </c>
      <c r="C172" s="227" t="str">
        <f>'23RDAPRIL'!E172</f>
        <v/>
      </c>
      <c r="D172" s="227">
        <v>2.0</v>
      </c>
      <c r="E172" s="191"/>
      <c r="F172" s="191" t="s">
        <v>35</v>
      </c>
      <c r="G172" s="191"/>
      <c r="H172" s="227">
        <f>'23RDAPRIL'!J172</f>
        <v>0.425</v>
      </c>
      <c r="I172" s="227">
        <f>'23RDAPRIL'!K172</f>
        <v>1</v>
      </c>
      <c r="J172" s="227">
        <v>1.0</v>
      </c>
      <c r="K172" s="318">
        <v>1.0</v>
      </c>
      <c r="L172" s="191" t="s">
        <v>35</v>
      </c>
      <c r="M172" s="295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1.425</v>
      </c>
      <c r="N172" s="191"/>
      <c r="O172" s="191"/>
    </row>
    <row r="173">
      <c r="A173" s="188" t="s">
        <v>199</v>
      </c>
      <c r="B173" s="188" t="s">
        <v>35</v>
      </c>
      <c r="C173" s="227" t="str">
        <f>'23RDAPRIL'!E173</f>
        <v/>
      </c>
      <c r="D173" s="227">
        <v>1.0</v>
      </c>
      <c r="E173" s="191"/>
      <c r="F173" s="191" t="s">
        <v>35</v>
      </c>
      <c r="G173" s="191"/>
      <c r="H173" s="227" t="str">
        <f>'23RDAPRIL'!J173</f>
        <v/>
      </c>
      <c r="I173" s="227">
        <f>'23RDAPRIL'!K173</f>
        <v>1</v>
      </c>
      <c r="J173" s="227">
        <v>0.121</v>
      </c>
      <c r="K173" s="318">
        <v>1.0</v>
      </c>
      <c r="L173" s="191" t="s">
        <v>35</v>
      </c>
      <c r="M173" s="295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0.879</v>
      </c>
      <c r="N173" s="191"/>
      <c r="O173" s="191"/>
    </row>
    <row r="174">
      <c r="A174" s="188" t="s">
        <v>200</v>
      </c>
      <c r="B174" s="188" t="s">
        <v>35</v>
      </c>
      <c r="C174" s="227" t="str">
        <f>'23RDAPRIL'!E174</f>
        <v/>
      </c>
      <c r="D174" s="227">
        <v>1.0</v>
      </c>
      <c r="E174" s="191"/>
      <c r="F174" s="191" t="s">
        <v>35</v>
      </c>
      <c r="G174" s="191"/>
      <c r="H174" s="227" t="str">
        <f>'23RDAPRIL'!J174</f>
        <v/>
      </c>
      <c r="I174" s="227">
        <f>'23RDAPRIL'!K174</f>
        <v>1</v>
      </c>
      <c r="J174" s="227">
        <v>0.193</v>
      </c>
      <c r="K174" s="318">
        <v>1.0</v>
      </c>
      <c r="L174" s="191" t="s">
        <v>35</v>
      </c>
      <c r="M174" s="295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0.807</v>
      </c>
      <c r="N174" s="191"/>
      <c r="O174" s="191"/>
    </row>
    <row r="175">
      <c r="A175" s="188" t="s">
        <v>201</v>
      </c>
      <c r="B175" s="188" t="s">
        <v>202</v>
      </c>
      <c r="C175" s="227" t="str">
        <f>'23RDAPRIL'!E175</f>
        <v/>
      </c>
      <c r="D175" s="191"/>
      <c r="E175" s="191"/>
      <c r="F175" s="191" t="s">
        <v>202</v>
      </c>
      <c r="G175" s="191"/>
      <c r="H175" s="227" t="str">
        <f>'23RDAPRIL'!J175</f>
        <v/>
      </c>
      <c r="I175" s="227">
        <f>'23RDAPRIL'!K175</f>
        <v>1</v>
      </c>
      <c r="J175" s="191"/>
      <c r="K175" s="318">
        <v>1.0</v>
      </c>
      <c r="L175" s="191" t="s">
        <v>202</v>
      </c>
      <c r="M175" s="295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191"/>
    </row>
    <row r="176">
      <c r="A176" s="188" t="s">
        <v>204</v>
      </c>
      <c r="B176" s="188" t="s">
        <v>202</v>
      </c>
      <c r="C176" s="227" t="str">
        <f>'23RDAPRIL'!E176</f>
        <v/>
      </c>
      <c r="D176" s="227">
        <v>1.0</v>
      </c>
      <c r="E176" s="191"/>
      <c r="F176" s="191" t="s">
        <v>202</v>
      </c>
      <c r="G176" s="191"/>
      <c r="H176" s="227">
        <f>'23RDAPRIL'!J176</f>
        <v>1</v>
      </c>
      <c r="I176" s="227">
        <f>'23RDAPRIL'!K176</f>
        <v>1</v>
      </c>
      <c r="J176" s="227">
        <v>1.0</v>
      </c>
      <c r="K176" s="318">
        <v>1.0</v>
      </c>
      <c r="L176" s="191" t="s">
        <v>202</v>
      </c>
      <c r="M176" s="295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1</v>
      </c>
      <c r="N176" s="191"/>
      <c r="O176" s="191"/>
    </row>
    <row r="177">
      <c r="A177" s="188" t="s">
        <v>205</v>
      </c>
      <c r="B177" s="188" t="s">
        <v>202</v>
      </c>
      <c r="C177" s="227" t="str">
        <f>'23RDAPRIL'!E177</f>
        <v/>
      </c>
      <c r="D177" s="227">
        <v>4.0</v>
      </c>
      <c r="E177" s="191"/>
      <c r="F177" s="191" t="s">
        <v>202</v>
      </c>
      <c r="G177" s="191"/>
      <c r="H177" s="227" t="str">
        <f>'23RDAPRIL'!J177</f>
        <v/>
      </c>
      <c r="I177" s="227">
        <f>'23RDAPRIL'!K177</f>
        <v>1</v>
      </c>
      <c r="J177" s="191"/>
      <c r="K177" s="318">
        <v>1.0</v>
      </c>
      <c r="L177" s="191" t="s">
        <v>202</v>
      </c>
      <c r="M177" s="295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4</v>
      </c>
      <c r="N177" s="191"/>
      <c r="O177" s="191"/>
    </row>
    <row r="178">
      <c r="A178" s="188" t="s">
        <v>206</v>
      </c>
      <c r="B178" s="188" t="s">
        <v>207</v>
      </c>
      <c r="C178" s="227" t="str">
        <f>'23RDAPRIL'!E178</f>
        <v/>
      </c>
      <c r="D178" s="227">
        <v>1.0</v>
      </c>
      <c r="E178" s="227"/>
      <c r="F178" s="191" t="s">
        <v>17</v>
      </c>
      <c r="G178" s="191"/>
      <c r="H178" s="227">
        <f>'23RDAPRIL'!J178</f>
        <v>28</v>
      </c>
      <c r="I178" s="227">
        <f>'23RDAPRIL'!K178</f>
        <v>1</v>
      </c>
      <c r="J178" s="227">
        <v>34.0</v>
      </c>
      <c r="K178" s="318">
        <v>1.0</v>
      </c>
      <c r="L178" s="191" t="s">
        <v>17</v>
      </c>
      <c r="M178" s="295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24</v>
      </c>
      <c r="N178" s="191"/>
      <c r="O178" s="191"/>
    </row>
    <row r="179">
      <c r="A179" s="188" t="s">
        <v>209</v>
      </c>
      <c r="B179" s="188" t="s">
        <v>17</v>
      </c>
      <c r="C179" s="227" t="str">
        <f>'23RDAPRIL'!E179</f>
        <v/>
      </c>
      <c r="D179" s="191"/>
      <c r="E179" s="191"/>
      <c r="F179" s="191" t="s">
        <v>17</v>
      </c>
      <c r="G179" s="191"/>
      <c r="H179" s="227" t="str">
        <f>'23RDAPRIL'!J179</f>
        <v/>
      </c>
      <c r="I179" s="227">
        <f>'23RDAPRIL'!K179</f>
        <v>1</v>
      </c>
      <c r="J179" s="191"/>
      <c r="K179" s="318">
        <v>1.0</v>
      </c>
      <c r="L179" s="191" t="s">
        <v>17</v>
      </c>
      <c r="M179" s="295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191"/>
    </row>
    <row r="180">
      <c r="A180" s="188" t="s">
        <v>210</v>
      </c>
      <c r="B180" s="188" t="s">
        <v>202</v>
      </c>
      <c r="C180" s="227" t="str">
        <f>'23RDAPRIL'!E180</f>
        <v/>
      </c>
      <c r="D180" s="191"/>
      <c r="E180" s="191"/>
      <c r="F180" s="191" t="s">
        <v>202</v>
      </c>
      <c r="G180" s="227"/>
      <c r="H180" s="227">
        <f>'23RDAPRIL'!J180</f>
        <v>1</v>
      </c>
      <c r="I180" s="227">
        <f>'23RDAPRIL'!K180</f>
        <v>1</v>
      </c>
      <c r="J180" s="227"/>
      <c r="K180" s="318">
        <v>1.0</v>
      </c>
      <c r="L180" s="191" t="s">
        <v>202</v>
      </c>
      <c r="M180" s="295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1</v>
      </c>
      <c r="N180" s="191"/>
      <c r="O180" s="191"/>
    </row>
    <row r="181">
      <c r="A181" s="188" t="s">
        <v>211</v>
      </c>
      <c r="B181" s="188" t="s">
        <v>202</v>
      </c>
      <c r="C181" s="227" t="str">
        <f>'23RDAPRIL'!E181</f>
        <v/>
      </c>
      <c r="D181" s="227"/>
      <c r="E181" s="191"/>
      <c r="F181" s="191" t="s">
        <v>202</v>
      </c>
      <c r="G181" s="191"/>
      <c r="H181" s="227">
        <f>'23RDAPRIL'!J181</f>
        <v>1</v>
      </c>
      <c r="I181" s="227">
        <f>'23RDAPRIL'!K181</f>
        <v>1</v>
      </c>
      <c r="J181" s="227">
        <v>1.0</v>
      </c>
      <c r="K181" s="318">
        <v>1.0</v>
      </c>
      <c r="L181" s="191" t="s">
        <v>202</v>
      </c>
      <c r="M181" s="295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191"/>
    </row>
    <row r="182">
      <c r="A182" s="188" t="s">
        <v>212</v>
      </c>
      <c r="B182" s="188" t="s">
        <v>202</v>
      </c>
      <c r="C182" s="227" t="str">
        <f>'23RDAPRIL'!E182</f>
        <v/>
      </c>
      <c r="D182" s="227">
        <v>1.0</v>
      </c>
      <c r="E182" s="227">
        <v>1.0</v>
      </c>
      <c r="F182" s="191" t="s">
        <v>202</v>
      </c>
      <c r="G182" s="191"/>
      <c r="H182" s="227" t="str">
        <f>'23RDAPRIL'!J182</f>
        <v/>
      </c>
      <c r="I182" s="227">
        <f>'23RDAPRIL'!K182</f>
        <v>1</v>
      </c>
      <c r="J182" s="191"/>
      <c r="K182" s="318">
        <v>1.0</v>
      </c>
      <c r="L182" s="191" t="s">
        <v>202</v>
      </c>
      <c r="M182" s="295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</v>
      </c>
      <c r="N182" s="191"/>
      <c r="O182" s="191"/>
    </row>
    <row r="183">
      <c r="A183" s="188" t="s">
        <v>213</v>
      </c>
      <c r="B183" s="188" t="s">
        <v>35</v>
      </c>
      <c r="C183" s="227" t="str">
        <f>'23RDAPRIL'!E183</f>
        <v/>
      </c>
      <c r="D183" s="191"/>
      <c r="E183" s="191"/>
      <c r="F183" s="191" t="s">
        <v>35</v>
      </c>
      <c r="G183" s="191"/>
      <c r="H183" s="227" t="str">
        <f>'23RDAPRIL'!J183</f>
        <v/>
      </c>
      <c r="I183" s="227">
        <f>'23RDAPRIL'!K183</f>
        <v>1</v>
      </c>
      <c r="J183" s="191"/>
      <c r="K183" s="318">
        <v>1.0</v>
      </c>
      <c r="L183" s="191" t="s">
        <v>35</v>
      </c>
      <c r="M183" s="295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191"/>
    </row>
    <row r="184">
      <c r="A184" s="188" t="s">
        <v>214</v>
      </c>
      <c r="B184" s="188" t="s">
        <v>40</v>
      </c>
      <c r="C184" s="227" t="str">
        <f>'23RDAPRIL'!E184</f>
        <v/>
      </c>
      <c r="D184" s="191"/>
      <c r="E184" s="191"/>
      <c r="F184" s="191" t="s">
        <v>35</v>
      </c>
      <c r="G184" s="191"/>
      <c r="H184" s="227">
        <f>'23RDAPRIL'!J184</f>
        <v>0.187</v>
      </c>
      <c r="I184" s="227">
        <f>'23RDAPRIL'!K184</f>
        <v>1</v>
      </c>
      <c r="J184" s="227">
        <v>0.161</v>
      </c>
      <c r="K184" s="318">
        <v>1.0</v>
      </c>
      <c r="L184" s="191" t="s">
        <v>35</v>
      </c>
      <c r="M184" s="295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0.026</v>
      </c>
      <c r="N184" s="191"/>
      <c r="O184" s="191"/>
    </row>
    <row r="185">
      <c r="A185" s="188" t="s">
        <v>215</v>
      </c>
      <c r="B185" s="188" t="s">
        <v>35</v>
      </c>
      <c r="C185" s="227" t="str">
        <f>'23RDAPRIL'!E185</f>
        <v/>
      </c>
      <c r="D185" s="227">
        <v>1.0</v>
      </c>
      <c r="E185" s="191"/>
      <c r="F185" s="191" t="s">
        <v>35</v>
      </c>
      <c r="G185" s="191"/>
      <c r="H185" s="227" t="str">
        <f>'23RDAPRIL'!J185</f>
        <v/>
      </c>
      <c r="I185" s="227">
        <f>'23RDAPRIL'!K185</f>
        <v>1</v>
      </c>
      <c r="J185" s="227">
        <v>1.0</v>
      </c>
      <c r="K185" s="318">
        <v>1.0</v>
      </c>
      <c r="L185" s="191" t="s">
        <v>35</v>
      </c>
      <c r="M185" s="295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</v>
      </c>
      <c r="N185" s="191"/>
      <c r="O185" s="191"/>
    </row>
    <row r="186">
      <c r="A186" s="188" t="s">
        <v>216</v>
      </c>
      <c r="B186" s="188" t="s">
        <v>17</v>
      </c>
      <c r="C186" s="227" t="str">
        <f>'23RDAPRIL'!E186</f>
        <v/>
      </c>
      <c r="D186" s="227">
        <v>1.0</v>
      </c>
      <c r="E186" s="191"/>
      <c r="F186" s="191" t="s">
        <v>17</v>
      </c>
      <c r="G186" s="191"/>
      <c r="H186" s="227">
        <v>1.25</v>
      </c>
      <c r="I186" s="227">
        <f>'23RDAPRIL'!K186</f>
        <v>1</v>
      </c>
      <c r="J186" s="227">
        <v>2.25</v>
      </c>
      <c r="K186" s="318">
        <v>1.0</v>
      </c>
      <c r="L186" s="191" t="s">
        <v>17</v>
      </c>
      <c r="M186" s="295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</v>
      </c>
      <c r="N186" s="191"/>
      <c r="O186" s="191"/>
    </row>
    <row r="187">
      <c r="A187" s="188" t="s">
        <v>217</v>
      </c>
      <c r="B187" s="188" t="s">
        <v>35</v>
      </c>
      <c r="C187" s="227" t="str">
        <f>'23RDAPRIL'!E187</f>
        <v/>
      </c>
      <c r="D187" s="227">
        <v>4.0</v>
      </c>
      <c r="E187" s="191"/>
      <c r="F187" s="191" t="s">
        <v>35</v>
      </c>
      <c r="G187" s="191"/>
      <c r="H187" s="227">
        <f>'23RDAPRIL'!J187</f>
        <v>0.287</v>
      </c>
      <c r="I187" s="227">
        <f>'23RDAPRIL'!K187</f>
        <v>1</v>
      </c>
      <c r="J187" s="227"/>
      <c r="K187" s="318">
        <v>1.0</v>
      </c>
      <c r="L187" s="191" t="s">
        <v>35</v>
      </c>
      <c r="M187" s="295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4.287</v>
      </c>
      <c r="N187" s="191"/>
      <c r="O187" s="191"/>
    </row>
    <row r="188">
      <c r="A188" s="188" t="s">
        <v>218</v>
      </c>
      <c r="B188" s="188" t="s">
        <v>17</v>
      </c>
      <c r="C188" s="227" t="str">
        <f>'23RDAPRIL'!E188</f>
        <v/>
      </c>
      <c r="D188" s="227">
        <v>3.0</v>
      </c>
      <c r="E188" s="191"/>
      <c r="F188" s="191" t="s">
        <v>17</v>
      </c>
      <c r="G188" s="191"/>
      <c r="H188" s="227">
        <f>'23RDAPRIL'!J188</f>
        <v>1.025</v>
      </c>
      <c r="I188" s="227">
        <f>'23RDAPRIL'!K188</f>
        <v>1</v>
      </c>
      <c r="J188" s="227">
        <v>1.5</v>
      </c>
      <c r="K188" s="318">
        <v>1.0</v>
      </c>
      <c r="L188" s="191" t="s">
        <v>17</v>
      </c>
      <c r="M188" s="295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2.525</v>
      </c>
      <c r="N188" s="191"/>
      <c r="O188" s="191"/>
    </row>
    <row r="189">
      <c r="A189" s="188" t="s">
        <v>220</v>
      </c>
      <c r="B189" s="188" t="s">
        <v>35</v>
      </c>
      <c r="C189" s="227" t="str">
        <f>'23RDAPRIL'!E189</f>
        <v/>
      </c>
      <c r="D189" s="191"/>
      <c r="E189" s="191"/>
      <c r="F189" s="191" t="s">
        <v>35</v>
      </c>
      <c r="G189" s="191"/>
      <c r="H189" s="227" t="str">
        <f>'23RDAPRIL'!J189</f>
        <v/>
      </c>
      <c r="I189" s="227">
        <f>'23RDAPRIL'!K189</f>
        <v>1</v>
      </c>
      <c r="J189" s="191"/>
      <c r="K189" s="318">
        <v>1.0</v>
      </c>
      <c r="L189" s="191" t="s">
        <v>35</v>
      </c>
      <c r="M189" s="295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191"/>
    </row>
    <row r="190">
      <c r="A190" s="188" t="s">
        <v>221</v>
      </c>
      <c r="B190" s="188" t="s">
        <v>17</v>
      </c>
      <c r="C190" s="227" t="str">
        <f>'23RDAPRIL'!E190</f>
        <v/>
      </c>
      <c r="D190" s="227">
        <v>10.0</v>
      </c>
      <c r="E190" s="191"/>
      <c r="F190" s="191" t="s">
        <v>17</v>
      </c>
      <c r="G190" s="191"/>
      <c r="H190" s="227">
        <f>'23RDAPRIL'!J190</f>
        <v>1</v>
      </c>
      <c r="I190" s="227">
        <f>'23RDAPRIL'!K190</f>
        <v>1</v>
      </c>
      <c r="J190" s="227">
        <v>3.25</v>
      </c>
      <c r="K190" s="318">
        <v>1.0</v>
      </c>
      <c r="L190" s="191" t="s">
        <v>17</v>
      </c>
      <c r="M190" s="295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7.75</v>
      </c>
      <c r="N190" s="191"/>
      <c r="O190" s="191"/>
    </row>
    <row r="191">
      <c r="A191" s="188" t="s">
        <v>222</v>
      </c>
      <c r="B191" s="188" t="s">
        <v>17</v>
      </c>
      <c r="C191" s="227" t="str">
        <f>'23RDAPRIL'!E191</f>
        <v/>
      </c>
      <c r="D191" s="191"/>
      <c r="E191" s="191"/>
      <c r="F191" s="191" t="s">
        <v>17</v>
      </c>
      <c r="G191" s="191"/>
      <c r="H191" s="227" t="str">
        <f>'23RDAPRIL'!J191</f>
        <v/>
      </c>
      <c r="I191" s="227">
        <f>'23RDAPRIL'!K191</f>
        <v>1</v>
      </c>
      <c r="J191" s="191"/>
      <c r="K191" s="318">
        <v>1.0</v>
      </c>
      <c r="L191" s="191" t="s">
        <v>17</v>
      </c>
      <c r="M191" s="295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191"/>
    </row>
    <row r="192">
      <c r="A192" s="188" t="s">
        <v>223</v>
      </c>
      <c r="B192" s="188" t="s">
        <v>17</v>
      </c>
      <c r="C192" s="227" t="str">
        <f>'23RDAPRIL'!E192</f>
        <v/>
      </c>
      <c r="D192" s="227">
        <v>3.0</v>
      </c>
      <c r="E192" s="191"/>
      <c r="F192" s="191" t="s">
        <v>17</v>
      </c>
      <c r="G192" s="191"/>
      <c r="H192" s="227" t="str">
        <f>'23RDAPRIL'!J192</f>
        <v/>
      </c>
      <c r="I192" s="227">
        <f>'23RDAPRIL'!K192</f>
        <v>1</v>
      </c>
      <c r="J192" s="191"/>
      <c r="K192" s="318">
        <v>1.0</v>
      </c>
      <c r="L192" s="191" t="s">
        <v>17</v>
      </c>
      <c r="M192" s="295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3</v>
      </c>
      <c r="N192" s="191"/>
      <c r="O192" s="191"/>
    </row>
    <row r="193">
      <c r="A193" s="188" t="s">
        <v>224</v>
      </c>
      <c r="B193" s="188" t="s">
        <v>202</v>
      </c>
      <c r="C193" s="227" t="str">
        <f>'23RDAPRIL'!E193</f>
        <v/>
      </c>
      <c r="D193" s="227"/>
      <c r="E193" s="191"/>
      <c r="F193" s="191" t="s">
        <v>202</v>
      </c>
      <c r="G193" s="191"/>
      <c r="H193" s="227">
        <f>'23RDAPRIL'!J193</f>
        <v>1</v>
      </c>
      <c r="I193" s="227">
        <f>'23RDAPRIL'!K193</f>
        <v>1</v>
      </c>
      <c r="J193" s="227"/>
      <c r="K193" s="318">
        <v>1.0</v>
      </c>
      <c r="L193" s="191" t="s">
        <v>202</v>
      </c>
      <c r="M193" s="295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1</v>
      </c>
      <c r="N193" s="191"/>
      <c r="O193" s="191"/>
    </row>
    <row r="194">
      <c r="A194" s="188" t="s">
        <v>225</v>
      </c>
      <c r="B194" s="188" t="s">
        <v>35</v>
      </c>
      <c r="C194" s="227" t="str">
        <f>'23RDAPRIL'!E194</f>
        <v/>
      </c>
      <c r="D194" s="191"/>
      <c r="E194" s="191"/>
      <c r="F194" s="191" t="s">
        <v>35</v>
      </c>
      <c r="G194" s="191"/>
      <c r="H194" s="227">
        <f>'23RDAPRIL'!J194</f>
        <v>1</v>
      </c>
      <c r="I194" s="227">
        <f>'23RDAPRIL'!K194</f>
        <v>1</v>
      </c>
      <c r="J194" s="227">
        <v>1.0</v>
      </c>
      <c r="K194" s="318">
        <v>1.0</v>
      </c>
      <c r="L194" s="191" t="s">
        <v>35</v>
      </c>
      <c r="M194" s="295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</v>
      </c>
      <c r="N194" s="191"/>
      <c r="O194" s="191"/>
    </row>
    <row r="195">
      <c r="A195" s="188" t="s">
        <v>227</v>
      </c>
      <c r="B195" s="188" t="s">
        <v>35</v>
      </c>
      <c r="C195" s="227" t="str">
        <f>'23RDAPRIL'!E195</f>
        <v/>
      </c>
      <c r="D195" s="191"/>
      <c r="E195" s="191"/>
      <c r="F195" s="191" t="s">
        <v>35</v>
      </c>
      <c r="G195" s="227"/>
      <c r="H195" s="227">
        <f>'23RDAPRIL'!J195</f>
        <v>1.348</v>
      </c>
      <c r="I195" s="227">
        <f>'23RDAPRIL'!K195</f>
        <v>1</v>
      </c>
      <c r="J195" s="227">
        <v>1.2</v>
      </c>
      <c r="K195" s="318">
        <v>1.0</v>
      </c>
      <c r="L195" s="191" t="s">
        <v>35</v>
      </c>
      <c r="M195" s="295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0.148</v>
      </c>
      <c r="N195" s="191"/>
      <c r="O195" s="191"/>
    </row>
    <row r="196">
      <c r="A196" s="188" t="s">
        <v>228</v>
      </c>
      <c r="B196" s="188" t="s">
        <v>155</v>
      </c>
      <c r="C196" s="227" t="str">
        <f>'23RDAPRIL'!E196</f>
        <v/>
      </c>
      <c r="D196" s="227">
        <v>1.0</v>
      </c>
      <c r="E196" s="191"/>
      <c r="F196" s="191" t="s">
        <v>35</v>
      </c>
      <c r="G196" s="191"/>
      <c r="H196" s="227" t="str">
        <f>'23RDAPRIL'!J196</f>
        <v/>
      </c>
      <c r="I196" s="227">
        <f>'23RDAPRIL'!K196</f>
        <v>1</v>
      </c>
      <c r="J196" s="227">
        <v>0.258</v>
      </c>
      <c r="K196" s="318">
        <v>1.0</v>
      </c>
      <c r="L196" s="191" t="s">
        <v>35</v>
      </c>
      <c r="M196" s="295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0.254</v>
      </c>
      <c r="N196" s="191"/>
      <c r="O196" s="191"/>
    </row>
    <row r="197">
      <c r="A197" s="188" t="s">
        <v>229</v>
      </c>
      <c r="B197" s="188" t="s">
        <v>17</v>
      </c>
      <c r="C197" s="227" t="str">
        <f>'23RDAPRIL'!E197</f>
        <v/>
      </c>
      <c r="D197" s="227">
        <v>3.0</v>
      </c>
      <c r="E197" s="191"/>
      <c r="F197" s="191" t="s">
        <v>17</v>
      </c>
      <c r="G197" s="191"/>
      <c r="H197" s="227">
        <f>'23RDAPRIL'!J197</f>
        <v>0.276</v>
      </c>
      <c r="I197" s="227">
        <f>'23RDAPRIL'!K197</f>
        <v>1</v>
      </c>
      <c r="J197" s="227"/>
      <c r="K197" s="318">
        <v>1.0</v>
      </c>
      <c r="L197" s="191" t="s">
        <v>17</v>
      </c>
      <c r="M197" s="295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3.276</v>
      </c>
      <c r="N197" s="191"/>
      <c r="O197" s="191"/>
    </row>
    <row r="198">
      <c r="A198" s="188" t="s">
        <v>231</v>
      </c>
      <c r="B198" s="188" t="s">
        <v>35</v>
      </c>
      <c r="C198" s="227" t="str">
        <f>'23RDAPRIL'!E198</f>
        <v/>
      </c>
      <c r="D198" s="227">
        <v>1.0</v>
      </c>
      <c r="E198" s="191"/>
      <c r="F198" s="191" t="s">
        <v>35</v>
      </c>
      <c r="G198" s="191"/>
      <c r="H198" s="227">
        <f>'23RDAPRIL'!J198</f>
        <v>0.35</v>
      </c>
      <c r="I198" s="227">
        <f>'23RDAPRIL'!K198</f>
        <v>1</v>
      </c>
      <c r="J198" s="227">
        <v>0.235</v>
      </c>
      <c r="K198" s="318">
        <v>1.0</v>
      </c>
      <c r="L198" s="191" t="s">
        <v>35</v>
      </c>
      <c r="M198" s="295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1.115</v>
      </c>
      <c r="N198" s="191"/>
      <c r="O198" s="191"/>
    </row>
    <row r="199">
      <c r="A199" s="188" t="s">
        <v>232</v>
      </c>
      <c r="B199" s="188" t="s">
        <v>202</v>
      </c>
      <c r="C199" s="227" t="str">
        <f>'23RDAPRIL'!E199</f>
        <v/>
      </c>
      <c r="D199" s="227">
        <v>1.0</v>
      </c>
      <c r="E199" s="191"/>
      <c r="F199" s="191" t="s">
        <v>202</v>
      </c>
      <c r="G199" s="227"/>
      <c r="H199" s="227">
        <f>'23RDAPRIL'!J199</f>
        <v>0.025</v>
      </c>
      <c r="I199" s="227">
        <f>'23RDAPRIL'!K199</f>
        <v>1</v>
      </c>
      <c r="J199" s="227">
        <v>1.0</v>
      </c>
      <c r="K199" s="318">
        <v>1.0</v>
      </c>
      <c r="L199" s="191" t="s">
        <v>202</v>
      </c>
      <c r="M199" s="295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0.025</v>
      </c>
      <c r="N199" s="191"/>
      <c r="O199" s="191"/>
    </row>
    <row r="200">
      <c r="A200" s="188" t="s">
        <v>233</v>
      </c>
      <c r="B200" s="188" t="s">
        <v>17</v>
      </c>
      <c r="C200" s="227">
        <f>'23RDAPRIL'!E200</f>
        <v>2</v>
      </c>
      <c r="D200" s="227"/>
      <c r="E200" s="227"/>
      <c r="F200" s="191" t="s">
        <v>234</v>
      </c>
      <c r="G200" s="227">
        <v>0.5</v>
      </c>
      <c r="H200" s="227">
        <f>'23RDAPRIL'!J200</f>
        <v>0.5</v>
      </c>
      <c r="I200" s="227">
        <f>'23RDAPRIL'!K200</f>
        <v>1</v>
      </c>
      <c r="J200" s="227">
        <v>3.0</v>
      </c>
      <c r="K200" s="318">
        <v>1.0</v>
      </c>
      <c r="L200" s="191" t="s">
        <v>234</v>
      </c>
      <c r="M200" s="295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0</v>
      </c>
      <c r="N200" s="191"/>
      <c r="O200" s="191"/>
    </row>
    <row r="201">
      <c r="A201" s="242" t="s">
        <v>235</v>
      </c>
      <c r="B201" s="200" t="s">
        <v>202</v>
      </c>
      <c r="C201" s="227" t="str">
        <f>'23RDAPRIL'!E201</f>
        <v/>
      </c>
      <c r="D201" s="227"/>
      <c r="E201" s="191"/>
      <c r="F201" s="191" t="s">
        <v>202</v>
      </c>
      <c r="G201" s="191"/>
      <c r="H201" s="227">
        <v>1.0</v>
      </c>
      <c r="I201" s="227">
        <f>'23RDAPRIL'!K201</f>
        <v>1</v>
      </c>
      <c r="J201" s="227">
        <v>1.0</v>
      </c>
      <c r="K201" s="318">
        <v>1.0</v>
      </c>
      <c r="L201" s="191" t="s">
        <v>202</v>
      </c>
      <c r="M201" s="295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0</v>
      </c>
      <c r="N201" s="191"/>
      <c r="O201" s="191"/>
    </row>
    <row r="202">
      <c r="A202" s="242" t="s">
        <v>236</v>
      </c>
      <c r="B202" s="200" t="s">
        <v>237</v>
      </c>
      <c r="C202" s="227" t="str">
        <f>'23RDAPRIL'!E202</f>
        <v/>
      </c>
      <c r="D202" s="191"/>
      <c r="E202" s="191"/>
      <c r="F202" s="191" t="s">
        <v>35</v>
      </c>
      <c r="G202" s="191"/>
      <c r="H202" s="227">
        <f>'23RDAPRIL'!J202</f>
        <v>0.5</v>
      </c>
      <c r="I202" s="227">
        <f>'23RDAPRIL'!K202</f>
        <v>1</v>
      </c>
      <c r="J202" s="227">
        <v>0.387</v>
      </c>
      <c r="K202" s="318">
        <v>1.0</v>
      </c>
      <c r="L202" s="191" t="s">
        <v>35</v>
      </c>
      <c r="M202" s="295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0.113</v>
      </c>
      <c r="N202" s="191"/>
      <c r="O202" s="191"/>
    </row>
    <row r="203">
      <c r="A203" s="242" t="s">
        <v>238</v>
      </c>
      <c r="B203" s="200" t="s">
        <v>202</v>
      </c>
      <c r="C203" s="227" t="str">
        <f>'23RDAPRIL'!E203</f>
        <v/>
      </c>
      <c r="D203" s="227"/>
      <c r="E203" s="191"/>
      <c r="F203" s="191" t="s">
        <v>202</v>
      </c>
      <c r="G203" s="191"/>
      <c r="H203" s="227">
        <f>'23RDAPRIL'!J203</f>
        <v>1</v>
      </c>
      <c r="I203" s="227">
        <f>'23RDAPRIL'!K203</f>
        <v>1</v>
      </c>
      <c r="J203" s="227">
        <v>1.0</v>
      </c>
      <c r="K203" s="318">
        <v>1.0</v>
      </c>
      <c r="L203" s="191" t="s">
        <v>202</v>
      </c>
      <c r="M203" s="295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191"/>
    </row>
    <row r="204">
      <c r="A204" s="242" t="s">
        <v>239</v>
      </c>
      <c r="B204" s="200" t="s">
        <v>35</v>
      </c>
      <c r="C204" s="227" t="str">
        <f>'23RDAPRIL'!E204</f>
        <v/>
      </c>
      <c r="D204" s="191"/>
      <c r="E204" s="191"/>
      <c r="F204" s="191" t="s">
        <v>35</v>
      </c>
      <c r="G204" s="191"/>
      <c r="H204" s="227" t="str">
        <f>'23RDAPRIL'!J204</f>
        <v/>
      </c>
      <c r="I204" s="227">
        <f>'23RDAPRIL'!K204</f>
        <v>1</v>
      </c>
      <c r="J204" s="191"/>
      <c r="K204" s="318">
        <v>1.0</v>
      </c>
      <c r="L204" s="193" t="s">
        <v>35</v>
      </c>
      <c r="M204" s="295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191"/>
    </row>
    <row r="205">
      <c r="A205" s="188" t="s">
        <v>240</v>
      </c>
      <c r="B205" s="188" t="s">
        <v>241</v>
      </c>
      <c r="C205" s="227" t="str">
        <f>'23RDAPRIL'!E205</f>
        <v/>
      </c>
      <c r="D205" s="227">
        <v>5.0</v>
      </c>
      <c r="E205" s="191"/>
      <c r="F205" s="191" t="s">
        <v>17</v>
      </c>
      <c r="G205" s="191"/>
      <c r="H205" s="227">
        <f>'23RDAPRIL'!J205</f>
        <v>2</v>
      </c>
      <c r="I205" s="227">
        <f>'23RDAPRIL'!K205</f>
        <v>1</v>
      </c>
      <c r="J205" s="227">
        <v>2.0</v>
      </c>
      <c r="K205" s="318">
        <v>1.0</v>
      </c>
      <c r="L205" s="193" t="s">
        <v>17</v>
      </c>
      <c r="M205" s="295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5</v>
      </c>
      <c r="N205" s="191"/>
      <c r="O205" s="191"/>
    </row>
    <row r="206">
      <c r="A206" s="188" t="s">
        <v>242</v>
      </c>
      <c r="B206" s="188" t="s">
        <v>35</v>
      </c>
      <c r="C206" s="227"/>
      <c r="D206" s="227">
        <v>200.0</v>
      </c>
      <c r="E206" s="191"/>
      <c r="F206" s="191" t="s">
        <v>35</v>
      </c>
      <c r="G206" s="191"/>
      <c r="H206" s="227">
        <f>'23RDAPRIL'!J206</f>
        <v>80</v>
      </c>
      <c r="I206" s="227">
        <f>'23RDAPRIL'!K206</f>
        <v>1</v>
      </c>
      <c r="J206" s="227">
        <v>215.0</v>
      </c>
      <c r="K206" s="318">
        <v>1.0</v>
      </c>
      <c r="L206" s="193" t="s">
        <v>35</v>
      </c>
      <c r="M206" s="295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65</v>
      </c>
      <c r="N206" s="191"/>
      <c r="O206" s="191"/>
    </row>
    <row r="207">
      <c r="A207" s="188" t="s">
        <v>243</v>
      </c>
      <c r="B207" s="206" t="s">
        <v>764</v>
      </c>
      <c r="C207" s="227" t="str">
        <f>'23RDAPRIL'!E207</f>
        <v/>
      </c>
      <c r="D207" s="227"/>
      <c r="E207" s="227"/>
      <c r="F207" s="227" t="s">
        <v>241</v>
      </c>
      <c r="G207" s="227">
        <v>10.0</v>
      </c>
      <c r="H207" s="227">
        <f>'23RDAPRIL'!J207</f>
        <v>2</v>
      </c>
      <c r="I207" s="227">
        <f>'23RDAPRIL'!K207</f>
        <v>1</v>
      </c>
      <c r="J207" s="227">
        <v>5.0</v>
      </c>
      <c r="K207" s="318">
        <v>1.0</v>
      </c>
      <c r="L207" s="193" t="s">
        <v>17</v>
      </c>
      <c r="M207" s="295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7</v>
      </c>
      <c r="N207" s="191"/>
      <c r="O207" s="191"/>
    </row>
    <row r="208">
      <c r="A208" s="238" t="s">
        <v>245</v>
      </c>
      <c r="B208" s="191"/>
      <c r="C208" s="227" t="str">
        <f>'23RDAPRIL'!E208</f>
        <v/>
      </c>
      <c r="D208" s="191"/>
      <c r="E208" s="191"/>
      <c r="F208" s="191"/>
      <c r="G208" s="191"/>
      <c r="H208" s="227" t="str">
        <f>'23RDAPRIL'!J208</f>
        <v/>
      </c>
      <c r="I208" s="227">
        <f>'23RDAPRIL'!K208</f>
        <v>1</v>
      </c>
      <c r="J208" s="191"/>
      <c r="K208" s="318">
        <v>1.0</v>
      </c>
      <c r="L208" s="193"/>
      <c r="M208" s="295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191"/>
    </row>
    <row r="209">
      <c r="A209" s="188" t="s">
        <v>154</v>
      </c>
      <c r="B209" s="188" t="s">
        <v>59</v>
      </c>
      <c r="C209" s="227" t="str">
        <f>'23RDAPRIL'!E209</f>
        <v/>
      </c>
      <c r="D209" s="227">
        <v>3.0</v>
      </c>
      <c r="E209" s="191"/>
      <c r="F209" s="191" t="s">
        <v>155</v>
      </c>
      <c r="G209" s="227"/>
      <c r="H209" s="227">
        <f>'23RDAPRIL'!J209</f>
        <v>2</v>
      </c>
      <c r="I209" s="227">
        <f>'23RDAPRIL'!K209</f>
        <v>1</v>
      </c>
      <c r="J209" s="227">
        <v>3.0</v>
      </c>
      <c r="K209" s="318">
        <v>1.0</v>
      </c>
      <c r="L209" s="193" t="s">
        <v>155</v>
      </c>
      <c r="M209" s="295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0.5</v>
      </c>
      <c r="N209" s="191"/>
      <c r="O209" s="191"/>
    </row>
    <row r="210">
      <c r="A210" s="188" t="s">
        <v>247</v>
      </c>
      <c r="B210" s="226" t="s">
        <v>59</v>
      </c>
      <c r="C210" s="227">
        <f>'23RDAPRIL'!E210</f>
        <v>1</v>
      </c>
      <c r="D210" s="191"/>
      <c r="E210" s="227"/>
      <c r="F210" s="191" t="s">
        <v>35</v>
      </c>
      <c r="G210" s="191"/>
      <c r="H210" s="227" t="str">
        <f>'23RDAPRIL'!J210</f>
        <v/>
      </c>
      <c r="I210" s="227">
        <f>'23RDAPRIL'!K210</f>
        <v>1</v>
      </c>
      <c r="J210" s="227"/>
      <c r="K210" s="318">
        <v>1.0</v>
      </c>
      <c r="L210" s="193" t="s">
        <v>35</v>
      </c>
      <c r="M210" s="295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0.5</v>
      </c>
      <c r="N210" s="191"/>
      <c r="O210" s="191"/>
    </row>
    <row r="211">
      <c r="A211" s="188" t="s">
        <v>248</v>
      </c>
      <c r="B211" s="226" t="s">
        <v>59</v>
      </c>
      <c r="C211" s="227">
        <f>'23RDAPRIL'!E211</f>
        <v>2</v>
      </c>
      <c r="D211" s="191"/>
      <c r="E211" s="227">
        <v>2.0</v>
      </c>
      <c r="F211" s="191" t="s">
        <v>35</v>
      </c>
      <c r="G211" s="191"/>
      <c r="H211" s="227" t="str">
        <f>'23RDAPRIL'!J211</f>
        <v/>
      </c>
      <c r="I211" s="227">
        <f>'23RDAPRIL'!K211</f>
        <v>1</v>
      </c>
      <c r="J211" s="227"/>
      <c r="K211" s="318">
        <v>1.0</v>
      </c>
      <c r="L211" s="193" t="s">
        <v>35</v>
      </c>
      <c r="M211" s="295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191"/>
    </row>
    <row r="212">
      <c r="A212" s="188" t="s">
        <v>250</v>
      </c>
      <c r="B212" s="226" t="s">
        <v>59</v>
      </c>
      <c r="C212" s="227"/>
      <c r="D212" s="191"/>
      <c r="E212" s="227"/>
      <c r="F212" s="191" t="s">
        <v>35</v>
      </c>
      <c r="G212" s="191"/>
      <c r="H212" s="227">
        <v>0.425</v>
      </c>
      <c r="I212" s="227">
        <f>'23RDAPRIL'!K212</f>
        <v>1</v>
      </c>
      <c r="J212" s="227">
        <v>0.346</v>
      </c>
      <c r="K212" s="318">
        <v>1.0</v>
      </c>
      <c r="L212" s="193" t="s">
        <v>35</v>
      </c>
      <c r="M212" s="295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0.079</v>
      </c>
      <c r="N212" s="191"/>
      <c r="O212" s="191"/>
    </row>
    <row r="213">
      <c r="A213" s="188" t="s">
        <v>251</v>
      </c>
      <c r="B213" s="226" t="s">
        <v>34</v>
      </c>
      <c r="C213" s="227" t="str">
        <f>'23RDAPRIL'!E213</f>
        <v/>
      </c>
      <c r="D213" s="191"/>
      <c r="E213" s="191"/>
      <c r="F213" s="191" t="s">
        <v>35</v>
      </c>
      <c r="G213" s="191"/>
      <c r="H213" s="227" t="str">
        <f>'23RDAPRIL'!J213</f>
        <v/>
      </c>
      <c r="I213" s="227">
        <f>'23RDAPRIL'!K213</f>
        <v>1</v>
      </c>
      <c r="J213" s="191"/>
      <c r="K213" s="318">
        <v>1.0</v>
      </c>
      <c r="L213" s="193" t="s">
        <v>35</v>
      </c>
      <c r="M213" s="295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191"/>
    </row>
    <row r="214">
      <c r="A214" s="238" t="s">
        <v>252</v>
      </c>
      <c r="B214" s="191"/>
      <c r="C214" s="227" t="str">
        <f>'23RDAPRIL'!E214</f>
        <v/>
      </c>
      <c r="D214" s="191"/>
      <c r="E214" s="191"/>
      <c r="F214" s="191"/>
      <c r="G214" s="191"/>
      <c r="H214" s="227" t="str">
        <f>'23RDAPRIL'!J214</f>
        <v/>
      </c>
      <c r="I214" s="227">
        <f>'23RDAPRIL'!K214</f>
        <v>1</v>
      </c>
      <c r="J214" s="191"/>
      <c r="K214" s="318">
        <v>1.0</v>
      </c>
      <c r="L214" s="193"/>
      <c r="M214" s="295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191"/>
    </row>
    <row r="215">
      <c r="A215" s="188" t="s">
        <v>253</v>
      </c>
      <c r="B215" s="188" t="s">
        <v>40</v>
      </c>
      <c r="C215" s="227" t="str">
        <f>'23RDAPRIL'!E215</f>
        <v/>
      </c>
      <c r="D215" s="191"/>
      <c r="E215" s="191"/>
      <c r="F215" s="191" t="s">
        <v>254</v>
      </c>
      <c r="G215" s="191"/>
      <c r="H215" s="227" t="str">
        <f>'23RDAPRIL'!J215</f>
        <v/>
      </c>
      <c r="I215" s="227">
        <f>'23RDAPRIL'!K215</f>
        <v>1</v>
      </c>
      <c r="J215" s="191"/>
      <c r="K215" s="318">
        <v>1.0</v>
      </c>
      <c r="L215" s="191" t="s">
        <v>254</v>
      </c>
      <c r="M215" s="295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191"/>
    </row>
    <row r="216">
      <c r="A216" s="188" t="s">
        <v>256</v>
      </c>
      <c r="B216" s="188" t="s">
        <v>40</v>
      </c>
      <c r="C216" s="227" t="str">
        <f>'23RDAPRIL'!E216</f>
        <v/>
      </c>
      <c r="D216" s="191"/>
      <c r="E216" s="191"/>
      <c r="F216" s="191" t="s">
        <v>234</v>
      </c>
      <c r="G216" s="191"/>
      <c r="H216" s="227" t="str">
        <f>'23RDAPRIL'!J216</f>
        <v/>
      </c>
      <c r="I216" s="227">
        <f>'23RDAPRIL'!K216</f>
        <v>1</v>
      </c>
      <c r="J216" s="191"/>
      <c r="K216" s="318">
        <v>1.0</v>
      </c>
      <c r="L216" s="191" t="s">
        <v>234</v>
      </c>
      <c r="M216" s="295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191"/>
    </row>
    <row r="217">
      <c r="A217" s="188" t="s">
        <v>258</v>
      </c>
      <c r="B217" s="188" t="s">
        <v>259</v>
      </c>
      <c r="C217" s="227" t="str">
        <f>'23RDAPRIL'!E217</f>
        <v/>
      </c>
      <c r="D217" s="227"/>
      <c r="E217" s="191"/>
      <c r="F217" s="191" t="s">
        <v>17</v>
      </c>
      <c r="G217" s="191"/>
      <c r="H217" s="227">
        <f>'23RDAPRIL'!J217</f>
        <v>12</v>
      </c>
      <c r="I217" s="227">
        <f>'23RDAPRIL'!K217</f>
        <v>1</v>
      </c>
      <c r="J217" s="227">
        <v>9.0</v>
      </c>
      <c r="K217" s="318">
        <v>1.0</v>
      </c>
      <c r="L217" s="193" t="s">
        <v>17</v>
      </c>
      <c r="M217" s="295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3</v>
      </c>
      <c r="N217" s="191"/>
      <c r="O217" s="191"/>
    </row>
    <row r="218">
      <c r="A218" s="188" t="s">
        <v>260</v>
      </c>
      <c r="B218" s="188" t="s">
        <v>261</v>
      </c>
      <c r="C218" s="227"/>
      <c r="D218" s="227">
        <v>1.0</v>
      </c>
      <c r="E218" s="227">
        <v>1.0</v>
      </c>
      <c r="F218" s="191" t="s">
        <v>35</v>
      </c>
      <c r="G218" s="191"/>
      <c r="H218" s="227">
        <f>'23RDAPRIL'!J218</f>
        <v>0.982</v>
      </c>
      <c r="I218" s="227"/>
      <c r="J218" s="227"/>
      <c r="K218" s="318"/>
      <c r="L218" s="193" t="s">
        <v>35</v>
      </c>
      <c r="M218" s="295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0.982</v>
      </c>
      <c r="N218" s="191"/>
      <c r="O218" s="191"/>
    </row>
    <row r="219">
      <c r="A219" s="188" t="s">
        <v>263</v>
      </c>
      <c r="B219" s="188" t="s">
        <v>17</v>
      </c>
      <c r="C219" s="227" t="str">
        <f>'23RDAPRIL'!E219</f>
        <v/>
      </c>
      <c r="D219" s="227">
        <v>50.0</v>
      </c>
      <c r="E219" s="191"/>
      <c r="F219" s="191" t="s">
        <v>17</v>
      </c>
      <c r="G219" s="191"/>
      <c r="H219" s="227">
        <f>'23RDAPRIL'!J219</f>
        <v>35</v>
      </c>
      <c r="I219" s="227">
        <f>'23RDAPRIL'!K219</f>
        <v>1</v>
      </c>
      <c r="J219" s="227">
        <v>55.0</v>
      </c>
      <c r="K219" s="318">
        <v>1.0</v>
      </c>
      <c r="L219" s="191" t="s">
        <v>17</v>
      </c>
      <c r="M219" s="295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30</v>
      </c>
      <c r="N219" s="191"/>
      <c r="O219" s="191"/>
    </row>
    <row r="220">
      <c r="A220" s="188" t="s">
        <v>264</v>
      </c>
      <c r="B220" s="188" t="s">
        <v>261</v>
      </c>
      <c r="C220" s="227" t="str">
        <f>'23RDAPRIL'!E220</f>
        <v/>
      </c>
      <c r="D220" s="227">
        <v>1.0</v>
      </c>
      <c r="E220" s="227">
        <v>1.0</v>
      </c>
      <c r="F220" s="191" t="s">
        <v>35</v>
      </c>
      <c r="G220" s="191"/>
      <c r="H220" s="227" t="str">
        <f>'23RDAPRIL'!J220</f>
        <v/>
      </c>
      <c r="I220" s="227">
        <f>'23RDAPRIL'!K220</f>
        <v>1</v>
      </c>
      <c r="J220" s="191"/>
      <c r="K220" s="318">
        <v>1.0</v>
      </c>
      <c r="L220" s="191" t="s">
        <v>35</v>
      </c>
      <c r="M220" s="295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</v>
      </c>
      <c r="N220" s="191"/>
      <c r="O220" s="191"/>
    </row>
    <row r="221">
      <c r="A221" s="188" t="s">
        <v>265</v>
      </c>
      <c r="B221" s="188" t="s">
        <v>40</v>
      </c>
      <c r="C221" s="227" t="str">
        <f>'23RDAPRIL'!E221</f>
        <v/>
      </c>
      <c r="D221" s="227">
        <v>1.0</v>
      </c>
      <c r="E221" s="191"/>
      <c r="F221" s="191" t="s">
        <v>17</v>
      </c>
      <c r="G221" s="191"/>
      <c r="H221" s="227">
        <f>'23RDAPRIL'!J221</f>
        <v>69</v>
      </c>
      <c r="I221" s="227">
        <f>'23RDAPRIL'!K221</f>
        <v>1</v>
      </c>
      <c r="J221" s="227">
        <v>43.0</v>
      </c>
      <c r="K221" s="318">
        <v>1.0</v>
      </c>
      <c r="L221" s="191" t="s">
        <v>17</v>
      </c>
      <c r="M221" s="295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51</v>
      </c>
      <c r="N221" s="191"/>
      <c r="O221" s="191"/>
    </row>
    <row r="222">
      <c r="A222" s="188" t="s">
        <v>266</v>
      </c>
      <c r="B222" s="188" t="s">
        <v>267</v>
      </c>
      <c r="C222" s="227" t="str">
        <f>'23RDAPRIL'!E222</f>
        <v/>
      </c>
      <c r="D222" s="191"/>
      <c r="E222" s="191"/>
      <c r="F222" s="191" t="s">
        <v>17</v>
      </c>
      <c r="G222" s="191"/>
      <c r="H222" s="227">
        <f>'23RDAPRIL'!J222</f>
        <v>81</v>
      </c>
      <c r="I222" s="227">
        <f>'23RDAPRIL'!K222</f>
        <v>1</v>
      </c>
      <c r="J222" s="227">
        <v>68.0</v>
      </c>
      <c r="K222" s="318">
        <v>1.0</v>
      </c>
      <c r="L222" s="191" t="s">
        <v>17</v>
      </c>
      <c r="M222" s="295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13</v>
      </c>
      <c r="N222" s="191"/>
      <c r="O222" s="191"/>
    </row>
    <row r="223">
      <c r="A223" s="188" t="s">
        <v>268</v>
      </c>
      <c r="B223" s="188" t="s">
        <v>40</v>
      </c>
      <c r="C223" s="227" t="str">
        <f>'23RDAPRIL'!E223</f>
        <v/>
      </c>
      <c r="D223" s="191"/>
      <c r="E223" s="191"/>
      <c r="F223" s="191" t="s">
        <v>17</v>
      </c>
      <c r="G223" s="191"/>
      <c r="H223" s="227" t="str">
        <f>'23RDAPRIL'!J223</f>
        <v/>
      </c>
      <c r="I223" s="227">
        <f>'23RDAPRIL'!K223</f>
        <v>1</v>
      </c>
      <c r="J223" s="191"/>
      <c r="K223" s="318">
        <v>1.0</v>
      </c>
      <c r="L223" s="191" t="s">
        <v>17</v>
      </c>
      <c r="M223" s="295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0</v>
      </c>
      <c r="N223" s="191"/>
      <c r="O223" s="191"/>
    </row>
    <row r="224">
      <c r="A224" s="188" t="s">
        <v>269</v>
      </c>
      <c r="B224" s="188" t="s">
        <v>40</v>
      </c>
      <c r="C224" s="227" t="str">
        <f>'23RDAPRIL'!E224</f>
        <v/>
      </c>
      <c r="D224" s="191"/>
      <c r="E224" s="191"/>
      <c r="F224" s="191" t="s">
        <v>17</v>
      </c>
      <c r="G224" s="191"/>
      <c r="H224" s="227">
        <f>'23RDAPRIL'!J224</f>
        <v>68</v>
      </c>
      <c r="I224" s="227">
        <f>'23RDAPRIL'!K224</f>
        <v>1</v>
      </c>
      <c r="J224" s="227">
        <v>60.0</v>
      </c>
      <c r="K224" s="318">
        <v>1.0</v>
      </c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8</v>
      </c>
      <c r="N224" s="191"/>
      <c r="O224" s="191"/>
    </row>
    <row r="225">
      <c r="A225" s="188" t="s">
        <v>270</v>
      </c>
      <c r="B225" s="188" t="s">
        <v>40</v>
      </c>
      <c r="C225" s="227" t="str">
        <f>'23RDAPRIL'!E225</f>
        <v/>
      </c>
      <c r="D225" s="191"/>
      <c r="E225" s="191"/>
      <c r="F225" s="191" t="s">
        <v>17</v>
      </c>
      <c r="G225" s="191"/>
      <c r="H225" s="227">
        <f>'23RDAPRIL'!J225</f>
        <v>54</v>
      </c>
      <c r="I225" s="227">
        <f>'23RDAPRIL'!K225</f>
        <v>1</v>
      </c>
      <c r="J225" s="227">
        <v>46.0</v>
      </c>
      <c r="K225" s="318">
        <v>1.0</v>
      </c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8</v>
      </c>
      <c r="N225" s="191"/>
      <c r="O225" s="191"/>
    </row>
    <row r="226">
      <c r="A226" s="188" t="s">
        <v>271</v>
      </c>
      <c r="B226" s="188" t="s">
        <v>40</v>
      </c>
      <c r="C226" s="227" t="str">
        <f>'23RDAPRIL'!E226</f>
        <v/>
      </c>
      <c r="D226" s="227">
        <v>1.0</v>
      </c>
      <c r="E226" s="191"/>
      <c r="F226" s="191" t="s">
        <v>17</v>
      </c>
      <c r="G226" s="191"/>
      <c r="H226" s="227">
        <f>'23RDAPRIL'!J226</f>
        <v>56</v>
      </c>
      <c r="I226" s="227">
        <f>'23RDAPRIL'!K226</f>
        <v>1</v>
      </c>
      <c r="J226" s="227">
        <v>80.0</v>
      </c>
      <c r="K226" s="318">
        <v>1.0</v>
      </c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26</v>
      </c>
      <c r="N226" s="191"/>
      <c r="O226" s="191"/>
    </row>
    <row r="227">
      <c r="A227" s="188" t="s">
        <v>272</v>
      </c>
      <c r="B227" s="188" t="s">
        <v>40</v>
      </c>
      <c r="C227" s="227" t="str">
        <f>'23RDAPRIL'!E227</f>
        <v/>
      </c>
      <c r="D227" s="227"/>
      <c r="E227" s="191"/>
      <c r="F227" s="191" t="s">
        <v>17</v>
      </c>
      <c r="G227" s="227">
        <v>8.0</v>
      </c>
      <c r="H227" s="227">
        <f>'23RDAPRIL'!J227</f>
        <v>9</v>
      </c>
      <c r="I227" s="227">
        <f>'23RDAPRIL'!K227</f>
        <v>1</v>
      </c>
      <c r="J227" s="227">
        <v>17.0</v>
      </c>
      <c r="K227" s="318">
        <v>1.0</v>
      </c>
      <c r="L227" s="191" t="s">
        <v>17</v>
      </c>
      <c r="M227" s="295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0</v>
      </c>
      <c r="N227" s="191"/>
      <c r="O227" s="191"/>
    </row>
    <row r="228">
      <c r="A228" s="227"/>
      <c r="B228" s="191"/>
      <c r="C228" s="227" t="str">
        <f>'23RDAPRIL'!E228</f>
        <v/>
      </c>
      <c r="D228" s="191"/>
      <c r="E228" s="191"/>
      <c r="F228" s="191"/>
      <c r="G228" s="191"/>
      <c r="H228" s="227" t="str">
        <f>'23RDAPRIL'!J228</f>
        <v/>
      </c>
      <c r="I228" s="227" t="str">
        <f>'23RDAPRIL'!K228</f>
        <v/>
      </c>
      <c r="J228" s="191"/>
      <c r="K228" s="318">
        <v>1.0</v>
      </c>
      <c r="L228" s="191"/>
      <c r="M228" s="191"/>
      <c r="N228" s="191"/>
      <c r="O228" s="191"/>
    </row>
    <row r="229">
      <c r="A229" s="191"/>
      <c r="B229" s="191"/>
      <c r="C229" s="227" t="str">
        <f>'23RDAPRIL'!E229</f>
        <v/>
      </c>
      <c r="D229" s="191"/>
      <c r="E229" s="191"/>
      <c r="F229" s="191"/>
      <c r="G229" s="191"/>
      <c r="H229" s="227" t="str">
        <f>'23RDAPRIL'!J229</f>
        <v/>
      </c>
      <c r="I229" s="227" t="str">
        <f>'23RDAPRIL'!K229</f>
        <v/>
      </c>
      <c r="J229" s="191"/>
      <c r="K229" s="318"/>
      <c r="L229" s="191"/>
      <c r="M229" s="191"/>
      <c r="N229" s="191"/>
      <c r="O229" s="191"/>
    </row>
    <row r="230">
      <c r="A230" s="191"/>
      <c r="B230" s="191"/>
      <c r="C230" s="227" t="str">
        <f>'23RDAPRIL'!E230</f>
        <v/>
      </c>
      <c r="D230" s="191"/>
      <c r="E230" s="191"/>
      <c r="F230" s="191"/>
      <c r="G230" s="191"/>
      <c r="H230" s="227" t="str">
        <f>'23RDAPRIL'!J230</f>
        <v/>
      </c>
      <c r="I230" s="227" t="str">
        <f>'23RDAPRIL'!K230</f>
        <v/>
      </c>
      <c r="J230" s="191"/>
      <c r="K230" s="318"/>
      <c r="L230" s="191"/>
      <c r="M230" s="191"/>
      <c r="N230" s="191"/>
      <c r="O230" s="191"/>
    </row>
    <row r="231">
      <c r="A231" s="191"/>
      <c r="B231" s="191"/>
      <c r="C231" s="227" t="str">
        <f>'23RDAPRIL'!E231</f>
        <v/>
      </c>
      <c r="D231" s="191"/>
      <c r="E231" s="191"/>
      <c r="F231" s="191"/>
      <c r="G231" s="191"/>
      <c r="H231" s="227" t="str">
        <f>'23RDAPRIL'!J231</f>
        <v/>
      </c>
      <c r="I231" s="227" t="str">
        <f>'23RDAPRIL'!K231</f>
        <v/>
      </c>
      <c r="J231" s="191"/>
      <c r="K231" s="318"/>
      <c r="L231" s="191"/>
      <c r="M231" s="191"/>
      <c r="N231" s="191"/>
      <c r="O231" s="191"/>
    </row>
    <row r="232">
      <c r="A232" s="191"/>
      <c r="B232" s="191"/>
      <c r="C232" s="227" t="str">
        <f>'23RDAPRIL'!E232</f>
        <v/>
      </c>
      <c r="D232" s="191"/>
      <c r="E232" s="191"/>
      <c r="F232" s="191"/>
      <c r="G232" s="191"/>
      <c r="H232" s="227" t="str">
        <f>'23RDAPRIL'!J232</f>
        <v/>
      </c>
      <c r="I232" s="227" t="str">
        <f>'23RDAPRIL'!K232</f>
        <v/>
      </c>
      <c r="J232" s="191"/>
      <c r="K232" s="318"/>
      <c r="L232" s="191"/>
      <c r="M232" s="191"/>
      <c r="N232" s="191"/>
      <c r="O232" s="191"/>
    </row>
    <row r="233">
      <c r="A233" s="191"/>
      <c r="B233" s="191"/>
      <c r="C233" s="227" t="str">
        <f>'23RDAPRIL'!E233</f>
        <v/>
      </c>
      <c r="D233" s="191"/>
      <c r="E233" s="191"/>
      <c r="F233" s="191"/>
      <c r="G233" s="191"/>
      <c r="H233" s="227" t="str">
        <f>'23RDAPRIL'!J233</f>
        <v/>
      </c>
      <c r="I233" s="227" t="str">
        <f>'23RDAPRIL'!K233</f>
        <v/>
      </c>
      <c r="J233" s="191"/>
      <c r="K233" s="318"/>
      <c r="L233" s="191"/>
      <c r="M233" s="191"/>
      <c r="N233" s="191"/>
      <c r="O233" s="191"/>
    </row>
    <row r="234">
      <c r="A234" s="191"/>
      <c r="B234" s="191"/>
      <c r="C234" s="227" t="str">
        <f>'23RDAPRIL'!E234</f>
        <v/>
      </c>
      <c r="D234" s="191"/>
      <c r="E234" s="191"/>
      <c r="F234" s="191"/>
      <c r="G234" s="191"/>
      <c r="H234" s="227" t="str">
        <f>'23RDAPRIL'!J234</f>
        <v/>
      </c>
      <c r="I234" s="227" t="str">
        <f>'23RDAPRIL'!K234</f>
        <v/>
      </c>
      <c r="J234" s="191"/>
      <c r="K234" s="318"/>
      <c r="L234" s="191"/>
      <c r="M234" s="191"/>
      <c r="N234" s="191"/>
      <c r="O234" s="191"/>
    </row>
    <row r="235">
      <c r="A235" s="191"/>
      <c r="B235" s="191"/>
      <c r="C235" s="227" t="str">
        <f>'23RDAPRIL'!E235</f>
        <v/>
      </c>
      <c r="D235" s="191"/>
      <c r="E235" s="191"/>
      <c r="F235" s="191"/>
      <c r="G235" s="191"/>
      <c r="H235" s="227" t="str">
        <f>'23RDAPRIL'!J235</f>
        <v/>
      </c>
      <c r="I235" s="227" t="str">
        <f>'23RDAPRIL'!K235</f>
        <v/>
      </c>
      <c r="J235" s="191"/>
      <c r="K235" s="318"/>
      <c r="L235" s="191"/>
      <c r="M235" s="191"/>
      <c r="N235" s="191"/>
      <c r="O235" s="191"/>
    </row>
    <row r="236">
      <c r="A236" s="191"/>
      <c r="B236" s="191"/>
      <c r="C236" s="227" t="str">
        <f>'23RDAPRIL'!E236</f>
        <v/>
      </c>
      <c r="D236" s="191"/>
      <c r="E236" s="191"/>
      <c r="F236" s="191"/>
      <c r="G236" s="191"/>
      <c r="H236" s="227" t="str">
        <f>'23RDAPRIL'!J236</f>
        <v/>
      </c>
      <c r="I236" s="227" t="str">
        <f>'23RDAPRIL'!K236</f>
        <v/>
      </c>
      <c r="J236" s="191"/>
      <c r="K236" s="318"/>
      <c r="L236" s="191"/>
      <c r="M236" s="191"/>
      <c r="N236" s="191"/>
      <c r="O236" s="191"/>
    </row>
    <row r="237">
      <c r="A237" s="191"/>
      <c r="B237" s="191"/>
      <c r="C237" s="227" t="str">
        <f>'23RDAPRIL'!E237</f>
        <v/>
      </c>
      <c r="D237" s="191"/>
      <c r="E237" s="191"/>
      <c r="F237" s="191"/>
      <c r="G237" s="191"/>
      <c r="H237" s="227" t="str">
        <f>'23RDAPRIL'!J237</f>
        <v/>
      </c>
      <c r="I237" s="227" t="str">
        <f>'23RDAPRIL'!K237</f>
        <v/>
      </c>
      <c r="J237" s="191"/>
      <c r="K237" s="318"/>
      <c r="L237" s="191"/>
      <c r="M237" s="191"/>
      <c r="N237" s="191"/>
      <c r="O237" s="191"/>
    </row>
    <row r="238">
      <c r="A238" s="191"/>
      <c r="B238" s="191"/>
      <c r="C238" s="227" t="str">
        <f>'23RDAPRIL'!E238</f>
        <v/>
      </c>
      <c r="D238" s="191"/>
      <c r="E238" s="191"/>
      <c r="F238" s="191"/>
      <c r="G238" s="191"/>
      <c r="H238" s="227" t="str">
        <f>'23RDAPRIL'!J238</f>
        <v/>
      </c>
      <c r="I238" s="227" t="str">
        <f>'23RDAPRIL'!K238</f>
        <v/>
      </c>
      <c r="J238" s="191"/>
      <c r="K238" s="318"/>
      <c r="L238" s="191"/>
      <c r="M238" s="191"/>
      <c r="N238" s="191"/>
      <c r="O238" s="191"/>
    </row>
    <row r="239">
      <c r="A239" s="191"/>
      <c r="B239" s="191"/>
      <c r="C239" s="227" t="str">
        <f>'23RDAPRIL'!E239</f>
        <v/>
      </c>
      <c r="D239" s="191"/>
      <c r="E239" s="191"/>
      <c r="F239" s="191"/>
      <c r="G239" s="191"/>
      <c r="H239" s="227" t="str">
        <f>'23RDAPRIL'!J239</f>
        <v/>
      </c>
      <c r="I239" s="227" t="str">
        <f>'23RDAPRIL'!K239</f>
        <v/>
      </c>
      <c r="J239" s="191"/>
      <c r="K239" s="318"/>
      <c r="L239" s="191"/>
      <c r="M239" s="191"/>
      <c r="N239" s="191"/>
      <c r="O239" s="191"/>
    </row>
    <row r="240">
      <c r="A240" s="191"/>
      <c r="B240" s="191"/>
      <c r="C240" s="227" t="str">
        <f>'23RDAPRIL'!E240</f>
        <v/>
      </c>
      <c r="D240" s="191"/>
      <c r="E240" s="191"/>
      <c r="F240" s="191"/>
      <c r="G240" s="191"/>
      <c r="H240" s="227" t="str">
        <f>'23RDAPRIL'!J240</f>
        <v/>
      </c>
      <c r="I240" s="227" t="str">
        <f>'23RDAPRIL'!K240</f>
        <v/>
      </c>
      <c r="J240" s="191"/>
      <c r="K240" s="318"/>
      <c r="L240" s="191"/>
      <c r="M240" s="191"/>
      <c r="N240" s="191"/>
      <c r="O240" s="191"/>
    </row>
    <row r="241">
      <c r="A241" s="191"/>
      <c r="B241" s="191"/>
      <c r="C241" s="227" t="str">
        <f>'23RDAPRIL'!E241</f>
        <v/>
      </c>
      <c r="D241" s="191"/>
      <c r="E241" s="191"/>
      <c r="F241" s="191"/>
      <c r="G241" s="191"/>
      <c r="H241" s="227" t="str">
        <f>'23RDAPRIL'!J241</f>
        <v/>
      </c>
      <c r="I241" s="227" t="str">
        <f>'23RDAPRIL'!K241</f>
        <v/>
      </c>
      <c r="J241" s="191"/>
      <c r="K241" s="318"/>
      <c r="L241" s="191"/>
      <c r="M241" s="191"/>
      <c r="N241" s="191"/>
      <c r="O241" s="191"/>
    </row>
    <row r="242">
      <c r="A242" s="191"/>
      <c r="B242" s="191"/>
      <c r="C242" s="227" t="str">
        <f>'23RDAPRIL'!E242</f>
        <v/>
      </c>
      <c r="D242" s="191"/>
      <c r="E242" s="191"/>
      <c r="F242" s="191"/>
      <c r="G242" s="191"/>
      <c r="H242" s="227" t="str">
        <f>'23RDAPRIL'!J242</f>
        <v/>
      </c>
      <c r="I242" s="227" t="str">
        <f>'23RDAPRIL'!K242</f>
        <v/>
      </c>
      <c r="J242" s="191"/>
      <c r="K242" s="318"/>
      <c r="L242" s="191"/>
      <c r="M242" s="191"/>
      <c r="N242" s="191"/>
      <c r="O242" s="191"/>
    </row>
    <row r="243">
      <c r="A243" s="191"/>
      <c r="B243" s="191"/>
      <c r="C243" s="227" t="str">
        <f>'23RDAPRIL'!E243</f>
        <v/>
      </c>
      <c r="D243" s="191"/>
      <c r="E243" s="191"/>
      <c r="F243" s="191"/>
      <c r="G243" s="191"/>
      <c r="H243" s="227" t="str">
        <f>'23RDAPRIL'!J243</f>
        <v/>
      </c>
      <c r="I243" s="227" t="str">
        <f>'23RDAPRIL'!K243</f>
        <v/>
      </c>
      <c r="J243" s="191"/>
      <c r="K243" s="318"/>
      <c r="L243" s="191"/>
      <c r="M243" s="191"/>
      <c r="N243" s="191"/>
      <c r="O243" s="191"/>
    </row>
    <row r="244">
      <c r="A244" s="191"/>
      <c r="B244" s="191"/>
      <c r="C244" s="227" t="str">
        <f>'23RDAPRIL'!E244</f>
        <v/>
      </c>
      <c r="D244" s="191"/>
      <c r="E244" s="191"/>
      <c r="F244" s="191"/>
      <c r="G244" s="191"/>
      <c r="H244" s="227" t="str">
        <f>'23RDAPRIL'!J244</f>
        <v/>
      </c>
      <c r="I244" s="227" t="str">
        <f>'23RDAPRIL'!K244</f>
        <v/>
      </c>
      <c r="J244" s="191"/>
      <c r="K244" s="191"/>
      <c r="L244" s="191"/>
      <c r="M244" s="191"/>
      <c r="N244" s="191"/>
      <c r="O244" s="191"/>
    </row>
    <row r="245">
      <c r="A245" s="191"/>
      <c r="B245" s="191"/>
      <c r="C245" s="227" t="str">
        <f>'23RDAPRIL'!E245</f>
        <v/>
      </c>
      <c r="D245" s="191"/>
      <c r="E245" s="191"/>
      <c r="F245" s="191"/>
      <c r="G245" s="191"/>
      <c r="H245" s="227" t="str">
        <f>'23RDAPRIL'!J245</f>
        <v/>
      </c>
      <c r="I245" s="227" t="str">
        <f>'23RDAPRIL'!K245</f>
        <v/>
      </c>
      <c r="J245" s="191"/>
      <c r="K245" s="191"/>
      <c r="L245" s="191"/>
      <c r="M245" s="191"/>
      <c r="N245" s="191"/>
      <c r="O245" s="191"/>
    </row>
    <row r="246">
      <c r="A246" s="191"/>
      <c r="B246" s="191"/>
      <c r="C246" s="227" t="str">
        <f>'23RDAPRIL'!E246</f>
        <v/>
      </c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</row>
    <row r="247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</row>
    <row r="248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</row>
    <row r="249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</row>
    <row r="250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</row>
    <row r="251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</row>
    <row r="252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</row>
    <row r="253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</row>
    <row r="254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</row>
    <row r="255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</row>
    <row r="256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</row>
    <row r="257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</row>
    <row r="258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</row>
    <row r="259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</row>
    <row r="260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</row>
    <row r="261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</row>
    <row r="262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</row>
    <row r="263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</row>
    <row r="264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</row>
    <row r="265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</row>
    <row r="266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</row>
    <row r="267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</row>
    <row r="268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</row>
    <row r="269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</row>
    <row r="270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</row>
    <row r="271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</row>
    <row r="272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</row>
    <row r="273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</row>
    <row r="274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</row>
    <row r="275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</row>
    <row r="276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</row>
    <row r="277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</row>
    <row r="278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</row>
    <row r="279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</row>
    <row r="280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</row>
    <row r="281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</row>
    <row r="282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</row>
    <row r="283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</row>
    <row r="284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</row>
    <row r="285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</row>
    <row r="286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</row>
    <row r="287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</row>
    <row r="288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</row>
    <row r="289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</row>
    <row r="290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</row>
    <row r="291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</row>
    <row r="292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</row>
    <row r="293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</row>
    <row r="294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</row>
    <row r="295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</row>
    <row r="296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</row>
    <row r="297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</row>
    <row r="298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</row>
    <row r="299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</row>
    <row r="300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</row>
    <row r="301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</row>
    <row r="302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</row>
    <row r="303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</row>
    <row r="304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</row>
    <row r="305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</row>
    <row r="306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</row>
    <row r="307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</row>
    <row r="308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</row>
    <row r="309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</row>
    <row r="310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</row>
    <row r="31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</row>
    <row r="312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</row>
    <row r="313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</row>
    <row r="314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</row>
    <row r="315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</row>
    <row r="316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</row>
    <row r="317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</row>
    <row r="318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</row>
    <row r="319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</row>
    <row r="320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</row>
    <row r="32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</row>
    <row r="322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</row>
    <row r="323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</row>
    <row r="324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</row>
    <row r="325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</row>
    <row r="326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</row>
    <row r="327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</row>
    <row r="328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</row>
    <row r="329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</row>
    <row r="330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</row>
    <row r="33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</row>
    <row r="332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</row>
    <row r="333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</row>
    <row r="334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</row>
    <row r="335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</row>
    <row r="336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</row>
    <row r="337">
      <c r="A337" s="320"/>
      <c r="B337" s="320"/>
      <c r="C337" s="320"/>
      <c r="D337" s="320"/>
      <c r="E337" s="320"/>
      <c r="F337" s="320"/>
      <c r="G337" s="320"/>
      <c r="H337" s="320"/>
      <c r="I337" s="320"/>
      <c r="J337" s="320"/>
      <c r="K337" s="320"/>
      <c r="L337" s="320"/>
      <c r="M337" s="320"/>
      <c r="N337" s="320"/>
      <c r="O337" s="320"/>
    </row>
    <row r="338">
      <c r="A338" s="320"/>
      <c r="B338" s="320"/>
      <c r="C338" s="320"/>
      <c r="D338" s="320"/>
      <c r="E338" s="320"/>
      <c r="F338" s="320"/>
      <c r="G338" s="320"/>
      <c r="H338" s="320"/>
      <c r="I338" s="320"/>
      <c r="J338" s="320"/>
      <c r="K338" s="320"/>
      <c r="L338" s="320"/>
      <c r="M338" s="320"/>
      <c r="N338" s="320"/>
      <c r="O338" s="320"/>
    </row>
    <row r="339">
      <c r="A339" s="320"/>
      <c r="B339" s="320"/>
      <c r="C339" s="320"/>
      <c r="D339" s="320"/>
      <c r="E339" s="320"/>
      <c r="F339" s="320"/>
      <c r="G339" s="320"/>
      <c r="H339" s="320"/>
      <c r="I339" s="320"/>
      <c r="J339" s="320"/>
      <c r="K339" s="320"/>
      <c r="L339" s="320"/>
      <c r="M339" s="320"/>
      <c r="N339" s="320"/>
      <c r="O339" s="320"/>
    </row>
    <row r="340">
      <c r="A340" s="320"/>
      <c r="B340" s="320"/>
      <c r="C340" s="320"/>
      <c r="D340" s="320"/>
      <c r="E340" s="320"/>
      <c r="F340" s="320"/>
      <c r="G340" s="320"/>
      <c r="H340" s="320"/>
      <c r="I340" s="320"/>
      <c r="J340" s="320"/>
      <c r="K340" s="320"/>
      <c r="L340" s="320"/>
      <c r="M340" s="320"/>
      <c r="N340" s="320"/>
      <c r="O340" s="320"/>
    </row>
    <row r="341">
      <c r="A341" s="320"/>
      <c r="B341" s="320"/>
      <c r="C341" s="320"/>
      <c r="D341" s="320"/>
      <c r="E341" s="320"/>
      <c r="F341" s="320"/>
      <c r="G341" s="320"/>
      <c r="H341" s="320"/>
      <c r="I341" s="320"/>
      <c r="J341" s="320"/>
      <c r="K341" s="320"/>
      <c r="L341" s="320"/>
      <c r="M341" s="320"/>
      <c r="N341" s="320"/>
      <c r="O341" s="320"/>
    </row>
    <row r="342">
      <c r="A342" s="320"/>
      <c r="B342" s="320"/>
      <c r="C342" s="320"/>
      <c r="D342" s="320"/>
      <c r="E342" s="320"/>
      <c r="F342" s="320"/>
      <c r="G342" s="320"/>
      <c r="H342" s="320"/>
      <c r="I342" s="320"/>
      <c r="J342" s="320"/>
      <c r="K342" s="320"/>
      <c r="L342" s="320"/>
      <c r="M342" s="320"/>
      <c r="N342" s="320"/>
      <c r="O342" s="320"/>
    </row>
    <row r="343">
      <c r="A343" s="320"/>
      <c r="B343" s="320"/>
      <c r="C343" s="320"/>
      <c r="D343" s="320"/>
      <c r="E343" s="320"/>
      <c r="F343" s="320"/>
      <c r="G343" s="320"/>
      <c r="H343" s="320"/>
      <c r="I343" s="320"/>
      <c r="J343" s="320"/>
      <c r="K343" s="320"/>
      <c r="L343" s="320"/>
      <c r="M343" s="320"/>
      <c r="N343" s="320"/>
      <c r="O343" s="320"/>
    </row>
    <row r="344">
      <c r="A344" s="320"/>
      <c r="B344" s="320"/>
      <c r="C344" s="320"/>
      <c r="D344" s="320"/>
      <c r="E344" s="320"/>
      <c r="F344" s="320"/>
      <c r="G344" s="320"/>
      <c r="H344" s="320"/>
      <c r="I344" s="320"/>
      <c r="J344" s="320"/>
      <c r="K344" s="320"/>
      <c r="L344" s="320"/>
      <c r="M344" s="320"/>
      <c r="N344" s="320"/>
      <c r="O344" s="320"/>
    </row>
    <row r="345">
      <c r="A345" s="320"/>
      <c r="B345" s="320"/>
      <c r="C345" s="320"/>
      <c r="D345" s="320"/>
      <c r="E345" s="320"/>
      <c r="F345" s="320"/>
      <c r="G345" s="320"/>
      <c r="H345" s="320"/>
      <c r="I345" s="320"/>
      <c r="J345" s="320"/>
      <c r="K345" s="320"/>
      <c r="L345" s="320"/>
      <c r="M345" s="320"/>
      <c r="N345" s="320"/>
      <c r="O345" s="320"/>
    </row>
    <row r="346">
      <c r="A346" s="320"/>
      <c r="B346" s="320"/>
      <c r="C346" s="320"/>
      <c r="D346" s="320"/>
      <c r="E346" s="320"/>
      <c r="F346" s="320"/>
      <c r="G346" s="320"/>
      <c r="H346" s="320"/>
      <c r="I346" s="320"/>
      <c r="J346" s="320"/>
      <c r="K346" s="320"/>
      <c r="L346" s="320"/>
      <c r="M346" s="320"/>
      <c r="N346" s="320"/>
      <c r="O346" s="320"/>
    </row>
    <row r="347">
      <c r="A347" s="320"/>
      <c r="B347" s="320"/>
      <c r="C347" s="320"/>
      <c r="D347" s="320"/>
      <c r="E347" s="320"/>
      <c r="F347" s="320"/>
      <c r="G347" s="320"/>
      <c r="H347" s="320"/>
      <c r="I347" s="320"/>
      <c r="J347" s="320"/>
      <c r="K347" s="320"/>
      <c r="L347" s="320"/>
      <c r="M347" s="320"/>
      <c r="N347" s="320"/>
      <c r="O347" s="320"/>
    </row>
    <row r="348">
      <c r="A348" s="320"/>
      <c r="B348" s="320"/>
      <c r="C348" s="320"/>
      <c r="D348" s="320"/>
      <c r="E348" s="320"/>
      <c r="F348" s="320"/>
      <c r="G348" s="320"/>
      <c r="H348" s="320"/>
      <c r="I348" s="320"/>
      <c r="J348" s="320"/>
      <c r="K348" s="320"/>
      <c r="L348" s="320"/>
      <c r="M348" s="320"/>
      <c r="N348" s="320"/>
      <c r="O348" s="320"/>
    </row>
    <row r="349">
      <c r="A349" s="320"/>
      <c r="B349" s="320"/>
      <c r="C349" s="320"/>
      <c r="D349" s="320"/>
      <c r="E349" s="320"/>
      <c r="F349" s="320"/>
      <c r="G349" s="320"/>
      <c r="H349" s="320"/>
      <c r="I349" s="320"/>
      <c r="J349" s="320"/>
      <c r="K349" s="320"/>
      <c r="L349" s="320"/>
      <c r="M349" s="320"/>
      <c r="N349" s="320"/>
      <c r="O349" s="320"/>
    </row>
    <row r="350">
      <c r="A350" s="320"/>
      <c r="B350" s="320"/>
      <c r="C350" s="320"/>
      <c r="D350" s="320"/>
      <c r="E350" s="320"/>
      <c r="F350" s="320"/>
      <c r="G350" s="320"/>
      <c r="H350" s="320"/>
      <c r="I350" s="320"/>
      <c r="J350" s="320"/>
      <c r="K350" s="320"/>
      <c r="L350" s="320"/>
      <c r="M350" s="320"/>
      <c r="N350" s="320"/>
      <c r="O350" s="320"/>
    </row>
    <row r="351">
      <c r="A351" s="320"/>
      <c r="B351" s="320"/>
      <c r="C351" s="320"/>
      <c r="D351" s="320"/>
      <c r="E351" s="320"/>
      <c r="F351" s="320"/>
      <c r="G351" s="320"/>
      <c r="H351" s="320"/>
      <c r="I351" s="320"/>
      <c r="J351" s="320"/>
      <c r="K351" s="320"/>
      <c r="L351" s="320"/>
      <c r="M351" s="320"/>
      <c r="N351" s="320"/>
      <c r="O351" s="320"/>
    </row>
    <row r="352">
      <c r="A352" s="320"/>
      <c r="B352" s="320"/>
      <c r="C352" s="320"/>
      <c r="D352" s="320"/>
      <c r="E352" s="320"/>
      <c r="F352" s="320"/>
      <c r="G352" s="320"/>
      <c r="H352" s="320"/>
      <c r="I352" s="320"/>
      <c r="J352" s="320"/>
      <c r="K352" s="320"/>
      <c r="L352" s="320"/>
      <c r="M352" s="320"/>
      <c r="N352" s="320"/>
      <c r="O352" s="320"/>
    </row>
    <row r="353">
      <c r="A353" s="320"/>
      <c r="B353" s="320"/>
      <c r="C353" s="320"/>
      <c r="D353" s="320"/>
      <c r="E353" s="320"/>
      <c r="F353" s="320"/>
      <c r="G353" s="320"/>
      <c r="H353" s="320"/>
      <c r="I353" s="320"/>
      <c r="J353" s="320"/>
      <c r="K353" s="320"/>
      <c r="L353" s="320"/>
      <c r="M353" s="320"/>
      <c r="N353" s="320"/>
      <c r="O353" s="320"/>
    </row>
    <row r="354">
      <c r="A354" s="320"/>
      <c r="B354" s="320"/>
      <c r="C354" s="320"/>
      <c r="D354" s="320"/>
      <c r="E354" s="320"/>
      <c r="F354" s="320"/>
      <c r="G354" s="320"/>
      <c r="H354" s="320"/>
      <c r="I354" s="320"/>
      <c r="J354" s="320"/>
      <c r="K354" s="320"/>
      <c r="L354" s="320"/>
      <c r="M354" s="320"/>
      <c r="N354" s="320"/>
      <c r="O354" s="320"/>
    </row>
    <row r="355">
      <c r="A355" s="320"/>
      <c r="B355" s="320"/>
      <c r="C355" s="320"/>
      <c r="D355" s="320"/>
      <c r="E355" s="320"/>
      <c r="F355" s="320"/>
      <c r="G355" s="320"/>
      <c r="H355" s="320"/>
      <c r="I355" s="320"/>
      <c r="J355" s="320"/>
      <c r="K355" s="320"/>
      <c r="L355" s="320"/>
      <c r="M355" s="320"/>
      <c r="N355" s="320"/>
      <c r="O355" s="320"/>
    </row>
    <row r="356">
      <c r="A356" s="320"/>
      <c r="B356" s="320"/>
      <c r="C356" s="320"/>
      <c r="D356" s="320"/>
      <c r="E356" s="320"/>
      <c r="F356" s="320"/>
      <c r="G356" s="320"/>
      <c r="H356" s="320"/>
      <c r="I356" s="320"/>
      <c r="J356" s="320"/>
      <c r="K356" s="320"/>
      <c r="L356" s="320"/>
      <c r="M356" s="320"/>
      <c r="N356" s="320"/>
      <c r="O356" s="320"/>
    </row>
    <row r="357">
      <c r="A357" s="320"/>
      <c r="B357" s="320"/>
      <c r="C357" s="320"/>
      <c r="D357" s="320"/>
      <c r="E357" s="320"/>
      <c r="F357" s="320"/>
      <c r="G357" s="320"/>
      <c r="H357" s="320"/>
      <c r="I357" s="320"/>
      <c r="J357" s="320"/>
      <c r="K357" s="320"/>
      <c r="L357" s="320"/>
      <c r="M357" s="320"/>
      <c r="N357" s="320"/>
      <c r="O357" s="320"/>
    </row>
    <row r="358">
      <c r="A358" s="320"/>
      <c r="B358" s="320"/>
      <c r="C358" s="320"/>
      <c r="D358" s="320"/>
      <c r="E358" s="320"/>
      <c r="F358" s="320"/>
      <c r="G358" s="320"/>
      <c r="H358" s="320"/>
      <c r="I358" s="320"/>
      <c r="J358" s="320"/>
      <c r="K358" s="320"/>
      <c r="L358" s="320"/>
      <c r="M358" s="320"/>
      <c r="N358" s="320"/>
      <c r="O358" s="320"/>
    </row>
    <row r="359">
      <c r="A359" s="320"/>
      <c r="B359" s="320"/>
      <c r="C359" s="320"/>
      <c r="D359" s="320"/>
      <c r="E359" s="320"/>
      <c r="F359" s="320"/>
      <c r="G359" s="320"/>
      <c r="H359" s="320"/>
      <c r="I359" s="320"/>
      <c r="J359" s="320"/>
      <c r="K359" s="320"/>
      <c r="L359" s="320"/>
      <c r="M359" s="320"/>
      <c r="N359" s="320"/>
      <c r="O359" s="320"/>
    </row>
    <row r="360">
      <c r="A360" s="320"/>
      <c r="B360" s="320"/>
      <c r="C360" s="320"/>
      <c r="D360" s="320"/>
      <c r="E360" s="320"/>
      <c r="F360" s="320"/>
      <c r="G360" s="320"/>
      <c r="H360" s="320"/>
      <c r="I360" s="320"/>
      <c r="J360" s="320"/>
      <c r="K360" s="320"/>
      <c r="L360" s="320"/>
      <c r="M360" s="320"/>
      <c r="N360" s="320"/>
      <c r="O360" s="320"/>
    </row>
    <row r="361">
      <c r="A361" s="320"/>
      <c r="B361" s="320"/>
      <c r="C361" s="320"/>
      <c r="D361" s="320"/>
      <c r="E361" s="320"/>
      <c r="F361" s="320"/>
      <c r="G361" s="320"/>
      <c r="H361" s="320"/>
      <c r="I361" s="320"/>
      <c r="J361" s="320"/>
      <c r="K361" s="320"/>
      <c r="L361" s="320"/>
      <c r="M361" s="320"/>
      <c r="N361" s="320"/>
      <c r="O361" s="320"/>
    </row>
    <row r="362">
      <c r="A362" s="320"/>
      <c r="B362" s="320"/>
      <c r="C362" s="320"/>
      <c r="D362" s="320"/>
      <c r="E362" s="320"/>
      <c r="F362" s="320"/>
      <c r="G362" s="320"/>
      <c r="H362" s="320"/>
      <c r="I362" s="320"/>
      <c r="J362" s="320"/>
      <c r="K362" s="320"/>
      <c r="L362" s="320"/>
      <c r="M362" s="320"/>
      <c r="N362" s="320"/>
      <c r="O362" s="320"/>
    </row>
    <row r="363">
      <c r="A363" s="320"/>
      <c r="B363" s="320"/>
      <c r="C363" s="320"/>
      <c r="D363" s="320"/>
      <c r="E363" s="320"/>
      <c r="F363" s="320"/>
      <c r="G363" s="320"/>
      <c r="H363" s="320"/>
      <c r="I363" s="320"/>
      <c r="J363" s="320"/>
      <c r="K363" s="320"/>
      <c r="L363" s="320"/>
      <c r="M363" s="320"/>
      <c r="N363" s="320"/>
      <c r="O363" s="320"/>
    </row>
    <row r="364">
      <c r="A364" s="320"/>
      <c r="B364" s="320"/>
      <c r="C364" s="320"/>
      <c r="D364" s="320"/>
      <c r="E364" s="320"/>
      <c r="F364" s="320"/>
      <c r="G364" s="320"/>
      <c r="H364" s="320"/>
      <c r="I364" s="320"/>
      <c r="J364" s="320"/>
      <c r="K364" s="320"/>
      <c r="L364" s="320"/>
      <c r="M364" s="320"/>
      <c r="N364" s="320"/>
      <c r="O364" s="320"/>
    </row>
    <row r="365">
      <c r="A365" s="320"/>
      <c r="B365" s="320"/>
      <c r="C365" s="320"/>
      <c r="D365" s="320"/>
      <c r="E365" s="320"/>
      <c r="F365" s="320"/>
      <c r="G365" s="320"/>
      <c r="H365" s="320"/>
      <c r="I365" s="320"/>
      <c r="J365" s="320"/>
      <c r="K365" s="320"/>
      <c r="L365" s="320"/>
      <c r="M365" s="320"/>
      <c r="N365" s="320"/>
      <c r="O365" s="320"/>
    </row>
    <row r="366">
      <c r="A366" s="320"/>
      <c r="B366" s="320"/>
      <c r="C366" s="320"/>
      <c r="D366" s="320"/>
      <c r="E366" s="320"/>
      <c r="F366" s="320"/>
      <c r="G366" s="320"/>
      <c r="H366" s="320"/>
      <c r="I366" s="320"/>
      <c r="J366" s="320"/>
      <c r="K366" s="320"/>
      <c r="L366" s="320"/>
      <c r="M366" s="320"/>
      <c r="N366" s="320"/>
      <c r="O366" s="320"/>
    </row>
    <row r="367">
      <c r="A367" s="320"/>
      <c r="B367" s="320"/>
      <c r="C367" s="320"/>
      <c r="D367" s="320"/>
      <c r="E367" s="320"/>
      <c r="F367" s="320"/>
      <c r="G367" s="320"/>
      <c r="H367" s="320"/>
      <c r="I367" s="320"/>
      <c r="J367" s="320"/>
      <c r="K367" s="320"/>
      <c r="L367" s="320"/>
      <c r="M367" s="320"/>
      <c r="N367" s="320"/>
      <c r="O367" s="320"/>
    </row>
    <row r="368">
      <c r="A368" s="320"/>
      <c r="B368" s="320"/>
      <c r="C368" s="320"/>
      <c r="D368" s="320"/>
      <c r="E368" s="320"/>
      <c r="F368" s="320"/>
      <c r="G368" s="320"/>
      <c r="H368" s="320"/>
      <c r="I368" s="320"/>
      <c r="J368" s="320"/>
      <c r="K368" s="320"/>
      <c r="L368" s="320"/>
      <c r="M368" s="320"/>
      <c r="N368" s="320"/>
      <c r="O368" s="320"/>
    </row>
    <row r="369">
      <c r="A369" s="320"/>
      <c r="B369" s="320"/>
      <c r="C369" s="320"/>
      <c r="D369" s="320"/>
      <c r="E369" s="320"/>
      <c r="F369" s="320"/>
      <c r="G369" s="320"/>
      <c r="H369" s="320"/>
      <c r="I369" s="320"/>
      <c r="J369" s="320"/>
      <c r="K369" s="320"/>
      <c r="L369" s="320"/>
      <c r="M369" s="320"/>
      <c r="N369" s="320"/>
      <c r="O369" s="320"/>
    </row>
    <row r="370">
      <c r="A370" s="320"/>
      <c r="B370" s="320"/>
      <c r="C370" s="320"/>
      <c r="D370" s="320"/>
      <c r="E370" s="320"/>
      <c r="F370" s="320"/>
      <c r="G370" s="320"/>
      <c r="H370" s="320"/>
      <c r="I370" s="320"/>
      <c r="J370" s="320"/>
      <c r="K370" s="320"/>
      <c r="L370" s="320"/>
      <c r="M370" s="320"/>
      <c r="N370" s="320"/>
      <c r="O370" s="320"/>
    </row>
    <row r="371">
      <c r="A371" s="320"/>
      <c r="B371" s="320"/>
      <c r="C371" s="320"/>
      <c r="D371" s="320"/>
      <c r="E371" s="320"/>
      <c r="F371" s="320"/>
      <c r="G371" s="320"/>
      <c r="H371" s="320"/>
      <c r="I371" s="320"/>
      <c r="J371" s="320"/>
      <c r="K371" s="320"/>
      <c r="L371" s="320"/>
      <c r="M371" s="320"/>
      <c r="N371" s="320"/>
      <c r="O371" s="320"/>
    </row>
    <row r="372">
      <c r="A372" s="320"/>
      <c r="B372" s="320"/>
      <c r="C372" s="320"/>
      <c r="D372" s="320"/>
      <c r="E372" s="320"/>
      <c r="F372" s="320"/>
      <c r="G372" s="320"/>
      <c r="H372" s="320"/>
      <c r="I372" s="320"/>
      <c r="J372" s="320"/>
      <c r="K372" s="320"/>
      <c r="L372" s="320"/>
      <c r="M372" s="320"/>
      <c r="N372" s="320"/>
      <c r="O372" s="320"/>
    </row>
    <row r="373">
      <c r="A373" s="320"/>
      <c r="B373" s="320"/>
      <c r="C373" s="320"/>
      <c r="D373" s="320"/>
      <c r="E373" s="320"/>
      <c r="F373" s="320"/>
      <c r="G373" s="320"/>
      <c r="H373" s="320"/>
      <c r="I373" s="320"/>
      <c r="J373" s="320"/>
      <c r="K373" s="320"/>
      <c r="L373" s="320"/>
      <c r="M373" s="320"/>
      <c r="N373" s="320"/>
      <c r="O373" s="320"/>
    </row>
    <row r="374">
      <c r="A374" s="320"/>
      <c r="B374" s="320"/>
      <c r="C374" s="320"/>
      <c r="D374" s="320"/>
      <c r="E374" s="320"/>
      <c r="F374" s="320"/>
      <c r="G374" s="320"/>
      <c r="H374" s="320"/>
      <c r="I374" s="320"/>
      <c r="J374" s="320"/>
      <c r="K374" s="320"/>
      <c r="L374" s="320"/>
      <c r="M374" s="320"/>
      <c r="N374" s="320"/>
      <c r="O374" s="320"/>
    </row>
    <row r="375">
      <c r="A375" s="320"/>
      <c r="B375" s="320"/>
      <c r="C375" s="320"/>
      <c r="D375" s="320"/>
      <c r="E375" s="320"/>
      <c r="F375" s="320"/>
      <c r="G375" s="320"/>
      <c r="H375" s="320"/>
      <c r="I375" s="320"/>
      <c r="J375" s="320"/>
      <c r="K375" s="320"/>
      <c r="L375" s="320"/>
      <c r="M375" s="320"/>
      <c r="N375" s="320"/>
      <c r="O375" s="320"/>
    </row>
    <row r="376">
      <c r="A376" s="320"/>
      <c r="B376" s="320"/>
      <c r="C376" s="320"/>
      <c r="D376" s="320"/>
      <c r="E376" s="320"/>
      <c r="F376" s="320"/>
      <c r="G376" s="320"/>
      <c r="H376" s="320"/>
      <c r="I376" s="320"/>
      <c r="J376" s="320"/>
      <c r="K376" s="320"/>
      <c r="L376" s="320"/>
      <c r="M376" s="320"/>
      <c r="N376" s="320"/>
      <c r="O376" s="320"/>
    </row>
    <row r="377">
      <c r="A377" s="320"/>
      <c r="B377" s="320"/>
      <c r="C377" s="320"/>
      <c r="D377" s="320"/>
      <c r="E377" s="320"/>
      <c r="F377" s="320"/>
      <c r="G377" s="320"/>
      <c r="H377" s="320"/>
      <c r="I377" s="320"/>
      <c r="J377" s="320"/>
      <c r="K377" s="320"/>
      <c r="L377" s="320"/>
      <c r="M377" s="320"/>
      <c r="N377" s="320"/>
      <c r="O377" s="320"/>
    </row>
    <row r="378">
      <c r="A378" s="320"/>
      <c r="B378" s="320"/>
      <c r="C378" s="320"/>
      <c r="D378" s="320"/>
      <c r="E378" s="320"/>
      <c r="F378" s="320"/>
      <c r="G378" s="320"/>
      <c r="H378" s="320"/>
      <c r="I378" s="320"/>
      <c r="J378" s="320"/>
      <c r="K378" s="320"/>
      <c r="L378" s="320"/>
      <c r="M378" s="320"/>
      <c r="N378" s="320"/>
      <c r="O378" s="320"/>
    </row>
    <row r="379">
      <c r="A379" s="320"/>
      <c r="B379" s="320"/>
      <c r="C379" s="320"/>
      <c r="D379" s="320"/>
      <c r="E379" s="320"/>
      <c r="F379" s="320"/>
      <c r="G379" s="320"/>
      <c r="H379" s="320"/>
      <c r="I379" s="320"/>
      <c r="J379" s="320"/>
      <c r="K379" s="320"/>
      <c r="L379" s="320"/>
      <c r="M379" s="320"/>
      <c r="N379" s="320"/>
      <c r="O379" s="320"/>
    </row>
    <row r="380">
      <c r="A380" s="320"/>
      <c r="B380" s="320"/>
      <c r="C380" s="320"/>
      <c r="D380" s="320"/>
      <c r="E380" s="320"/>
      <c r="F380" s="320"/>
      <c r="G380" s="320"/>
      <c r="H380" s="320"/>
      <c r="I380" s="320"/>
      <c r="J380" s="320"/>
      <c r="K380" s="320"/>
      <c r="L380" s="320"/>
      <c r="M380" s="320"/>
      <c r="N380" s="320"/>
      <c r="O380" s="320"/>
    </row>
    <row r="381">
      <c r="A381" s="320"/>
      <c r="B381" s="320"/>
      <c r="C381" s="320"/>
      <c r="D381" s="320"/>
      <c r="E381" s="320"/>
      <c r="F381" s="320"/>
      <c r="G381" s="320"/>
      <c r="H381" s="320"/>
      <c r="I381" s="320"/>
      <c r="J381" s="320"/>
      <c r="K381" s="320"/>
      <c r="L381" s="320"/>
      <c r="M381" s="320"/>
      <c r="N381" s="320"/>
      <c r="O381" s="320"/>
    </row>
    <row r="382">
      <c r="A382" s="320"/>
      <c r="B382" s="320"/>
      <c r="C382" s="320"/>
      <c r="D382" s="320"/>
      <c r="E382" s="320"/>
      <c r="F382" s="320"/>
      <c r="G382" s="320"/>
      <c r="H382" s="320"/>
      <c r="I382" s="320"/>
      <c r="J382" s="320"/>
      <c r="K382" s="320"/>
      <c r="L382" s="320"/>
      <c r="M382" s="320"/>
      <c r="N382" s="320"/>
      <c r="O382" s="320"/>
    </row>
    <row r="383">
      <c r="A383" s="320"/>
      <c r="B383" s="320"/>
      <c r="C383" s="320"/>
      <c r="D383" s="320"/>
      <c r="E383" s="320"/>
      <c r="F383" s="320"/>
      <c r="G383" s="320"/>
      <c r="H383" s="320"/>
      <c r="I383" s="320"/>
      <c r="J383" s="320"/>
      <c r="K383" s="320"/>
      <c r="L383" s="320"/>
      <c r="M383" s="320"/>
      <c r="N383" s="320"/>
      <c r="O383" s="320"/>
    </row>
    <row r="384">
      <c r="A384" s="320"/>
      <c r="B384" s="320"/>
      <c r="C384" s="320"/>
      <c r="D384" s="320"/>
      <c r="E384" s="320"/>
      <c r="F384" s="320"/>
      <c r="G384" s="320"/>
      <c r="H384" s="320"/>
      <c r="I384" s="320"/>
      <c r="J384" s="320"/>
      <c r="K384" s="320"/>
      <c r="L384" s="320"/>
      <c r="M384" s="320"/>
      <c r="N384" s="320"/>
      <c r="O384" s="320"/>
    </row>
    <row r="385">
      <c r="A385" s="320"/>
      <c r="B385" s="320"/>
      <c r="C385" s="320"/>
      <c r="D385" s="320"/>
      <c r="E385" s="320"/>
      <c r="F385" s="320"/>
      <c r="G385" s="320"/>
      <c r="H385" s="320"/>
      <c r="I385" s="320"/>
      <c r="J385" s="320"/>
      <c r="K385" s="320"/>
      <c r="L385" s="320"/>
      <c r="M385" s="320"/>
      <c r="N385" s="320"/>
      <c r="O385" s="320"/>
    </row>
    <row r="386">
      <c r="A386" s="320"/>
      <c r="B386" s="320"/>
      <c r="C386" s="320"/>
      <c r="D386" s="320"/>
      <c r="E386" s="320"/>
      <c r="F386" s="320"/>
      <c r="G386" s="320"/>
      <c r="H386" s="320"/>
      <c r="I386" s="320"/>
      <c r="J386" s="320"/>
      <c r="K386" s="320"/>
      <c r="L386" s="320"/>
      <c r="M386" s="320"/>
      <c r="N386" s="320"/>
      <c r="O386" s="320"/>
    </row>
    <row r="387">
      <c r="A387" s="320"/>
      <c r="B387" s="320"/>
      <c r="C387" s="320"/>
      <c r="D387" s="320"/>
      <c r="E387" s="320"/>
      <c r="F387" s="320"/>
      <c r="G387" s="320"/>
      <c r="H387" s="320"/>
      <c r="I387" s="320"/>
      <c r="J387" s="320"/>
      <c r="K387" s="320"/>
      <c r="L387" s="320"/>
      <c r="M387" s="320"/>
      <c r="N387" s="320"/>
      <c r="O387" s="320"/>
    </row>
    <row r="388">
      <c r="A388" s="320"/>
      <c r="B388" s="320"/>
      <c r="C388" s="320"/>
      <c r="D388" s="320"/>
      <c r="E388" s="320"/>
      <c r="F388" s="320"/>
      <c r="G388" s="320"/>
      <c r="H388" s="320"/>
      <c r="I388" s="320"/>
      <c r="J388" s="320"/>
      <c r="K388" s="320"/>
      <c r="L388" s="320"/>
      <c r="M388" s="320"/>
      <c r="N388" s="320"/>
      <c r="O388" s="320"/>
    </row>
    <row r="389">
      <c r="A389" s="320"/>
      <c r="B389" s="320"/>
      <c r="C389" s="320"/>
      <c r="D389" s="320"/>
      <c r="E389" s="320"/>
      <c r="F389" s="320"/>
      <c r="G389" s="320"/>
      <c r="H389" s="320"/>
      <c r="I389" s="320"/>
      <c r="J389" s="320"/>
      <c r="K389" s="320"/>
      <c r="L389" s="320"/>
      <c r="M389" s="320"/>
      <c r="N389" s="320"/>
      <c r="O389" s="320"/>
    </row>
    <row r="390">
      <c r="A390" s="320"/>
      <c r="B390" s="320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M390" s="320"/>
      <c r="N390" s="320"/>
      <c r="O390" s="320"/>
    </row>
    <row r="391">
      <c r="A391" s="320"/>
      <c r="B391" s="320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M391" s="320"/>
      <c r="N391" s="320"/>
      <c r="O391" s="320"/>
    </row>
    <row r="392">
      <c r="A392" s="320"/>
      <c r="B392" s="320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M392" s="320"/>
      <c r="N392" s="320"/>
      <c r="O392" s="320"/>
    </row>
    <row r="393">
      <c r="A393" s="320"/>
      <c r="B393" s="320"/>
      <c r="C393" s="320"/>
      <c r="D393" s="320"/>
      <c r="E393" s="320"/>
      <c r="F393" s="320"/>
      <c r="G393" s="320"/>
      <c r="H393" s="320"/>
      <c r="I393" s="320"/>
      <c r="J393" s="320"/>
      <c r="K393" s="320"/>
      <c r="L393" s="320"/>
      <c r="M393" s="320"/>
      <c r="N393" s="320"/>
      <c r="O393" s="320"/>
    </row>
    <row r="394">
      <c r="A394" s="320"/>
      <c r="B394" s="320"/>
      <c r="C394" s="320"/>
      <c r="D394" s="320"/>
      <c r="E394" s="320"/>
      <c r="F394" s="320"/>
      <c r="G394" s="320"/>
      <c r="H394" s="320"/>
      <c r="I394" s="320"/>
      <c r="J394" s="320"/>
      <c r="K394" s="320"/>
      <c r="L394" s="320"/>
      <c r="M394" s="320"/>
      <c r="N394" s="320"/>
      <c r="O394" s="320"/>
    </row>
    <row r="395">
      <c r="A395" s="320"/>
      <c r="B395" s="320"/>
      <c r="C395" s="320"/>
      <c r="D395" s="320"/>
      <c r="E395" s="320"/>
      <c r="F395" s="320"/>
      <c r="G395" s="320"/>
      <c r="H395" s="320"/>
      <c r="I395" s="320"/>
      <c r="J395" s="320"/>
      <c r="K395" s="320"/>
      <c r="L395" s="320"/>
      <c r="M395" s="320"/>
      <c r="N395" s="320"/>
      <c r="O395" s="320"/>
    </row>
    <row r="396">
      <c r="A396" s="320"/>
      <c r="B396" s="320"/>
      <c r="C396" s="320"/>
      <c r="D396" s="320"/>
      <c r="E396" s="320"/>
      <c r="F396" s="320"/>
      <c r="G396" s="320"/>
      <c r="H396" s="320"/>
      <c r="I396" s="320"/>
      <c r="J396" s="320"/>
      <c r="K396" s="320"/>
      <c r="L396" s="320"/>
      <c r="M396" s="320"/>
      <c r="N396" s="320"/>
      <c r="O396" s="320"/>
    </row>
    <row r="397">
      <c r="A397" s="320"/>
      <c r="B397" s="320"/>
      <c r="C397" s="320"/>
      <c r="D397" s="320"/>
      <c r="E397" s="320"/>
      <c r="F397" s="320"/>
      <c r="G397" s="320"/>
      <c r="H397" s="320"/>
      <c r="I397" s="320"/>
      <c r="J397" s="320"/>
      <c r="K397" s="320"/>
      <c r="L397" s="320"/>
      <c r="M397" s="320"/>
      <c r="N397" s="320"/>
      <c r="O397" s="320"/>
    </row>
    <row r="398">
      <c r="A398" s="320"/>
      <c r="B398" s="320"/>
      <c r="C398" s="320"/>
      <c r="D398" s="320"/>
      <c r="E398" s="320"/>
      <c r="F398" s="320"/>
      <c r="G398" s="320"/>
      <c r="H398" s="320"/>
      <c r="I398" s="320"/>
      <c r="J398" s="320"/>
      <c r="K398" s="320"/>
      <c r="L398" s="320"/>
      <c r="M398" s="320"/>
      <c r="N398" s="320"/>
      <c r="O398" s="320"/>
    </row>
    <row r="399">
      <c r="A399" s="320"/>
      <c r="B399" s="320"/>
      <c r="C399" s="320"/>
      <c r="D399" s="320"/>
      <c r="E399" s="320"/>
      <c r="F399" s="320"/>
      <c r="G399" s="320"/>
      <c r="H399" s="320"/>
      <c r="I399" s="320"/>
      <c r="J399" s="320"/>
      <c r="K399" s="320"/>
      <c r="L399" s="320"/>
      <c r="M399" s="320"/>
      <c r="N399" s="320"/>
      <c r="O399" s="320"/>
    </row>
    <row r="400">
      <c r="A400" s="320"/>
      <c r="B400" s="320"/>
      <c r="C400" s="320"/>
      <c r="D400" s="320"/>
      <c r="E400" s="320"/>
      <c r="F400" s="320"/>
      <c r="G400" s="320"/>
      <c r="H400" s="320"/>
      <c r="I400" s="320"/>
      <c r="J400" s="320"/>
      <c r="K400" s="320"/>
      <c r="L400" s="320"/>
      <c r="M400" s="320"/>
      <c r="N400" s="320"/>
      <c r="O400" s="320"/>
    </row>
    <row r="401">
      <c r="A401" s="320"/>
      <c r="B401" s="320"/>
      <c r="C401" s="320"/>
      <c r="D401" s="320"/>
      <c r="E401" s="320"/>
      <c r="F401" s="320"/>
      <c r="G401" s="320"/>
      <c r="H401" s="320"/>
      <c r="I401" s="320"/>
      <c r="J401" s="320"/>
      <c r="K401" s="320"/>
      <c r="L401" s="320"/>
      <c r="M401" s="320"/>
      <c r="N401" s="320"/>
      <c r="O401" s="320"/>
    </row>
    <row r="402">
      <c r="A402" s="320"/>
      <c r="B402" s="320"/>
      <c r="C402" s="320"/>
      <c r="D402" s="320"/>
      <c r="E402" s="320"/>
      <c r="F402" s="320"/>
      <c r="G402" s="320"/>
      <c r="H402" s="320"/>
      <c r="I402" s="320"/>
      <c r="J402" s="320"/>
      <c r="K402" s="320"/>
      <c r="L402" s="320"/>
      <c r="M402" s="320"/>
      <c r="N402" s="320"/>
      <c r="O402" s="320"/>
    </row>
    <row r="403">
      <c r="A403" s="320"/>
      <c r="B403" s="320"/>
      <c r="C403" s="320"/>
      <c r="D403" s="320"/>
      <c r="E403" s="320"/>
      <c r="F403" s="320"/>
      <c r="G403" s="320"/>
      <c r="H403" s="320"/>
      <c r="I403" s="320"/>
      <c r="J403" s="320"/>
      <c r="K403" s="320"/>
      <c r="L403" s="320"/>
      <c r="M403" s="320"/>
      <c r="N403" s="320"/>
      <c r="O403" s="320"/>
    </row>
    <row r="404">
      <c r="A404" s="320"/>
      <c r="B404" s="320"/>
      <c r="C404" s="320"/>
      <c r="D404" s="320"/>
      <c r="E404" s="320"/>
      <c r="F404" s="320"/>
      <c r="G404" s="320"/>
      <c r="H404" s="320"/>
      <c r="I404" s="320"/>
      <c r="J404" s="320"/>
      <c r="K404" s="320"/>
      <c r="L404" s="320"/>
      <c r="M404" s="320"/>
      <c r="N404" s="320"/>
      <c r="O404" s="320"/>
    </row>
    <row r="405">
      <c r="A405" s="320"/>
      <c r="B405" s="320"/>
      <c r="C405" s="320"/>
      <c r="D405" s="320"/>
      <c r="E405" s="320"/>
      <c r="F405" s="320"/>
      <c r="G405" s="320"/>
      <c r="H405" s="320"/>
      <c r="I405" s="320"/>
      <c r="J405" s="320"/>
      <c r="K405" s="320"/>
      <c r="L405" s="320"/>
      <c r="M405" s="320"/>
      <c r="N405" s="320"/>
      <c r="O405" s="320"/>
    </row>
    <row r="406">
      <c r="A406" s="320"/>
      <c r="B406" s="320"/>
      <c r="C406" s="320"/>
      <c r="D406" s="320"/>
      <c r="E406" s="320"/>
      <c r="F406" s="320"/>
      <c r="G406" s="320"/>
      <c r="H406" s="320"/>
      <c r="I406" s="320"/>
      <c r="J406" s="320"/>
      <c r="K406" s="320"/>
      <c r="L406" s="320"/>
      <c r="M406" s="320"/>
      <c r="N406" s="320"/>
      <c r="O406" s="320"/>
    </row>
    <row r="407">
      <c r="A407" s="320"/>
      <c r="B407" s="320"/>
      <c r="C407" s="320"/>
      <c r="D407" s="320"/>
      <c r="E407" s="320"/>
      <c r="F407" s="320"/>
      <c r="G407" s="320"/>
      <c r="H407" s="320"/>
      <c r="I407" s="320"/>
      <c r="J407" s="320"/>
      <c r="K407" s="320"/>
      <c r="L407" s="320"/>
      <c r="M407" s="320"/>
      <c r="N407" s="320"/>
      <c r="O407" s="320"/>
    </row>
    <row r="408">
      <c r="A408" s="320"/>
      <c r="B408" s="320"/>
      <c r="C408" s="320"/>
      <c r="D408" s="320"/>
      <c r="E408" s="320"/>
      <c r="F408" s="320"/>
      <c r="G408" s="320"/>
      <c r="H408" s="320"/>
      <c r="I408" s="320"/>
      <c r="J408" s="320"/>
      <c r="K408" s="320"/>
      <c r="L408" s="320"/>
      <c r="M408" s="320"/>
      <c r="N408" s="320"/>
      <c r="O408" s="320"/>
    </row>
    <row r="409">
      <c r="A409" s="320"/>
      <c r="B409" s="320"/>
      <c r="C409" s="320"/>
      <c r="D409" s="320"/>
      <c r="E409" s="320"/>
      <c r="F409" s="320"/>
      <c r="G409" s="320"/>
      <c r="H409" s="320"/>
      <c r="I409" s="320"/>
      <c r="J409" s="320"/>
      <c r="K409" s="320"/>
      <c r="L409" s="320"/>
      <c r="M409" s="320"/>
      <c r="N409" s="320"/>
      <c r="O409" s="320"/>
    </row>
    <row r="410">
      <c r="A410" s="320"/>
      <c r="B410" s="320"/>
      <c r="C410" s="320"/>
      <c r="D410" s="320"/>
      <c r="E410" s="320"/>
      <c r="F410" s="320"/>
      <c r="G410" s="320"/>
      <c r="H410" s="320"/>
      <c r="I410" s="320"/>
      <c r="J410" s="320"/>
      <c r="K410" s="320"/>
      <c r="L410" s="320"/>
      <c r="M410" s="320"/>
      <c r="N410" s="320"/>
      <c r="O410" s="320"/>
    </row>
    <row r="411">
      <c r="A411" s="320"/>
      <c r="B411" s="320"/>
      <c r="C411" s="320"/>
      <c r="D411" s="320"/>
      <c r="E411" s="320"/>
      <c r="F411" s="320"/>
      <c r="G411" s="320"/>
      <c r="H411" s="320"/>
      <c r="I411" s="320"/>
      <c r="J411" s="320"/>
      <c r="K411" s="320"/>
      <c r="L411" s="320"/>
      <c r="M411" s="320"/>
      <c r="N411" s="320"/>
      <c r="O411" s="320"/>
    </row>
    <row r="412">
      <c r="A412" s="320"/>
      <c r="B412" s="320"/>
      <c r="C412" s="320"/>
      <c r="D412" s="320"/>
      <c r="E412" s="320"/>
      <c r="F412" s="320"/>
      <c r="G412" s="320"/>
      <c r="H412" s="320"/>
      <c r="I412" s="320"/>
      <c r="J412" s="320"/>
      <c r="K412" s="320"/>
      <c r="L412" s="320"/>
      <c r="M412" s="320"/>
      <c r="N412" s="320"/>
      <c r="O412" s="320"/>
    </row>
    <row r="413">
      <c r="A413" s="320"/>
      <c r="B413" s="320"/>
      <c r="C413" s="320"/>
      <c r="D413" s="320"/>
      <c r="E413" s="320"/>
      <c r="F413" s="320"/>
      <c r="G413" s="320"/>
      <c r="H413" s="320"/>
      <c r="I413" s="320"/>
      <c r="J413" s="320"/>
      <c r="K413" s="320"/>
      <c r="L413" s="320"/>
      <c r="M413" s="320"/>
      <c r="N413" s="320"/>
      <c r="O413" s="320"/>
    </row>
    <row r="414">
      <c r="A414" s="320"/>
      <c r="B414" s="320"/>
      <c r="C414" s="320"/>
      <c r="D414" s="320"/>
      <c r="E414" s="320"/>
      <c r="F414" s="320"/>
      <c r="G414" s="320"/>
      <c r="H414" s="320"/>
      <c r="I414" s="320"/>
      <c r="J414" s="320"/>
      <c r="K414" s="320"/>
      <c r="L414" s="320"/>
      <c r="M414" s="320"/>
      <c r="N414" s="320"/>
      <c r="O414" s="320"/>
    </row>
    <row r="415">
      <c r="A415" s="320"/>
      <c r="B415" s="320"/>
      <c r="C415" s="320"/>
      <c r="D415" s="320"/>
      <c r="E415" s="320"/>
      <c r="F415" s="320"/>
      <c r="G415" s="320"/>
      <c r="H415" s="320"/>
      <c r="I415" s="320"/>
      <c r="J415" s="320"/>
      <c r="K415" s="320"/>
      <c r="L415" s="320"/>
      <c r="M415" s="320"/>
      <c r="N415" s="320"/>
      <c r="O415" s="320"/>
    </row>
    <row r="416">
      <c r="A416" s="320"/>
      <c r="B416" s="320"/>
      <c r="C416" s="320"/>
      <c r="D416" s="320"/>
      <c r="E416" s="320"/>
      <c r="F416" s="320"/>
      <c r="G416" s="320"/>
      <c r="H416" s="320"/>
      <c r="I416" s="320"/>
      <c r="J416" s="320"/>
      <c r="K416" s="320"/>
      <c r="L416" s="320"/>
      <c r="M416" s="320"/>
      <c r="N416" s="320"/>
      <c r="O416" s="320"/>
    </row>
    <row r="417">
      <c r="A417" s="320"/>
      <c r="B417" s="320"/>
      <c r="C417" s="320"/>
      <c r="D417" s="320"/>
      <c r="E417" s="320"/>
      <c r="F417" s="320"/>
      <c r="G417" s="320"/>
      <c r="H417" s="320"/>
      <c r="I417" s="320"/>
      <c r="J417" s="320"/>
      <c r="K417" s="320"/>
      <c r="L417" s="320"/>
      <c r="M417" s="320"/>
      <c r="N417" s="320"/>
      <c r="O417" s="320"/>
    </row>
    <row r="418">
      <c r="A418" s="320"/>
      <c r="B418" s="320"/>
      <c r="C418" s="320"/>
      <c r="D418" s="320"/>
      <c r="E418" s="320"/>
      <c r="F418" s="320"/>
      <c r="G418" s="320"/>
      <c r="H418" s="320"/>
      <c r="I418" s="320"/>
      <c r="J418" s="320"/>
      <c r="K418" s="320"/>
      <c r="L418" s="320"/>
      <c r="M418" s="320"/>
      <c r="N418" s="320"/>
      <c r="O418" s="320"/>
    </row>
    <row r="419">
      <c r="A419" s="320"/>
      <c r="B419" s="320"/>
      <c r="C419" s="320"/>
      <c r="D419" s="320"/>
      <c r="E419" s="320"/>
      <c r="F419" s="320"/>
      <c r="G419" s="320"/>
      <c r="H419" s="320"/>
      <c r="I419" s="320"/>
      <c r="J419" s="320"/>
      <c r="K419" s="320"/>
      <c r="L419" s="320"/>
      <c r="M419" s="320"/>
      <c r="N419" s="320"/>
      <c r="O419" s="320"/>
    </row>
    <row r="420">
      <c r="A420" s="320"/>
      <c r="B420" s="320"/>
      <c r="C420" s="320"/>
      <c r="D420" s="320"/>
      <c r="E420" s="320"/>
      <c r="F420" s="320"/>
      <c r="G420" s="320"/>
      <c r="H420" s="320"/>
      <c r="I420" s="320"/>
      <c r="J420" s="320"/>
      <c r="K420" s="320"/>
      <c r="L420" s="320"/>
      <c r="M420" s="320"/>
      <c r="N420" s="320"/>
      <c r="O420" s="320"/>
    </row>
    <row r="421">
      <c r="A421" s="320"/>
      <c r="B421" s="320"/>
      <c r="C421" s="320"/>
      <c r="D421" s="320"/>
      <c r="E421" s="320"/>
      <c r="F421" s="320"/>
      <c r="G421" s="320"/>
      <c r="H421" s="320"/>
      <c r="I421" s="320"/>
      <c r="J421" s="320"/>
      <c r="K421" s="320"/>
      <c r="L421" s="320"/>
      <c r="M421" s="320"/>
      <c r="N421" s="320"/>
      <c r="O421" s="320"/>
    </row>
    <row r="422">
      <c r="A422" s="320"/>
      <c r="B422" s="320"/>
      <c r="C422" s="320"/>
      <c r="D422" s="320"/>
      <c r="E422" s="320"/>
      <c r="F422" s="320"/>
      <c r="G422" s="320"/>
      <c r="H422" s="320"/>
      <c r="I422" s="320"/>
      <c r="J422" s="320"/>
      <c r="K422" s="320"/>
      <c r="L422" s="320"/>
      <c r="M422" s="320"/>
      <c r="N422" s="320"/>
      <c r="O422" s="320"/>
    </row>
    <row r="423">
      <c r="A423" s="320"/>
      <c r="B423" s="320"/>
      <c r="C423" s="320"/>
      <c r="D423" s="320"/>
      <c r="E423" s="320"/>
      <c r="F423" s="320"/>
      <c r="G423" s="320"/>
      <c r="H423" s="320"/>
      <c r="I423" s="320"/>
      <c r="J423" s="320"/>
      <c r="K423" s="320"/>
      <c r="L423" s="320"/>
      <c r="M423" s="320"/>
      <c r="N423" s="320"/>
      <c r="O423" s="320"/>
    </row>
    <row r="424">
      <c r="A424" s="320"/>
      <c r="B424" s="320"/>
      <c r="C424" s="320"/>
      <c r="D424" s="320"/>
      <c r="E424" s="320"/>
      <c r="F424" s="320"/>
      <c r="G424" s="320"/>
      <c r="H424" s="320"/>
      <c r="I424" s="320"/>
      <c r="J424" s="320"/>
      <c r="K424" s="320"/>
      <c r="L424" s="320"/>
      <c r="M424" s="320"/>
      <c r="N424" s="320"/>
      <c r="O424" s="320"/>
    </row>
    <row r="425">
      <c r="A425" s="320"/>
      <c r="B425" s="320"/>
      <c r="C425" s="320"/>
      <c r="D425" s="320"/>
      <c r="E425" s="320"/>
      <c r="F425" s="320"/>
      <c r="G425" s="320"/>
      <c r="H425" s="320"/>
      <c r="I425" s="320"/>
      <c r="J425" s="320"/>
      <c r="K425" s="320"/>
      <c r="L425" s="320"/>
      <c r="M425" s="320"/>
      <c r="N425" s="320"/>
      <c r="O425" s="320"/>
    </row>
    <row r="426">
      <c r="A426" s="320"/>
      <c r="B426" s="320"/>
      <c r="C426" s="320"/>
      <c r="D426" s="320"/>
      <c r="E426" s="320"/>
      <c r="F426" s="320"/>
      <c r="G426" s="320"/>
      <c r="H426" s="320"/>
      <c r="I426" s="320"/>
      <c r="J426" s="320"/>
      <c r="K426" s="320"/>
      <c r="L426" s="320"/>
      <c r="M426" s="320"/>
      <c r="N426" s="320"/>
      <c r="O426" s="320"/>
    </row>
    <row r="427">
      <c r="A427" s="320"/>
      <c r="B427" s="320"/>
      <c r="C427" s="320"/>
      <c r="D427" s="320"/>
      <c r="E427" s="320"/>
      <c r="F427" s="320"/>
      <c r="G427" s="320"/>
      <c r="H427" s="320"/>
      <c r="I427" s="320"/>
      <c r="J427" s="320"/>
      <c r="K427" s="320"/>
      <c r="L427" s="320"/>
      <c r="M427" s="320"/>
      <c r="N427" s="320"/>
      <c r="O427" s="320"/>
    </row>
    <row r="428">
      <c r="A428" s="320"/>
      <c r="B428" s="320"/>
      <c r="C428" s="320"/>
      <c r="D428" s="320"/>
      <c r="E428" s="320"/>
      <c r="F428" s="320"/>
      <c r="G428" s="320"/>
      <c r="H428" s="320"/>
      <c r="I428" s="320"/>
      <c r="J428" s="320"/>
      <c r="K428" s="320"/>
      <c r="L428" s="320"/>
      <c r="M428" s="320"/>
      <c r="N428" s="320"/>
      <c r="O428" s="320"/>
    </row>
    <row r="429">
      <c r="A429" s="320"/>
      <c r="B429" s="320"/>
      <c r="C429" s="320"/>
      <c r="D429" s="320"/>
      <c r="E429" s="320"/>
      <c r="F429" s="320"/>
      <c r="G429" s="320"/>
      <c r="H429" s="320"/>
      <c r="I429" s="320"/>
      <c r="J429" s="320"/>
      <c r="K429" s="320"/>
      <c r="L429" s="320"/>
      <c r="M429" s="320"/>
      <c r="N429" s="320"/>
      <c r="O429" s="320"/>
    </row>
    <row r="430">
      <c r="A430" s="320"/>
      <c r="B430" s="320"/>
      <c r="C430" s="320"/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  <c r="N430" s="320"/>
      <c r="O430" s="320"/>
    </row>
    <row r="431">
      <c r="A431" s="320"/>
      <c r="B431" s="320"/>
      <c r="C431" s="320"/>
      <c r="D431" s="320"/>
      <c r="E431" s="320"/>
      <c r="F431" s="320"/>
      <c r="G431" s="320"/>
      <c r="H431" s="320"/>
      <c r="I431" s="320"/>
      <c r="J431" s="320"/>
      <c r="K431" s="320"/>
      <c r="L431" s="320"/>
      <c r="M431" s="320"/>
      <c r="N431" s="320"/>
      <c r="O431" s="320"/>
    </row>
    <row r="432">
      <c r="A432" s="320"/>
      <c r="B432" s="320"/>
      <c r="C432" s="320"/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  <c r="N432" s="320"/>
      <c r="O432" s="320"/>
    </row>
    <row r="433">
      <c r="A433" s="320"/>
      <c r="B433" s="320"/>
      <c r="C433" s="320"/>
      <c r="D433" s="320"/>
      <c r="E433" s="320"/>
      <c r="F433" s="320"/>
      <c r="G433" s="320"/>
      <c r="H433" s="320"/>
      <c r="I433" s="320"/>
      <c r="J433" s="320"/>
      <c r="K433" s="320"/>
      <c r="L433" s="320"/>
      <c r="M433" s="320"/>
      <c r="N433" s="320"/>
      <c r="O433" s="320"/>
    </row>
    <row r="434">
      <c r="A434" s="320"/>
      <c r="B434" s="320"/>
      <c r="C434" s="320"/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  <c r="N434" s="320"/>
      <c r="O434" s="320"/>
    </row>
    <row r="435">
      <c r="A435" s="320"/>
      <c r="B435" s="320"/>
      <c r="C435" s="320"/>
      <c r="D435" s="320"/>
      <c r="E435" s="320"/>
      <c r="F435" s="320"/>
      <c r="G435" s="320"/>
      <c r="H435" s="320"/>
      <c r="I435" s="320"/>
      <c r="J435" s="320"/>
      <c r="K435" s="320"/>
      <c r="L435" s="320"/>
      <c r="M435" s="320"/>
      <c r="N435" s="320"/>
      <c r="O435" s="320"/>
    </row>
    <row r="436">
      <c r="A436" s="320"/>
      <c r="B436" s="320"/>
      <c r="C436" s="320"/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  <c r="N436" s="320"/>
      <c r="O436" s="320"/>
    </row>
    <row r="437">
      <c r="A437" s="320"/>
      <c r="B437" s="320"/>
      <c r="C437" s="320"/>
      <c r="D437" s="320"/>
      <c r="E437" s="320"/>
      <c r="F437" s="320"/>
      <c r="G437" s="320"/>
      <c r="H437" s="320"/>
      <c r="I437" s="320"/>
      <c r="J437" s="320"/>
      <c r="K437" s="320"/>
      <c r="L437" s="320"/>
      <c r="M437" s="320"/>
      <c r="N437" s="320"/>
      <c r="O437" s="320"/>
    </row>
    <row r="438">
      <c r="A438" s="320"/>
      <c r="B438" s="320"/>
      <c r="C438" s="320"/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  <c r="N438" s="320"/>
      <c r="O438" s="320"/>
    </row>
    <row r="439">
      <c r="A439" s="320"/>
      <c r="B439" s="320"/>
      <c r="C439" s="320"/>
      <c r="D439" s="320"/>
      <c r="E439" s="320"/>
      <c r="F439" s="320"/>
      <c r="G439" s="320"/>
      <c r="H439" s="320"/>
      <c r="I439" s="320"/>
      <c r="J439" s="320"/>
      <c r="K439" s="320"/>
      <c r="L439" s="320"/>
      <c r="M439" s="320"/>
      <c r="N439" s="320"/>
      <c r="O439" s="320"/>
    </row>
    <row r="440">
      <c r="A440" s="320"/>
      <c r="B440" s="320"/>
      <c r="C440" s="320"/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  <c r="N440" s="320"/>
      <c r="O440" s="320"/>
    </row>
    <row r="441">
      <c r="A441" s="320"/>
      <c r="B441" s="320"/>
      <c r="C441" s="320"/>
      <c r="D441" s="320"/>
      <c r="E441" s="320"/>
      <c r="F441" s="320"/>
      <c r="G441" s="320"/>
      <c r="H441" s="320"/>
      <c r="I441" s="320"/>
      <c r="J441" s="320"/>
      <c r="K441" s="320"/>
      <c r="L441" s="320"/>
      <c r="M441" s="320"/>
      <c r="N441" s="320"/>
      <c r="O441" s="320"/>
    </row>
    <row r="442">
      <c r="A442" s="320"/>
      <c r="B442" s="320"/>
      <c r="C442" s="320"/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  <c r="N442" s="320"/>
      <c r="O442" s="320"/>
    </row>
    <row r="443">
      <c r="A443" s="320"/>
      <c r="B443" s="320"/>
      <c r="C443" s="320"/>
      <c r="D443" s="320"/>
      <c r="E443" s="320"/>
      <c r="F443" s="320"/>
      <c r="G443" s="320"/>
      <c r="H443" s="320"/>
      <c r="I443" s="320"/>
      <c r="J443" s="320"/>
      <c r="K443" s="320"/>
      <c r="L443" s="320"/>
      <c r="M443" s="320"/>
      <c r="N443" s="320"/>
      <c r="O443" s="320"/>
    </row>
    <row r="444">
      <c r="A444" s="320"/>
      <c r="B444" s="320"/>
      <c r="C444" s="320"/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  <c r="N444" s="320"/>
      <c r="O444" s="320"/>
    </row>
    <row r="445">
      <c r="A445" s="320"/>
      <c r="B445" s="320"/>
      <c r="C445" s="320"/>
      <c r="D445" s="320"/>
      <c r="E445" s="320"/>
      <c r="F445" s="320"/>
      <c r="G445" s="320"/>
      <c r="H445" s="320"/>
      <c r="I445" s="320"/>
      <c r="J445" s="320"/>
      <c r="K445" s="320"/>
      <c r="L445" s="320"/>
      <c r="M445" s="320"/>
      <c r="N445" s="320"/>
      <c r="O445" s="320"/>
    </row>
    <row r="446">
      <c r="A446" s="320"/>
      <c r="B446" s="320"/>
      <c r="C446" s="320"/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  <c r="N446" s="320"/>
      <c r="O446" s="320"/>
    </row>
    <row r="447">
      <c r="A447" s="320"/>
      <c r="B447" s="320"/>
      <c r="C447" s="320"/>
      <c r="D447" s="320"/>
      <c r="E447" s="320"/>
      <c r="F447" s="320"/>
      <c r="G447" s="320"/>
      <c r="H447" s="320"/>
      <c r="I447" s="320"/>
      <c r="J447" s="320"/>
      <c r="K447" s="320"/>
      <c r="L447" s="320"/>
      <c r="M447" s="320"/>
      <c r="N447" s="320"/>
      <c r="O447" s="320"/>
    </row>
    <row r="448">
      <c r="A448" s="320"/>
      <c r="B448" s="320"/>
      <c r="C448" s="320"/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  <c r="N448" s="320"/>
      <c r="O448" s="320"/>
    </row>
    <row r="449">
      <c r="A449" s="320"/>
      <c r="B449" s="320"/>
      <c r="C449" s="320"/>
      <c r="D449" s="320"/>
      <c r="E449" s="320"/>
      <c r="F449" s="320"/>
      <c r="G449" s="320"/>
      <c r="H449" s="320"/>
      <c r="I449" s="320"/>
      <c r="J449" s="320"/>
      <c r="K449" s="320"/>
      <c r="L449" s="320"/>
      <c r="M449" s="320"/>
      <c r="N449" s="320"/>
      <c r="O449" s="320"/>
    </row>
    <row r="450">
      <c r="A450" s="320"/>
      <c r="B450" s="320"/>
      <c r="C450" s="320"/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  <c r="N450" s="320"/>
      <c r="O450" s="320"/>
    </row>
    <row r="451">
      <c r="A451" s="320"/>
      <c r="B451" s="320"/>
      <c r="C451" s="320"/>
      <c r="D451" s="320"/>
      <c r="E451" s="320"/>
      <c r="F451" s="320"/>
      <c r="G451" s="320"/>
      <c r="H451" s="320"/>
      <c r="I451" s="320"/>
      <c r="J451" s="320"/>
      <c r="K451" s="320"/>
      <c r="L451" s="320"/>
      <c r="M451" s="320"/>
      <c r="N451" s="320"/>
      <c r="O451" s="320"/>
    </row>
    <row r="452">
      <c r="A452" s="320"/>
      <c r="B452" s="320"/>
      <c r="C452" s="320"/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  <c r="N452" s="320"/>
      <c r="O452" s="320"/>
    </row>
    <row r="453">
      <c r="A453" s="320"/>
      <c r="B453" s="320"/>
      <c r="C453" s="320"/>
      <c r="D453" s="320"/>
      <c r="E453" s="320"/>
      <c r="F453" s="320"/>
      <c r="G453" s="320"/>
      <c r="H453" s="320"/>
      <c r="I453" s="320"/>
      <c r="J453" s="320"/>
      <c r="K453" s="320"/>
      <c r="L453" s="320"/>
      <c r="M453" s="320"/>
      <c r="N453" s="320"/>
      <c r="O453" s="320"/>
    </row>
    <row r="454">
      <c r="A454" s="320"/>
      <c r="B454" s="320"/>
      <c r="C454" s="320"/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  <c r="N454" s="320"/>
      <c r="O454" s="320"/>
    </row>
    <row r="455">
      <c r="A455" s="320"/>
      <c r="B455" s="320"/>
      <c r="C455" s="320"/>
      <c r="D455" s="320"/>
      <c r="E455" s="320"/>
      <c r="F455" s="320"/>
      <c r="G455" s="320"/>
      <c r="H455" s="320"/>
      <c r="I455" s="320"/>
      <c r="J455" s="320"/>
      <c r="K455" s="320"/>
      <c r="L455" s="320"/>
      <c r="M455" s="320"/>
      <c r="N455" s="320"/>
      <c r="O455" s="320"/>
    </row>
    <row r="456">
      <c r="A456" s="320"/>
      <c r="B456" s="320"/>
      <c r="C456" s="320"/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  <c r="N456" s="320"/>
      <c r="O456" s="320"/>
    </row>
    <row r="457">
      <c r="A457" s="320"/>
      <c r="B457" s="320"/>
      <c r="C457" s="320"/>
      <c r="D457" s="320"/>
      <c r="E457" s="320"/>
      <c r="F457" s="320"/>
      <c r="G457" s="320"/>
      <c r="H457" s="320"/>
      <c r="I457" s="320"/>
      <c r="J457" s="320"/>
      <c r="K457" s="320"/>
      <c r="L457" s="320"/>
      <c r="M457" s="320"/>
      <c r="N457" s="320"/>
      <c r="O457" s="320"/>
    </row>
    <row r="458">
      <c r="A458" s="320"/>
      <c r="B458" s="320"/>
      <c r="C458" s="320"/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  <c r="N458" s="320"/>
      <c r="O458" s="320"/>
    </row>
    <row r="459">
      <c r="A459" s="320"/>
      <c r="B459" s="320"/>
      <c r="C459" s="320"/>
      <c r="D459" s="320"/>
      <c r="E459" s="320"/>
      <c r="F459" s="320"/>
      <c r="G459" s="320"/>
      <c r="H459" s="320"/>
      <c r="I459" s="320"/>
      <c r="J459" s="320"/>
      <c r="K459" s="320"/>
      <c r="L459" s="320"/>
      <c r="M459" s="320"/>
      <c r="N459" s="320"/>
      <c r="O459" s="320"/>
    </row>
    <row r="460">
      <c r="A460" s="320"/>
      <c r="B460" s="320"/>
      <c r="C460" s="320"/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  <c r="N460" s="320"/>
      <c r="O460" s="320"/>
    </row>
    <row r="461">
      <c r="A461" s="320"/>
      <c r="B461" s="320"/>
      <c r="C461" s="320"/>
      <c r="D461" s="320"/>
      <c r="E461" s="320"/>
      <c r="F461" s="320"/>
      <c r="G461" s="320"/>
      <c r="H461" s="320"/>
      <c r="I461" s="320"/>
      <c r="J461" s="320"/>
      <c r="K461" s="320"/>
      <c r="L461" s="320"/>
      <c r="M461" s="320"/>
      <c r="N461" s="320"/>
      <c r="O461" s="320"/>
    </row>
    <row r="462">
      <c r="A462" s="320"/>
      <c r="B462" s="320"/>
      <c r="C462" s="320"/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  <c r="N462" s="320"/>
      <c r="O462" s="320"/>
    </row>
    <row r="463">
      <c r="A463" s="320"/>
      <c r="B463" s="320"/>
      <c r="C463" s="320"/>
      <c r="D463" s="320"/>
      <c r="E463" s="320"/>
      <c r="F463" s="320"/>
      <c r="G463" s="320"/>
      <c r="H463" s="320"/>
      <c r="I463" s="320"/>
      <c r="J463" s="320"/>
      <c r="K463" s="320"/>
      <c r="L463" s="320"/>
      <c r="M463" s="320"/>
      <c r="N463" s="320"/>
      <c r="O463" s="320"/>
    </row>
    <row r="464">
      <c r="A464" s="320"/>
      <c r="B464" s="320"/>
      <c r="C464" s="320"/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  <c r="N464" s="320"/>
      <c r="O464" s="320"/>
    </row>
    <row r="465">
      <c r="A465" s="320"/>
      <c r="B465" s="320"/>
      <c r="C465" s="320"/>
      <c r="D465" s="320"/>
      <c r="E465" s="320"/>
      <c r="F465" s="320"/>
      <c r="G465" s="320"/>
      <c r="H465" s="320"/>
      <c r="I465" s="320"/>
      <c r="J465" s="320"/>
      <c r="K465" s="320"/>
      <c r="L465" s="320"/>
      <c r="M465" s="320"/>
      <c r="N465" s="320"/>
      <c r="O465" s="320"/>
    </row>
    <row r="466">
      <c r="A466" s="320"/>
      <c r="B466" s="320"/>
      <c r="C466" s="320"/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  <c r="N466" s="320"/>
      <c r="O466" s="320"/>
    </row>
    <row r="467">
      <c r="A467" s="320"/>
      <c r="B467" s="320"/>
      <c r="C467" s="320"/>
      <c r="D467" s="320"/>
      <c r="E467" s="320"/>
      <c r="F467" s="320"/>
      <c r="G467" s="320"/>
      <c r="H467" s="320"/>
      <c r="I467" s="320"/>
      <c r="J467" s="320"/>
      <c r="K467" s="320"/>
      <c r="L467" s="320"/>
      <c r="M467" s="320"/>
      <c r="N467" s="320"/>
      <c r="O467" s="320"/>
    </row>
    <row r="468">
      <c r="A468" s="320"/>
      <c r="B468" s="320"/>
      <c r="C468" s="320"/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  <c r="N468" s="320"/>
      <c r="O468" s="320"/>
    </row>
    <row r="469">
      <c r="A469" s="320"/>
      <c r="B469" s="320"/>
      <c r="C469" s="320"/>
      <c r="D469" s="320"/>
      <c r="E469" s="320"/>
      <c r="F469" s="320"/>
      <c r="G469" s="320"/>
      <c r="H469" s="320"/>
      <c r="I469" s="320"/>
      <c r="J469" s="320"/>
      <c r="K469" s="320"/>
      <c r="L469" s="320"/>
      <c r="M469" s="320"/>
      <c r="N469" s="320"/>
      <c r="O469" s="320"/>
    </row>
    <row r="470">
      <c r="A470" s="320"/>
      <c r="B470" s="320"/>
      <c r="C470" s="320"/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  <c r="N470" s="320"/>
      <c r="O470" s="320"/>
    </row>
    <row r="471">
      <c r="A471" s="320"/>
      <c r="B471" s="320"/>
      <c r="C471" s="320"/>
      <c r="D471" s="320"/>
      <c r="E471" s="320"/>
      <c r="F471" s="320"/>
      <c r="G471" s="320"/>
      <c r="H471" s="320"/>
      <c r="I471" s="320"/>
      <c r="J471" s="320"/>
      <c r="K471" s="320"/>
      <c r="L471" s="320"/>
      <c r="M471" s="320"/>
      <c r="N471" s="320"/>
      <c r="O471" s="320"/>
    </row>
    <row r="472">
      <c r="A472" s="320"/>
      <c r="B472" s="320"/>
      <c r="C472" s="320"/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  <c r="N472" s="320"/>
      <c r="O472" s="320"/>
    </row>
    <row r="473">
      <c r="A473" s="320"/>
      <c r="B473" s="320"/>
      <c r="C473" s="320"/>
      <c r="D473" s="320"/>
      <c r="E473" s="320"/>
      <c r="F473" s="320"/>
      <c r="G473" s="320"/>
      <c r="H473" s="320"/>
      <c r="I473" s="320"/>
      <c r="J473" s="320"/>
      <c r="K473" s="320"/>
      <c r="L473" s="320"/>
      <c r="M473" s="320"/>
      <c r="N473" s="320"/>
      <c r="O473" s="320"/>
    </row>
    <row r="474">
      <c r="A474" s="320"/>
      <c r="B474" s="320"/>
      <c r="C474" s="320"/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  <c r="N474" s="320"/>
      <c r="O474" s="320"/>
    </row>
    <row r="475">
      <c r="A475" s="320"/>
      <c r="B475" s="320"/>
      <c r="C475" s="320"/>
      <c r="D475" s="320"/>
      <c r="E475" s="320"/>
      <c r="F475" s="320"/>
      <c r="G475" s="320"/>
      <c r="H475" s="320"/>
      <c r="I475" s="320"/>
      <c r="J475" s="320"/>
      <c r="K475" s="320"/>
      <c r="L475" s="320"/>
      <c r="M475" s="320"/>
      <c r="N475" s="320"/>
      <c r="O475" s="320"/>
    </row>
    <row r="476">
      <c r="A476" s="320"/>
      <c r="B476" s="320"/>
      <c r="C476" s="320"/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  <c r="N476" s="320"/>
      <c r="O476" s="320"/>
    </row>
    <row r="477">
      <c r="A477" s="320"/>
      <c r="B477" s="320"/>
      <c r="C477" s="320"/>
      <c r="D477" s="320"/>
      <c r="E477" s="320"/>
      <c r="F477" s="320"/>
      <c r="G477" s="320"/>
      <c r="H477" s="320"/>
      <c r="I477" s="320"/>
      <c r="J477" s="320"/>
      <c r="K477" s="320"/>
      <c r="L477" s="320"/>
      <c r="M477" s="320"/>
      <c r="N477" s="320"/>
      <c r="O477" s="320"/>
    </row>
    <row r="478">
      <c r="A478" s="320"/>
      <c r="B478" s="320"/>
      <c r="C478" s="320"/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  <c r="N478" s="320"/>
      <c r="O478" s="320"/>
    </row>
    <row r="479">
      <c r="A479" s="320"/>
      <c r="B479" s="320"/>
      <c r="C479" s="320"/>
      <c r="D479" s="320"/>
      <c r="E479" s="320"/>
      <c r="F479" s="320"/>
      <c r="G479" s="320"/>
      <c r="H479" s="320"/>
      <c r="I479" s="320"/>
      <c r="J479" s="320"/>
      <c r="K479" s="320"/>
      <c r="L479" s="320"/>
      <c r="M479" s="320"/>
      <c r="N479" s="320"/>
      <c r="O479" s="320"/>
    </row>
    <row r="480">
      <c r="A480" s="320"/>
      <c r="B480" s="320"/>
      <c r="C480" s="320"/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  <c r="N480" s="320"/>
      <c r="O480" s="320"/>
    </row>
    <row r="481">
      <c r="A481" s="320"/>
      <c r="B481" s="320"/>
      <c r="C481" s="320"/>
      <c r="D481" s="320"/>
      <c r="E481" s="320"/>
      <c r="F481" s="320"/>
      <c r="G481" s="320"/>
      <c r="H481" s="320"/>
      <c r="I481" s="320"/>
      <c r="J481" s="320"/>
      <c r="K481" s="320"/>
      <c r="L481" s="320"/>
      <c r="M481" s="320"/>
      <c r="N481" s="320"/>
      <c r="O481" s="320"/>
    </row>
    <row r="482">
      <c r="A482" s="320"/>
      <c r="B482" s="320"/>
      <c r="C482" s="320"/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  <c r="N482" s="320"/>
      <c r="O482" s="320"/>
    </row>
    <row r="483">
      <c r="A483" s="320"/>
      <c r="B483" s="320"/>
      <c r="C483" s="320"/>
      <c r="D483" s="320"/>
      <c r="E483" s="320"/>
      <c r="F483" s="320"/>
      <c r="G483" s="320"/>
      <c r="H483" s="320"/>
      <c r="I483" s="320"/>
      <c r="J483" s="320"/>
      <c r="K483" s="320"/>
      <c r="L483" s="320"/>
      <c r="M483" s="320"/>
      <c r="N483" s="320"/>
      <c r="O483" s="320"/>
    </row>
    <row r="484">
      <c r="A484" s="320"/>
      <c r="B484" s="320"/>
      <c r="C484" s="320"/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  <c r="N484" s="320"/>
      <c r="O484" s="320"/>
    </row>
    <row r="485">
      <c r="A485" s="320"/>
      <c r="B485" s="320"/>
      <c r="C485" s="320"/>
      <c r="D485" s="320"/>
      <c r="E485" s="320"/>
      <c r="F485" s="320"/>
      <c r="G485" s="320"/>
      <c r="H485" s="320"/>
      <c r="I485" s="320"/>
      <c r="J485" s="320"/>
      <c r="K485" s="320"/>
      <c r="L485" s="320"/>
      <c r="M485" s="320"/>
      <c r="N485" s="320"/>
      <c r="O485" s="320"/>
    </row>
    <row r="486">
      <c r="A486" s="320"/>
      <c r="B486" s="320"/>
      <c r="C486" s="320"/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  <c r="N486" s="320"/>
      <c r="O486" s="320"/>
    </row>
    <row r="487">
      <c r="A487" s="320"/>
      <c r="B487" s="320"/>
      <c r="C487" s="320"/>
      <c r="D487" s="320"/>
      <c r="E487" s="320"/>
      <c r="F487" s="320"/>
      <c r="G487" s="320"/>
      <c r="H487" s="320"/>
      <c r="I487" s="320"/>
      <c r="J487" s="320"/>
      <c r="K487" s="320"/>
      <c r="L487" s="320"/>
      <c r="M487" s="320"/>
      <c r="N487" s="320"/>
      <c r="O487" s="320"/>
    </row>
    <row r="488">
      <c r="A488" s="320"/>
      <c r="B488" s="320"/>
      <c r="C488" s="320"/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  <c r="N488" s="320"/>
      <c r="O488" s="320"/>
    </row>
    <row r="489">
      <c r="A489" s="320"/>
      <c r="B489" s="320"/>
      <c r="C489" s="320"/>
      <c r="D489" s="320"/>
      <c r="E489" s="320"/>
      <c r="F489" s="320"/>
      <c r="G489" s="320"/>
      <c r="H489" s="320"/>
      <c r="I489" s="320"/>
      <c r="J489" s="320"/>
      <c r="K489" s="320"/>
      <c r="L489" s="320"/>
      <c r="M489" s="320"/>
      <c r="N489" s="320"/>
      <c r="O489" s="320"/>
    </row>
    <row r="490">
      <c r="A490" s="320"/>
      <c r="B490" s="320"/>
      <c r="C490" s="320"/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  <c r="N490" s="320"/>
      <c r="O490" s="320"/>
    </row>
    <row r="491">
      <c r="A491" s="320"/>
      <c r="B491" s="320"/>
      <c r="C491" s="320"/>
      <c r="D491" s="320"/>
      <c r="E491" s="320"/>
      <c r="F491" s="320"/>
      <c r="G491" s="320"/>
      <c r="H491" s="320"/>
      <c r="I491" s="320"/>
      <c r="J491" s="320"/>
      <c r="K491" s="320"/>
      <c r="L491" s="320"/>
      <c r="M491" s="320"/>
      <c r="N491" s="320"/>
      <c r="O491" s="320"/>
    </row>
    <row r="492">
      <c r="A492" s="320"/>
      <c r="B492" s="320"/>
      <c r="C492" s="320"/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  <c r="N492" s="320"/>
      <c r="O492" s="320"/>
    </row>
    <row r="493">
      <c r="A493" s="320"/>
      <c r="B493" s="320"/>
      <c r="C493" s="320"/>
      <c r="D493" s="320"/>
      <c r="E493" s="320"/>
      <c r="F493" s="320"/>
      <c r="G493" s="320"/>
      <c r="H493" s="320"/>
      <c r="I493" s="320"/>
      <c r="J493" s="320"/>
      <c r="K493" s="320"/>
      <c r="L493" s="320"/>
      <c r="M493" s="320"/>
      <c r="N493" s="320"/>
      <c r="O493" s="320"/>
    </row>
    <row r="494">
      <c r="A494" s="320"/>
      <c r="B494" s="320"/>
      <c r="C494" s="320"/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  <c r="N494" s="320"/>
      <c r="O494" s="320"/>
    </row>
    <row r="495">
      <c r="A495" s="320"/>
      <c r="B495" s="320"/>
      <c r="C495" s="320"/>
      <c r="D495" s="320"/>
      <c r="E495" s="320"/>
      <c r="F495" s="320"/>
      <c r="G495" s="320"/>
      <c r="H495" s="320"/>
      <c r="I495" s="320"/>
      <c r="J495" s="320"/>
      <c r="K495" s="320"/>
      <c r="L495" s="320"/>
      <c r="M495" s="320"/>
      <c r="N495" s="320"/>
      <c r="O495" s="320"/>
    </row>
    <row r="496">
      <c r="A496" s="320"/>
      <c r="B496" s="320"/>
      <c r="C496" s="320"/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  <c r="N496" s="320"/>
      <c r="O496" s="320"/>
    </row>
    <row r="497">
      <c r="A497" s="320"/>
      <c r="B497" s="320"/>
      <c r="C497" s="320"/>
      <c r="D497" s="320"/>
      <c r="E497" s="320"/>
      <c r="F497" s="320"/>
      <c r="G497" s="320"/>
      <c r="H497" s="320"/>
      <c r="I497" s="320"/>
      <c r="J497" s="320"/>
      <c r="K497" s="320"/>
      <c r="L497" s="320"/>
      <c r="M497" s="320"/>
      <c r="N497" s="320"/>
      <c r="O497" s="320"/>
    </row>
    <row r="498">
      <c r="A498" s="320"/>
      <c r="B498" s="320"/>
      <c r="C498" s="320"/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  <c r="N498" s="320"/>
      <c r="O498" s="320"/>
    </row>
    <row r="499">
      <c r="A499" s="320"/>
      <c r="B499" s="320"/>
      <c r="C499" s="320"/>
      <c r="D499" s="320"/>
      <c r="E499" s="320"/>
      <c r="F499" s="320"/>
      <c r="G499" s="320"/>
      <c r="H499" s="320"/>
      <c r="I499" s="320"/>
      <c r="J499" s="320"/>
      <c r="K499" s="320"/>
      <c r="L499" s="320"/>
      <c r="M499" s="320"/>
      <c r="N499" s="320"/>
      <c r="O499" s="320"/>
    </row>
    <row r="500">
      <c r="A500" s="320"/>
      <c r="B500" s="320"/>
      <c r="C500" s="320"/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  <c r="N500" s="320"/>
      <c r="O500" s="320"/>
    </row>
    <row r="501">
      <c r="A501" s="320"/>
      <c r="B501" s="320"/>
      <c r="C501" s="320"/>
      <c r="D501" s="320"/>
      <c r="E501" s="320"/>
      <c r="F501" s="320"/>
      <c r="G501" s="320"/>
      <c r="H501" s="320"/>
      <c r="I501" s="320"/>
      <c r="J501" s="320"/>
      <c r="K501" s="320"/>
      <c r="L501" s="320"/>
      <c r="M501" s="320"/>
      <c r="N501" s="320"/>
      <c r="O501" s="320"/>
    </row>
    <row r="502">
      <c r="A502" s="320"/>
      <c r="B502" s="320"/>
      <c r="C502" s="320"/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  <c r="N502" s="320"/>
      <c r="O502" s="320"/>
    </row>
    <row r="503">
      <c r="A503" s="320"/>
      <c r="B503" s="320"/>
      <c r="C503" s="320"/>
      <c r="D503" s="320"/>
      <c r="E503" s="320"/>
      <c r="F503" s="320"/>
      <c r="G503" s="320"/>
      <c r="H503" s="320"/>
      <c r="I503" s="320"/>
      <c r="J503" s="320"/>
      <c r="K503" s="320"/>
      <c r="L503" s="320"/>
      <c r="M503" s="320"/>
      <c r="N503" s="320"/>
      <c r="O503" s="320"/>
    </row>
    <row r="504">
      <c r="A504" s="320"/>
      <c r="B504" s="320"/>
      <c r="C504" s="320"/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  <c r="N504" s="320"/>
      <c r="O504" s="320"/>
    </row>
    <row r="505">
      <c r="A505" s="320"/>
      <c r="B505" s="320"/>
      <c r="C505" s="320"/>
      <c r="D505" s="320"/>
      <c r="E505" s="320"/>
      <c r="F505" s="320"/>
      <c r="G505" s="320"/>
      <c r="H505" s="320"/>
      <c r="I505" s="320"/>
      <c r="J505" s="320"/>
      <c r="K505" s="320"/>
      <c r="L505" s="320"/>
      <c r="M505" s="320"/>
      <c r="N505" s="320"/>
      <c r="O505" s="320"/>
    </row>
    <row r="506">
      <c r="A506" s="320"/>
      <c r="B506" s="320"/>
      <c r="C506" s="320"/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  <c r="N506" s="320"/>
      <c r="O506" s="320"/>
    </row>
    <row r="507">
      <c r="A507" s="320"/>
      <c r="B507" s="320"/>
      <c r="C507" s="320"/>
      <c r="D507" s="320"/>
      <c r="E507" s="320"/>
      <c r="F507" s="320"/>
      <c r="G507" s="320"/>
      <c r="H507" s="320"/>
      <c r="I507" s="320"/>
      <c r="J507" s="320"/>
      <c r="K507" s="320"/>
      <c r="L507" s="320"/>
      <c r="M507" s="320"/>
      <c r="N507" s="320"/>
      <c r="O507" s="320"/>
    </row>
    <row r="508">
      <c r="A508" s="320"/>
      <c r="B508" s="320"/>
      <c r="C508" s="320"/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  <c r="N508" s="320"/>
      <c r="O508" s="320"/>
    </row>
    <row r="509">
      <c r="A509" s="320"/>
      <c r="B509" s="320"/>
      <c r="C509" s="320"/>
      <c r="D509" s="320"/>
      <c r="E509" s="320"/>
      <c r="F509" s="320"/>
      <c r="G509" s="320"/>
      <c r="H509" s="320"/>
      <c r="I509" s="320"/>
      <c r="J509" s="320"/>
      <c r="K509" s="320"/>
      <c r="L509" s="320"/>
      <c r="M509" s="320"/>
      <c r="N509" s="320"/>
      <c r="O509" s="320"/>
    </row>
    <row r="510">
      <c r="A510" s="320"/>
      <c r="B510" s="320"/>
      <c r="C510" s="320"/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  <c r="N510" s="320"/>
      <c r="O510" s="320"/>
    </row>
    <row r="511">
      <c r="A511" s="320"/>
      <c r="B511" s="320"/>
      <c r="C511" s="320"/>
      <c r="D511" s="320"/>
      <c r="E511" s="320"/>
      <c r="F511" s="320"/>
      <c r="G511" s="320"/>
      <c r="H511" s="320"/>
      <c r="I511" s="320"/>
      <c r="J511" s="320"/>
      <c r="K511" s="320"/>
      <c r="L511" s="320"/>
      <c r="M511" s="320"/>
      <c r="N511" s="320"/>
      <c r="O511" s="320"/>
    </row>
    <row r="512">
      <c r="A512" s="320"/>
      <c r="B512" s="320"/>
      <c r="C512" s="320"/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  <c r="N512" s="320"/>
      <c r="O512" s="320"/>
    </row>
    <row r="513">
      <c r="A513" s="320"/>
      <c r="B513" s="320"/>
      <c r="C513" s="320"/>
      <c r="D513" s="320"/>
      <c r="E513" s="320"/>
      <c r="F513" s="320"/>
      <c r="G513" s="320"/>
      <c r="H513" s="320"/>
      <c r="I513" s="320"/>
      <c r="J513" s="320"/>
      <c r="K513" s="320"/>
      <c r="L513" s="320"/>
      <c r="M513" s="320"/>
      <c r="N513" s="320"/>
      <c r="O513" s="320"/>
    </row>
    <row r="514">
      <c r="A514" s="320"/>
      <c r="B514" s="320"/>
      <c r="C514" s="320"/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  <c r="N514" s="320"/>
      <c r="O514" s="320"/>
    </row>
    <row r="515">
      <c r="A515" s="320"/>
      <c r="B515" s="320"/>
      <c r="C515" s="320"/>
      <c r="D515" s="320"/>
      <c r="E515" s="320"/>
      <c r="F515" s="320"/>
      <c r="G515" s="320"/>
      <c r="H515" s="320"/>
      <c r="I515" s="320"/>
      <c r="J515" s="320"/>
      <c r="K515" s="320"/>
      <c r="L515" s="320"/>
      <c r="M515" s="320"/>
      <c r="N515" s="320"/>
      <c r="O515" s="320"/>
    </row>
    <row r="516">
      <c r="A516" s="320"/>
      <c r="B516" s="320"/>
      <c r="C516" s="320"/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  <c r="N516" s="320"/>
      <c r="O516" s="320"/>
    </row>
    <row r="517">
      <c r="A517" s="320"/>
      <c r="B517" s="320"/>
      <c r="C517" s="320"/>
      <c r="D517" s="320"/>
      <c r="E517" s="320"/>
      <c r="F517" s="320"/>
      <c r="G517" s="320"/>
      <c r="H517" s="320"/>
      <c r="I517" s="320"/>
      <c r="J517" s="320"/>
      <c r="K517" s="320"/>
      <c r="L517" s="320"/>
      <c r="M517" s="320"/>
      <c r="N517" s="320"/>
      <c r="O517" s="320"/>
    </row>
    <row r="518">
      <c r="A518" s="320"/>
      <c r="B518" s="320"/>
      <c r="C518" s="320"/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  <c r="N518" s="320"/>
      <c r="O518" s="320"/>
    </row>
    <row r="519">
      <c r="A519" s="320"/>
      <c r="B519" s="320"/>
      <c r="C519" s="320"/>
      <c r="D519" s="320"/>
      <c r="E519" s="320"/>
      <c r="F519" s="320"/>
      <c r="G519" s="320"/>
      <c r="H519" s="320"/>
      <c r="I519" s="320"/>
      <c r="J519" s="320"/>
      <c r="K519" s="320"/>
      <c r="L519" s="320"/>
      <c r="M519" s="320"/>
      <c r="N519" s="320"/>
      <c r="O519" s="320"/>
    </row>
    <row r="520">
      <c r="A520" s="320"/>
      <c r="B520" s="320"/>
      <c r="C520" s="320"/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  <c r="N520" s="320"/>
      <c r="O520" s="320"/>
    </row>
    <row r="521">
      <c r="A521" s="320"/>
      <c r="B521" s="320"/>
      <c r="C521" s="320"/>
      <c r="D521" s="320"/>
      <c r="E521" s="320"/>
      <c r="F521" s="320"/>
      <c r="G521" s="320"/>
      <c r="H521" s="320"/>
      <c r="I521" s="320"/>
      <c r="J521" s="320"/>
      <c r="K521" s="320"/>
      <c r="L521" s="320"/>
      <c r="M521" s="320"/>
      <c r="N521" s="320"/>
      <c r="O521" s="320"/>
    </row>
    <row r="522">
      <c r="A522" s="320"/>
      <c r="B522" s="320"/>
      <c r="C522" s="320"/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  <c r="N522" s="320"/>
      <c r="O522" s="320"/>
    </row>
    <row r="523">
      <c r="A523" s="320"/>
      <c r="B523" s="320"/>
      <c r="C523" s="320"/>
      <c r="D523" s="320"/>
      <c r="E523" s="320"/>
      <c r="F523" s="320"/>
      <c r="G523" s="320"/>
      <c r="H523" s="320"/>
      <c r="I523" s="320"/>
      <c r="J523" s="320"/>
      <c r="K523" s="320"/>
      <c r="L523" s="320"/>
      <c r="M523" s="320"/>
      <c r="N523" s="320"/>
      <c r="O523" s="320"/>
    </row>
    <row r="524">
      <c r="A524" s="320"/>
      <c r="B524" s="320"/>
      <c r="C524" s="320"/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  <c r="N524" s="320"/>
      <c r="O524" s="320"/>
    </row>
    <row r="525">
      <c r="A525" s="320"/>
      <c r="B525" s="320"/>
      <c r="C525" s="320"/>
      <c r="D525" s="320"/>
      <c r="E525" s="320"/>
      <c r="F525" s="320"/>
      <c r="G525" s="320"/>
      <c r="H525" s="320"/>
      <c r="I525" s="320"/>
      <c r="J525" s="320"/>
      <c r="K525" s="320"/>
      <c r="L525" s="320"/>
      <c r="M525" s="320"/>
      <c r="N525" s="320"/>
      <c r="O525" s="320"/>
    </row>
    <row r="526">
      <c r="A526" s="320"/>
      <c r="B526" s="320"/>
      <c r="C526" s="320"/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  <c r="N526" s="320"/>
      <c r="O526" s="320"/>
    </row>
    <row r="527">
      <c r="A527" s="320"/>
      <c r="B527" s="320"/>
      <c r="C527" s="320"/>
      <c r="D527" s="320"/>
      <c r="E527" s="320"/>
      <c r="F527" s="320"/>
      <c r="G527" s="320"/>
      <c r="H527" s="320"/>
      <c r="I527" s="320"/>
      <c r="J527" s="320"/>
      <c r="K527" s="320"/>
      <c r="L527" s="320"/>
      <c r="M527" s="320"/>
      <c r="N527" s="320"/>
      <c r="O527" s="320"/>
    </row>
    <row r="528">
      <c r="A528" s="320"/>
      <c r="B528" s="320"/>
      <c r="C528" s="320"/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  <c r="N528" s="320"/>
      <c r="O528" s="320"/>
    </row>
    <row r="529">
      <c r="A529" s="320"/>
      <c r="B529" s="320"/>
      <c r="C529" s="320"/>
      <c r="D529" s="320"/>
      <c r="E529" s="320"/>
      <c r="F529" s="320"/>
      <c r="G529" s="320"/>
      <c r="H529" s="320"/>
      <c r="I529" s="320"/>
      <c r="J529" s="320"/>
      <c r="K529" s="320"/>
      <c r="L529" s="320"/>
      <c r="M529" s="320"/>
      <c r="N529" s="320"/>
      <c r="O529" s="320"/>
    </row>
    <row r="530">
      <c r="A530" s="320"/>
      <c r="B530" s="320"/>
      <c r="C530" s="320"/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  <c r="N530" s="320"/>
      <c r="O530" s="320"/>
    </row>
    <row r="531">
      <c r="A531" s="320"/>
      <c r="B531" s="320"/>
      <c r="C531" s="320"/>
      <c r="D531" s="320"/>
      <c r="E531" s="320"/>
      <c r="F531" s="320"/>
      <c r="G531" s="320"/>
      <c r="H531" s="320"/>
      <c r="I531" s="320"/>
      <c r="J531" s="320"/>
      <c r="K531" s="320"/>
      <c r="L531" s="320"/>
      <c r="M531" s="320"/>
      <c r="N531" s="320"/>
      <c r="O531" s="320"/>
    </row>
    <row r="532">
      <c r="A532" s="320"/>
      <c r="B532" s="320"/>
      <c r="C532" s="320"/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  <c r="N532" s="320"/>
      <c r="O532" s="320"/>
    </row>
    <row r="533">
      <c r="A533" s="320"/>
      <c r="B533" s="320"/>
      <c r="C533" s="320"/>
      <c r="D533" s="320"/>
      <c r="E533" s="320"/>
      <c r="F533" s="320"/>
      <c r="G533" s="320"/>
      <c r="H533" s="320"/>
      <c r="I533" s="320"/>
      <c r="J533" s="320"/>
      <c r="K533" s="320"/>
      <c r="L533" s="320"/>
      <c r="M533" s="320"/>
      <c r="N533" s="320"/>
      <c r="O533" s="320"/>
    </row>
    <row r="534">
      <c r="A534" s="320"/>
      <c r="B534" s="320"/>
      <c r="C534" s="320"/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  <c r="N534" s="320"/>
      <c r="O534" s="320"/>
    </row>
    <row r="535">
      <c r="A535" s="320"/>
      <c r="B535" s="320"/>
      <c r="C535" s="320"/>
      <c r="D535" s="320"/>
      <c r="E535" s="320"/>
      <c r="F535" s="320"/>
      <c r="G535" s="320"/>
      <c r="H535" s="320"/>
      <c r="I535" s="320"/>
      <c r="J535" s="320"/>
      <c r="K535" s="320"/>
      <c r="L535" s="320"/>
      <c r="M535" s="320"/>
      <c r="N535" s="320"/>
      <c r="O535" s="320"/>
    </row>
    <row r="536">
      <c r="A536" s="320"/>
      <c r="B536" s="320"/>
      <c r="C536" s="320"/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  <c r="N536" s="320"/>
      <c r="O536" s="320"/>
    </row>
    <row r="537">
      <c r="A537" s="320"/>
      <c r="B537" s="320"/>
      <c r="C537" s="320"/>
      <c r="D537" s="320"/>
      <c r="E537" s="320"/>
      <c r="F537" s="320"/>
      <c r="G537" s="320"/>
      <c r="H537" s="320"/>
      <c r="I537" s="320"/>
      <c r="J537" s="320"/>
      <c r="K537" s="320"/>
      <c r="L537" s="320"/>
      <c r="M537" s="320"/>
      <c r="N537" s="320"/>
      <c r="O537" s="320"/>
    </row>
    <row r="538">
      <c r="A538" s="320"/>
      <c r="B538" s="320"/>
      <c r="C538" s="320"/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  <c r="N538" s="320"/>
      <c r="O538" s="320"/>
    </row>
    <row r="539">
      <c r="A539" s="320"/>
      <c r="B539" s="320"/>
      <c r="C539" s="320"/>
      <c r="D539" s="320"/>
      <c r="E539" s="320"/>
      <c r="F539" s="320"/>
      <c r="G539" s="320"/>
      <c r="H539" s="320"/>
      <c r="I539" s="320"/>
      <c r="J539" s="320"/>
      <c r="K539" s="320"/>
      <c r="L539" s="320"/>
      <c r="M539" s="320"/>
      <c r="N539" s="320"/>
      <c r="O539" s="320"/>
    </row>
    <row r="540">
      <c r="A540" s="320"/>
      <c r="B540" s="320"/>
      <c r="C540" s="320"/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  <c r="N540" s="320"/>
      <c r="O540" s="320"/>
    </row>
    <row r="541">
      <c r="A541" s="320"/>
      <c r="B541" s="320"/>
      <c r="C541" s="320"/>
      <c r="D541" s="320"/>
      <c r="E541" s="320"/>
      <c r="F541" s="320"/>
      <c r="G541" s="320"/>
      <c r="H541" s="320"/>
      <c r="I541" s="320"/>
      <c r="J541" s="320"/>
      <c r="K541" s="320"/>
      <c r="L541" s="320"/>
      <c r="M541" s="320"/>
      <c r="N541" s="320"/>
      <c r="O541" s="320"/>
    </row>
    <row r="542">
      <c r="A542" s="320"/>
      <c r="B542" s="320"/>
      <c r="C542" s="320"/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  <c r="N542" s="320"/>
      <c r="O542" s="320"/>
    </row>
    <row r="543">
      <c r="A543" s="320"/>
      <c r="B543" s="320"/>
      <c r="C543" s="320"/>
      <c r="D543" s="320"/>
      <c r="E543" s="320"/>
      <c r="F543" s="320"/>
      <c r="G543" s="320"/>
      <c r="H543" s="320"/>
      <c r="I543" s="320"/>
      <c r="J543" s="320"/>
      <c r="K543" s="320"/>
      <c r="L543" s="320"/>
      <c r="M543" s="320"/>
      <c r="N543" s="320"/>
      <c r="O543" s="320"/>
    </row>
    <row r="544">
      <c r="A544" s="320"/>
      <c r="B544" s="320"/>
      <c r="C544" s="320"/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  <c r="N544" s="320"/>
      <c r="O544" s="320"/>
    </row>
    <row r="545">
      <c r="A545" s="320"/>
      <c r="B545" s="320"/>
      <c r="C545" s="320"/>
      <c r="D545" s="320"/>
      <c r="E545" s="320"/>
      <c r="F545" s="320"/>
      <c r="G545" s="320"/>
      <c r="H545" s="320"/>
      <c r="I545" s="320"/>
      <c r="J545" s="320"/>
      <c r="K545" s="320"/>
      <c r="L545" s="320"/>
      <c r="M545" s="320"/>
      <c r="N545" s="320"/>
      <c r="O545" s="320"/>
    </row>
    <row r="546">
      <c r="A546" s="320"/>
      <c r="B546" s="320"/>
      <c r="C546" s="320"/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  <c r="N546" s="320"/>
      <c r="O546" s="320"/>
    </row>
    <row r="547">
      <c r="A547" s="320"/>
      <c r="B547" s="320"/>
      <c r="C547" s="320"/>
      <c r="D547" s="320"/>
      <c r="E547" s="320"/>
      <c r="F547" s="320"/>
      <c r="G547" s="320"/>
      <c r="H547" s="320"/>
      <c r="I547" s="320"/>
      <c r="J547" s="320"/>
      <c r="K547" s="320"/>
      <c r="L547" s="320"/>
      <c r="M547" s="320"/>
      <c r="N547" s="320"/>
      <c r="O547" s="320"/>
    </row>
    <row r="548">
      <c r="A548" s="320"/>
      <c r="B548" s="320"/>
      <c r="C548" s="320"/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  <c r="N548" s="320"/>
      <c r="O548" s="320"/>
    </row>
    <row r="549">
      <c r="A549" s="320"/>
      <c r="B549" s="320"/>
      <c r="C549" s="320"/>
      <c r="D549" s="320"/>
      <c r="E549" s="320"/>
      <c r="F549" s="320"/>
      <c r="G549" s="320"/>
      <c r="H549" s="320"/>
      <c r="I549" s="320"/>
      <c r="J549" s="320"/>
      <c r="K549" s="320"/>
      <c r="L549" s="320"/>
      <c r="M549" s="320"/>
      <c r="N549" s="320"/>
      <c r="O549" s="320"/>
    </row>
    <row r="550">
      <c r="A550" s="320"/>
      <c r="B550" s="320"/>
      <c r="C550" s="320"/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  <c r="N550" s="320"/>
      <c r="O550" s="320"/>
    </row>
    <row r="551">
      <c r="A551" s="320"/>
      <c r="B551" s="320"/>
      <c r="C551" s="320"/>
      <c r="D551" s="320"/>
      <c r="E551" s="320"/>
      <c r="F551" s="320"/>
      <c r="G551" s="320"/>
      <c r="H551" s="320"/>
      <c r="I551" s="320"/>
      <c r="J551" s="320"/>
      <c r="K551" s="320"/>
      <c r="L551" s="320"/>
      <c r="M551" s="320"/>
      <c r="N551" s="320"/>
      <c r="O551" s="320"/>
    </row>
    <row r="552">
      <c r="A552" s="320"/>
      <c r="B552" s="320"/>
      <c r="C552" s="320"/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  <c r="N552" s="320"/>
      <c r="O552" s="320"/>
    </row>
    <row r="553">
      <c r="A553" s="320"/>
      <c r="B553" s="320"/>
      <c r="C553" s="320"/>
      <c r="D553" s="320"/>
      <c r="E553" s="320"/>
      <c r="F553" s="320"/>
      <c r="G553" s="320"/>
      <c r="H553" s="320"/>
      <c r="I553" s="320"/>
      <c r="J553" s="320"/>
      <c r="K553" s="320"/>
      <c r="L553" s="320"/>
      <c r="M553" s="320"/>
      <c r="N553" s="320"/>
      <c r="O553" s="320"/>
    </row>
    <row r="554">
      <c r="A554" s="320"/>
      <c r="B554" s="320"/>
      <c r="C554" s="320"/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  <c r="N554" s="320"/>
      <c r="O554" s="320"/>
    </row>
    <row r="555">
      <c r="A555" s="320"/>
      <c r="B555" s="320"/>
      <c r="C555" s="320"/>
      <c r="D555" s="320"/>
      <c r="E555" s="320"/>
      <c r="F555" s="320"/>
      <c r="G555" s="320"/>
      <c r="H555" s="320"/>
      <c r="I555" s="320"/>
      <c r="J555" s="320"/>
      <c r="K555" s="320"/>
      <c r="L555" s="320"/>
      <c r="M555" s="320"/>
      <c r="N555" s="320"/>
      <c r="O555" s="320"/>
    </row>
    <row r="556">
      <c r="A556" s="320"/>
      <c r="B556" s="320"/>
      <c r="C556" s="320"/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  <c r="N556" s="320"/>
      <c r="O556" s="320"/>
    </row>
    <row r="557">
      <c r="A557" s="320"/>
      <c r="B557" s="320"/>
      <c r="C557" s="320"/>
      <c r="D557" s="320"/>
      <c r="E557" s="320"/>
      <c r="F557" s="320"/>
      <c r="G557" s="320"/>
      <c r="H557" s="320"/>
      <c r="I557" s="320"/>
      <c r="J557" s="320"/>
      <c r="K557" s="320"/>
      <c r="L557" s="320"/>
      <c r="M557" s="320"/>
      <c r="N557" s="320"/>
      <c r="O557" s="320"/>
    </row>
    <row r="558">
      <c r="A558" s="320"/>
      <c r="B558" s="320"/>
      <c r="C558" s="320"/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  <c r="N558" s="320"/>
      <c r="O558" s="320"/>
    </row>
    <row r="559">
      <c r="A559" s="320"/>
      <c r="B559" s="320"/>
      <c r="C559" s="320"/>
      <c r="D559" s="320"/>
      <c r="E559" s="320"/>
      <c r="F559" s="320"/>
      <c r="G559" s="320"/>
      <c r="H559" s="320"/>
      <c r="I559" s="320"/>
      <c r="J559" s="320"/>
      <c r="K559" s="320"/>
      <c r="L559" s="320"/>
      <c r="M559" s="320"/>
      <c r="N559" s="320"/>
      <c r="O559" s="320"/>
    </row>
    <row r="560">
      <c r="A560" s="320"/>
      <c r="B560" s="320"/>
      <c r="C560" s="320"/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  <c r="N560" s="320"/>
      <c r="O560" s="320"/>
    </row>
    <row r="561">
      <c r="A561" s="320"/>
      <c r="B561" s="320"/>
      <c r="C561" s="320"/>
      <c r="D561" s="320"/>
      <c r="E561" s="320"/>
      <c r="F561" s="320"/>
      <c r="G561" s="320"/>
      <c r="H561" s="320"/>
      <c r="I561" s="320"/>
      <c r="J561" s="320"/>
      <c r="K561" s="320"/>
      <c r="L561" s="320"/>
      <c r="M561" s="320"/>
      <c r="N561" s="320"/>
      <c r="O561" s="320"/>
    </row>
    <row r="562">
      <c r="A562" s="320"/>
      <c r="B562" s="320"/>
      <c r="C562" s="320"/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  <c r="N562" s="320"/>
      <c r="O562" s="320"/>
    </row>
    <row r="563">
      <c r="A563" s="320"/>
      <c r="B563" s="320"/>
      <c r="C563" s="320"/>
      <c r="D563" s="320"/>
      <c r="E563" s="320"/>
      <c r="F563" s="320"/>
      <c r="G563" s="320"/>
      <c r="H563" s="320"/>
      <c r="I563" s="320"/>
      <c r="J563" s="320"/>
      <c r="K563" s="320"/>
      <c r="L563" s="320"/>
      <c r="M563" s="320"/>
      <c r="N563" s="320"/>
      <c r="O563" s="320"/>
    </row>
    <row r="564">
      <c r="A564" s="320"/>
      <c r="B564" s="320"/>
      <c r="C564" s="320"/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  <c r="N564" s="320"/>
      <c r="O564" s="320"/>
    </row>
    <row r="565">
      <c r="A565" s="320"/>
      <c r="B565" s="320"/>
      <c r="C565" s="320"/>
      <c r="D565" s="320"/>
      <c r="E565" s="320"/>
      <c r="F565" s="320"/>
      <c r="G565" s="320"/>
      <c r="H565" s="320"/>
      <c r="I565" s="320"/>
      <c r="J565" s="320"/>
      <c r="K565" s="320"/>
      <c r="L565" s="320"/>
      <c r="M565" s="320"/>
      <c r="N565" s="320"/>
      <c r="O565" s="320"/>
    </row>
    <row r="566">
      <c r="A566" s="320"/>
      <c r="B566" s="320"/>
      <c r="C566" s="320"/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  <c r="N566" s="320"/>
      <c r="O566" s="320"/>
    </row>
    <row r="567">
      <c r="A567" s="320"/>
      <c r="B567" s="320"/>
      <c r="C567" s="320"/>
      <c r="D567" s="320"/>
      <c r="E567" s="320"/>
      <c r="F567" s="320"/>
      <c r="G567" s="320"/>
      <c r="H567" s="320"/>
      <c r="I567" s="320"/>
      <c r="J567" s="320"/>
      <c r="K567" s="320"/>
      <c r="L567" s="320"/>
      <c r="M567" s="320"/>
      <c r="N567" s="320"/>
      <c r="O567" s="320"/>
    </row>
    <row r="568">
      <c r="A568" s="320"/>
      <c r="B568" s="320"/>
      <c r="C568" s="320"/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  <c r="N568" s="320"/>
      <c r="O568" s="320"/>
    </row>
    <row r="569">
      <c r="A569" s="320"/>
      <c r="B569" s="320"/>
      <c r="C569" s="320"/>
      <c r="D569" s="320"/>
      <c r="E569" s="320"/>
      <c r="F569" s="320"/>
      <c r="G569" s="320"/>
      <c r="H569" s="320"/>
      <c r="I569" s="320"/>
      <c r="J569" s="320"/>
      <c r="K569" s="320"/>
      <c r="L569" s="320"/>
      <c r="M569" s="320"/>
      <c r="N569" s="320"/>
      <c r="O569" s="320"/>
    </row>
    <row r="570">
      <c r="A570" s="320"/>
      <c r="B570" s="320"/>
      <c r="C570" s="320"/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  <c r="N570" s="320"/>
      <c r="O570" s="320"/>
    </row>
    <row r="571">
      <c r="A571" s="320"/>
      <c r="B571" s="320"/>
      <c r="C571" s="320"/>
      <c r="D571" s="320"/>
      <c r="E571" s="320"/>
      <c r="F571" s="320"/>
      <c r="G571" s="320"/>
      <c r="H571" s="320"/>
      <c r="I571" s="320"/>
      <c r="J571" s="320"/>
      <c r="K571" s="320"/>
      <c r="L571" s="320"/>
      <c r="M571" s="320"/>
      <c r="N571" s="320"/>
      <c r="O571" s="320"/>
    </row>
    <row r="572">
      <c r="A572" s="320"/>
      <c r="B572" s="320"/>
      <c r="C572" s="320"/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  <c r="N572" s="320"/>
      <c r="O572" s="320"/>
    </row>
    <row r="573">
      <c r="A573" s="320"/>
      <c r="B573" s="320"/>
      <c r="C573" s="320"/>
      <c r="D573" s="320"/>
      <c r="E573" s="320"/>
      <c r="F573" s="320"/>
      <c r="G573" s="320"/>
      <c r="H573" s="320"/>
      <c r="I573" s="320"/>
      <c r="J573" s="320"/>
      <c r="K573" s="320"/>
      <c r="L573" s="320"/>
      <c r="M573" s="320"/>
      <c r="N573" s="320"/>
      <c r="O573" s="320"/>
    </row>
    <row r="574">
      <c r="A574" s="320"/>
      <c r="B574" s="320"/>
      <c r="C574" s="320"/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  <c r="N574" s="320"/>
      <c r="O574" s="320"/>
    </row>
    <row r="575">
      <c r="A575" s="320"/>
      <c r="B575" s="320"/>
      <c r="C575" s="320"/>
      <c r="D575" s="320"/>
      <c r="E575" s="320"/>
      <c r="F575" s="320"/>
      <c r="G575" s="320"/>
      <c r="H575" s="320"/>
      <c r="I575" s="320"/>
      <c r="J575" s="320"/>
      <c r="K575" s="320"/>
      <c r="L575" s="320"/>
      <c r="M575" s="320"/>
      <c r="N575" s="320"/>
      <c r="O575" s="320"/>
    </row>
    <row r="576">
      <c r="A576" s="320"/>
      <c r="B576" s="320"/>
      <c r="C576" s="320"/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  <c r="N576" s="320"/>
      <c r="O576" s="320"/>
    </row>
    <row r="577">
      <c r="A577" s="320"/>
      <c r="B577" s="320"/>
      <c r="C577" s="320"/>
      <c r="D577" s="320"/>
      <c r="E577" s="320"/>
      <c r="F577" s="320"/>
      <c r="G577" s="320"/>
      <c r="H577" s="320"/>
      <c r="I577" s="320"/>
      <c r="J577" s="320"/>
      <c r="K577" s="320"/>
      <c r="L577" s="320"/>
      <c r="M577" s="320"/>
      <c r="N577" s="320"/>
      <c r="O577" s="320"/>
    </row>
    <row r="578">
      <c r="A578" s="320"/>
      <c r="B578" s="320"/>
      <c r="C578" s="320"/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  <c r="N578" s="320"/>
      <c r="O578" s="320"/>
    </row>
    <row r="579">
      <c r="A579" s="320"/>
      <c r="B579" s="320"/>
      <c r="C579" s="320"/>
      <c r="D579" s="320"/>
      <c r="E579" s="320"/>
      <c r="F579" s="320"/>
      <c r="G579" s="320"/>
      <c r="H579" s="320"/>
      <c r="I579" s="320"/>
      <c r="J579" s="320"/>
      <c r="K579" s="320"/>
      <c r="L579" s="320"/>
      <c r="M579" s="320"/>
      <c r="N579" s="320"/>
      <c r="O579" s="320"/>
    </row>
    <row r="580">
      <c r="A580" s="320"/>
      <c r="B580" s="320"/>
      <c r="C580" s="320"/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  <c r="N580" s="320"/>
      <c r="O580" s="320"/>
    </row>
    <row r="581">
      <c r="A581" s="320"/>
      <c r="B581" s="320"/>
      <c r="C581" s="320"/>
      <c r="D581" s="320"/>
      <c r="E581" s="320"/>
      <c r="F581" s="320"/>
      <c r="G581" s="320"/>
      <c r="H581" s="320"/>
      <c r="I581" s="320"/>
      <c r="J581" s="320"/>
      <c r="K581" s="320"/>
      <c r="L581" s="320"/>
      <c r="M581" s="320"/>
      <c r="N581" s="320"/>
      <c r="O581" s="320"/>
    </row>
    <row r="582">
      <c r="A582" s="320"/>
      <c r="B582" s="320"/>
      <c r="C582" s="320"/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  <c r="N582" s="320"/>
      <c r="O582" s="320"/>
    </row>
    <row r="583">
      <c r="A583" s="320"/>
      <c r="B583" s="320"/>
      <c r="C583" s="320"/>
      <c r="D583" s="320"/>
      <c r="E583" s="320"/>
      <c r="F583" s="320"/>
      <c r="G583" s="320"/>
      <c r="H583" s="320"/>
      <c r="I583" s="320"/>
      <c r="J583" s="320"/>
      <c r="K583" s="320"/>
      <c r="L583" s="320"/>
      <c r="M583" s="320"/>
      <c r="N583" s="320"/>
      <c r="O583" s="320"/>
    </row>
    <row r="584">
      <c r="A584" s="320"/>
      <c r="B584" s="320"/>
      <c r="C584" s="320"/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  <c r="N584" s="320"/>
      <c r="O584" s="320"/>
    </row>
    <row r="585">
      <c r="A585" s="320"/>
      <c r="B585" s="320"/>
      <c r="C585" s="320"/>
      <c r="D585" s="320"/>
      <c r="E585" s="320"/>
      <c r="F585" s="320"/>
      <c r="G585" s="320"/>
      <c r="H585" s="320"/>
      <c r="I585" s="320"/>
      <c r="J585" s="320"/>
      <c r="K585" s="320"/>
      <c r="L585" s="320"/>
      <c r="M585" s="320"/>
      <c r="N585" s="320"/>
      <c r="O585" s="320"/>
    </row>
    <row r="586">
      <c r="A586" s="320"/>
      <c r="B586" s="320"/>
      <c r="C586" s="320"/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  <c r="N586" s="320"/>
      <c r="O586" s="320"/>
    </row>
    <row r="587">
      <c r="A587" s="320"/>
      <c r="B587" s="320"/>
      <c r="C587" s="320"/>
      <c r="D587" s="320"/>
      <c r="E587" s="320"/>
      <c r="F587" s="320"/>
      <c r="G587" s="320"/>
      <c r="H587" s="320"/>
      <c r="I587" s="320"/>
      <c r="J587" s="320"/>
      <c r="K587" s="320"/>
      <c r="L587" s="320"/>
      <c r="M587" s="320"/>
      <c r="N587" s="320"/>
      <c r="O587" s="320"/>
    </row>
    <row r="588">
      <c r="A588" s="320"/>
      <c r="B588" s="320"/>
      <c r="C588" s="320"/>
      <c r="D588" s="320"/>
      <c r="E588" s="320"/>
      <c r="F588" s="320"/>
      <c r="G588" s="320"/>
      <c r="H588" s="320"/>
      <c r="I588" s="320"/>
      <c r="J588" s="320"/>
      <c r="K588" s="320"/>
      <c r="L588" s="320"/>
      <c r="M588" s="320"/>
      <c r="N588" s="320"/>
      <c r="O588" s="320"/>
    </row>
    <row r="589">
      <c r="A589" s="320"/>
      <c r="B589" s="320"/>
      <c r="C589" s="320"/>
      <c r="D589" s="320"/>
      <c r="E589" s="320"/>
      <c r="F589" s="320"/>
      <c r="G589" s="320"/>
      <c r="H589" s="320"/>
      <c r="I589" s="320"/>
      <c r="J589" s="320"/>
      <c r="K589" s="320"/>
      <c r="L589" s="320"/>
      <c r="M589" s="320"/>
      <c r="N589" s="320"/>
      <c r="O589" s="320"/>
    </row>
    <row r="590">
      <c r="A590" s="320"/>
      <c r="B590" s="320"/>
      <c r="C590" s="320"/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  <c r="N590" s="320"/>
      <c r="O590" s="320"/>
    </row>
    <row r="591">
      <c r="A591" s="320"/>
      <c r="B591" s="320"/>
      <c r="C591" s="320"/>
      <c r="D591" s="320"/>
      <c r="E591" s="320"/>
      <c r="F591" s="320"/>
      <c r="G591" s="320"/>
      <c r="H591" s="320"/>
      <c r="I591" s="320"/>
      <c r="J591" s="320"/>
      <c r="K591" s="320"/>
      <c r="L591" s="320"/>
      <c r="M591" s="320"/>
      <c r="N591" s="320"/>
      <c r="O591" s="320"/>
    </row>
    <row r="592">
      <c r="A592" s="320"/>
      <c r="B592" s="320"/>
      <c r="C592" s="320"/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  <c r="N592" s="320"/>
      <c r="O592" s="320"/>
    </row>
    <row r="593">
      <c r="A593" s="320"/>
      <c r="B593" s="320"/>
      <c r="C593" s="320"/>
      <c r="D593" s="320"/>
      <c r="E593" s="320"/>
      <c r="F593" s="320"/>
      <c r="G593" s="320"/>
      <c r="H593" s="320"/>
      <c r="I593" s="320"/>
      <c r="J593" s="320"/>
      <c r="K593" s="320"/>
      <c r="L593" s="320"/>
      <c r="M593" s="320"/>
      <c r="N593" s="320"/>
      <c r="O593" s="320"/>
    </row>
    <row r="594">
      <c r="A594" s="320"/>
      <c r="B594" s="320"/>
      <c r="C594" s="320"/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  <c r="N594" s="320"/>
      <c r="O594" s="320"/>
    </row>
    <row r="595">
      <c r="A595" s="320"/>
      <c r="B595" s="320"/>
      <c r="C595" s="320"/>
      <c r="D595" s="320"/>
      <c r="E595" s="320"/>
      <c r="F595" s="320"/>
      <c r="G595" s="320"/>
      <c r="H595" s="320"/>
      <c r="I595" s="320"/>
      <c r="J595" s="320"/>
      <c r="K595" s="320"/>
      <c r="L595" s="320"/>
      <c r="M595" s="320"/>
      <c r="N595" s="320"/>
      <c r="O595" s="320"/>
    </row>
    <row r="596">
      <c r="A596" s="320"/>
      <c r="B596" s="320"/>
      <c r="C596" s="320"/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  <c r="N596" s="320"/>
      <c r="O596" s="320"/>
    </row>
    <row r="597">
      <c r="A597" s="320"/>
      <c r="B597" s="320"/>
      <c r="C597" s="320"/>
      <c r="D597" s="320"/>
      <c r="E597" s="320"/>
      <c r="F597" s="320"/>
      <c r="G597" s="320"/>
      <c r="H597" s="320"/>
      <c r="I597" s="320"/>
      <c r="J597" s="320"/>
      <c r="K597" s="320"/>
      <c r="L597" s="320"/>
      <c r="M597" s="320"/>
      <c r="N597" s="320"/>
      <c r="O597" s="320"/>
    </row>
    <row r="598">
      <c r="A598" s="320"/>
      <c r="B598" s="320"/>
      <c r="C598" s="320"/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  <c r="N598" s="320"/>
      <c r="O598" s="320"/>
    </row>
    <row r="599">
      <c r="A599" s="320"/>
      <c r="B599" s="320"/>
      <c r="C599" s="320"/>
      <c r="D599" s="320"/>
      <c r="E599" s="320"/>
      <c r="F599" s="320"/>
      <c r="G599" s="320"/>
      <c r="H599" s="320"/>
      <c r="I599" s="320"/>
      <c r="J599" s="320"/>
      <c r="K599" s="320"/>
      <c r="L599" s="320"/>
      <c r="M599" s="320"/>
      <c r="N599" s="320"/>
      <c r="O599" s="320"/>
    </row>
    <row r="600">
      <c r="A600" s="320"/>
      <c r="B600" s="320"/>
      <c r="C600" s="320"/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  <c r="N600" s="320"/>
      <c r="O600" s="320"/>
    </row>
    <row r="601">
      <c r="A601" s="320"/>
      <c r="B601" s="320"/>
      <c r="C601" s="320"/>
      <c r="D601" s="320"/>
      <c r="E601" s="320"/>
      <c r="F601" s="320"/>
      <c r="G601" s="320"/>
      <c r="H601" s="320"/>
      <c r="I601" s="320"/>
      <c r="J601" s="320"/>
      <c r="K601" s="320"/>
      <c r="L601" s="320"/>
      <c r="M601" s="320"/>
      <c r="N601" s="320"/>
      <c r="O601" s="320"/>
    </row>
    <row r="602">
      <c r="A602" s="320"/>
      <c r="B602" s="320"/>
      <c r="C602" s="320"/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  <c r="N602" s="320"/>
      <c r="O602" s="320"/>
    </row>
    <row r="603">
      <c r="A603" s="320"/>
      <c r="B603" s="320"/>
      <c r="C603" s="320"/>
      <c r="D603" s="320"/>
      <c r="E603" s="320"/>
      <c r="F603" s="320"/>
      <c r="G603" s="320"/>
      <c r="H603" s="320"/>
      <c r="I603" s="320"/>
      <c r="J603" s="320"/>
      <c r="K603" s="320"/>
      <c r="L603" s="320"/>
      <c r="M603" s="320"/>
      <c r="N603" s="320"/>
      <c r="O603" s="320"/>
    </row>
    <row r="604">
      <c r="A604" s="320"/>
      <c r="B604" s="320"/>
      <c r="C604" s="320"/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  <c r="N604" s="320"/>
      <c r="O604" s="320"/>
    </row>
    <row r="605">
      <c r="A605" s="320"/>
      <c r="B605" s="320"/>
      <c r="C605" s="320"/>
      <c r="D605" s="320"/>
      <c r="E605" s="320"/>
      <c r="F605" s="320"/>
      <c r="G605" s="320"/>
      <c r="H605" s="320"/>
      <c r="I605" s="320"/>
      <c r="J605" s="320"/>
      <c r="K605" s="320"/>
      <c r="L605" s="320"/>
      <c r="M605" s="320"/>
      <c r="N605" s="320"/>
      <c r="O605" s="320"/>
    </row>
    <row r="606">
      <c r="A606" s="320"/>
      <c r="B606" s="320"/>
      <c r="C606" s="320"/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  <c r="N606" s="320"/>
      <c r="O606" s="320"/>
    </row>
    <row r="607">
      <c r="A607" s="320"/>
      <c r="B607" s="320"/>
      <c r="C607" s="320"/>
      <c r="D607" s="320"/>
      <c r="E607" s="320"/>
      <c r="F607" s="320"/>
      <c r="G607" s="320"/>
      <c r="H607" s="320"/>
      <c r="I607" s="320"/>
      <c r="J607" s="320"/>
      <c r="K607" s="320"/>
      <c r="L607" s="320"/>
      <c r="M607" s="320"/>
      <c r="N607" s="320"/>
      <c r="O607" s="320"/>
    </row>
    <row r="608">
      <c r="A608" s="320"/>
      <c r="B608" s="320"/>
      <c r="C608" s="320"/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  <c r="N608" s="320"/>
      <c r="O608" s="320"/>
    </row>
    <row r="609">
      <c r="A609" s="320"/>
      <c r="B609" s="320"/>
      <c r="C609" s="320"/>
      <c r="D609" s="320"/>
      <c r="E609" s="320"/>
      <c r="F609" s="320"/>
      <c r="G609" s="320"/>
      <c r="H609" s="320"/>
      <c r="I609" s="320"/>
      <c r="J609" s="320"/>
      <c r="K609" s="320"/>
      <c r="L609" s="320"/>
      <c r="M609" s="320"/>
      <c r="N609" s="320"/>
      <c r="O609" s="320"/>
    </row>
    <row r="610">
      <c r="A610" s="320"/>
      <c r="B610" s="320"/>
      <c r="C610" s="320"/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  <c r="N610" s="320"/>
      <c r="O610" s="320"/>
    </row>
    <row r="611">
      <c r="A611" s="320"/>
      <c r="B611" s="320"/>
      <c r="C611" s="320"/>
      <c r="D611" s="320"/>
      <c r="E611" s="320"/>
      <c r="F611" s="320"/>
      <c r="G611" s="320"/>
      <c r="H611" s="320"/>
      <c r="I611" s="320"/>
      <c r="J611" s="320"/>
      <c r="K611" s="320"/>
      <c r="L611" s="320"/>
      <c r="M611" s="320"/>
      <c r="N611" s="320"/>
      <c r="O611" s="320"/>
    </row>
    <row r="612">
      <c r="A612" s="320"/>
      <c r="B612" s="320"/>
      <c r="C612" s="320"/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  <c r="N612" s="320"/>
      <c r="O612" s="320"/>
    </row>
    <row r="613">
      <c r="A613" s="320"/>
      <c r="B613" s="320"/>
      <c r="C613" s="320"/>
      <c r="D613" s="320"/>
      <c r="E613" s="320"/>
      <c r="F613" s="320"/>
      <c r="G613" s="320"/>
      <c r="H613" s="320"/>
      <c r="I613" s="320"/>
      <c r="J613" s="320"/>
      <c r="K613" s="320"/>
      <c r="L613" s="320"/>
      <c r="M613" s="320"/>
      <c r="N613" s="320"/>
      <c r="O613" s="320"/>
    </row>
    <row r="614">
      <c r="A614" s="320"/>
      <c r="B614" s="320"/>
      <c r="C614" s="320"/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  <c r="N614" s="320"/>
      <c r="O614" s="320"/>
    </row>
    <row r="615">
      <c r="A615" s="320"/>
      <c r="B615" s="320"/>
      <c r="C615" s="320"/>
      <c r="D615" s="320"/>
      <c r="E615" s="320"/>
      <c r="F615" s="320"/>
      <c r="G615" s="320"/>
      <c r="H615" s="320"/>
      <c r="I615" s="320"/>
      <c r="J615" s="320"/>
      <c r="K615" s="320"/>
      <c r="L615" s="320"/>
      <c r="M615" s="320"/>
      <c r="N615" s="320"/>
      <c r="O615" s="320"/>
    </row>
    <row r="616">
      <c r="A616" s="320"/>
      <c r="B616" s="320"/>
      <c r="C616" s="320"/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  <c r="N616" s="320"/>
      <c r="O616" s="320"/>
    </row>
    <row r="617">
      <c r="A617" s="320"/>
      <c r="B617" s="320"/>
      <c r="C617" s="320"/>
      <c r="D617" s="320"/>
      <c r="E617" s="320"/>
      <c r="F617" s="320"/>
      <c r="G617" s="320"/>
      <c r="H617" s="320"/>
      <c r="I617" s="320"/>
      <c r="J617" s="320"/>
      <c r="K617" s="320"/>
      <c r="L617" s="320"/>
      <c r="M617" s="320"/>
      <c r="N617" s="320"/>
      <c r="O617" s="320"/>
    </row>
    <row r="618">
      <c r="A618" s="320"/>
      <c r="B618" s="320"/>
      <c r="C618" s="320"/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  <c r="N618" s="320"/>
      <c r="O618" s="320"/>
    </row>
    <row r="619">
      <c r="A619" s="320"/>
      <c r="B619" s="320"/>
      <c r="C619" s="320"/>
      <c r="D619" s="320"/>
      <c r="E619" s="320"/>
      <c r="F619" s="320"/>
      <c r="G619" s="320"/>
      <c r="H619" s="320"/>
      <c r="I619" s="320"/>
      <c r="J619" s="320"/>
      <c r="K619" s="320"/>
      <c r="L619" s="320"/>
      <c r="M619" s="320"/>
      <c r="N619" s="320"/>
      <c r="O619" s="320"/>
    </row>
    <row r="620">
      <c r="A620" s="320"/>
      <c r="B620" s="320"/>
      <c r="C620" s="320"/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  <c r="N620" s="320"/>
      <c r="O620" s="320"/>
    </row>
    <row r="621">
      <c r="A621" s="320"/>
      <c r="B621" s="320"/>
      <c r="C621" s="320"/>
      <c r="D621" s="320"/>
      <c r="E621" s="320"/>
      <c r="F621" s="320"/>
      <c r="G621" s="320"/>
      <c r="H621" s="320"/>
      <c r="I621" s="320"/>
      <c r="J621" s="320"/>
      <c r="K621" s="320"/>
      <c r="L621" s="320"/>
      <c r="M621" s="320"/>
      <c r="N621" s="320"/>
      <c r="O621" s="320"/>
    </row>
    <row r="622">
      <c r="A622" s="320"/>
      <c r="B622" s="320"/>
      <c r="C622" s="320"/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  <c r="N622" s="320"/>
      <c r="O622" s="320"/>
    </row>
    <row r="623">
      <c r="A623" s="320"/>
      <c r="B623" s="320"/>
      <c r="C623" s="320"/>
      <c r="D623" s="320"/>
      <c r="E623" s="320"/>
      <c r="F623" s="320"/>
      <c r="G623" s="320"/>
      <c r="H623" s="320"/>
      <c r="I623" s="320"/>
      <c r="J623" s="320"/>
      <c r="K623" s="320"/>
      <c r="L623" s="320"/>
      <c r="M623" s="320"/>
      <c r="N623" s="320"/>
      <c r="O623" s="320"/>
    </row>
    <row r="624">
      <c r="A624" s="320"/>
      <c r="B624" s="320"/>
      <c r="C624" s="320"/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  <c r="N624" s="320"/>
      <c r="O624" s="320"/>
    </row>
    <row r="625">
      <c r="A625" s="320"/>
      <c r="B625" s="320"/>
      <c r="C625" s="320"/>
      <c r="D625" s="320"/>
      <c r="E625" s="320"/>
      <c r="F625" s="320"/>
      <c r="G625" s="320"/>
      <c r="H625" s="320"/>
      <c r="I625" s="320"/>
      <c r="J625" s="320"/>
      <c r="K625" s="320"/>
      <c r="L625" s="320"/>
      <c r="M625" s="320"/>
      <c r="N625" s="320"/>
      <c r="O625" s="320"/>
    </row>
    <row r="626">
      <c r="A626" s="320"/>
      <c r="B626" s="320"/>
      <c r="C626" s="320"/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  <c r="N626" s="320"/>
      <c r="O626" s="320"/>
    </row>
    <row r="627">
      <c r="A627" s="320"/>
      <c r="B627" s="320"/>
      <c r="C627" s="320"/>
      <c r="D627" s="320"/>
      <c r="E627" s="320"/>
      <c r="F627" s="320"/>
      <c r="G627" s="320"/>
      <c r="H627" s="320"/>
      <c r="I627" s="320"/>
      <c r="J627" s="320"/>
      <c r="K627" s="320"/>
      <c r="L627" s="320"/>
      <c r="M627" s="320"/>
      <c r="N627" s="320"/>
      <c r="O627" s="320"/>
    </row>
    <row r="628">
      <c r="A628" s="320"/>
      <c r="B628" s="320"/>
      <c r="C628" s="320"/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  <c r="N628" s="320"/>
      <c r="O628" s="320"/>
    </row>
    <row r="629">
      <c r="A629" s="320"/>
      <c r="B629" s="320"/>
      <c r="C629" s="320"/>
      <c r="D629" s="320"/>
      <c r="E629" s="320"/>
      <c r="F629" s="320"/>
      <c r="G629" s="320"/>
      <c r="H629" s="320"/>
      <c r="I629" s="320"/>
      <c r="J629" s="320"/>
      <c r="K629" s="320"/>
      <c r="L629" s="320"/>
      <c r="M629" s="320"/>
      <c r="N629" s="320"/>
      <c r="O629" s="320"/>
    </row>
    <row r="630">
      <c r="A630" s="320"/>
      <c r="B630" s="320"/>
      <c r="C630" s="320"/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  <c r="N630" s="320"/>
      <c r="O630" s="320"/>
    </row>
    <row r="631">
      <c r="A631" s="320"/>
      <c r="B631" s="320"/>
      <c r="C631" s="320"/>
      <c r="D631" s="320"/>
      <c r="E631" s="320"/>
      <c r="F631" s="320"/>
      <c r="G631" s="320"/>
      <c r="H631" s="320"/>
      <c r="I631" s="320"/>
      <c r="J631" s="320"/>
      <c r="K631" s="320"/>
      <c r="L631" s="320"/>
      <c r="M631" s="320"/>
      <c r="N631" s="320"/>
      <c r="O631" s="320"/>
    </row>
    <row r="632">
      <c r="A632" s="320"/>
      <c r="B632" s="320"/>
      <c r="C632" s="320"/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  <c r="N632" s="320"/>
      <c r="O632" s="320"/>
    </row>
    <row r="633">
      <c r="A633" s="320"/>
      <c r="B633" s="320"/>
      <c r="C633" s="320"/>
      <c r="D633" s="320"/>
      <c r="E633" s="320"/>
      <c r="F633" s="320"/>
      <c r="G633" s="320"/>
      <c r="H633" s="320"/>
      <c r="I633" s="320"/>
      <c r="J633" s="320"/>
      <c r="K633" s="320"/>
      <c r="L633" s="320"/>
      <c r="M633" s="320"/>
      <c r="N633" s="320"/>
      <c r="O633" s="320"/>
    </row>
    <row r="634">
      <c r="A634" s="320"/>
      <c r="B634" s="320"/>
      <c r="C634" s="320"/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  <c r="N634" s="320"/>
      <c r="O634" s="320"/>
    </row>
    <row r="635">
      <c r="A635" s="320"/>
      <c r="B635" s="320"/>
      <c r="C635" s="320"/>
      <c r="D635" s="320"/>
      <c r="E635" s="320"/>
      <c r="F635" s="320"/>
      <c r="G635" s="320"/>
      <c r="H635" s="320"/>
      <c r="I635" s="320"/>
      <c r="J635" s="320"/>
      <c r="K635" s="320"/>
      <c r="L635" s="320"/>
      <c r="M635" s="320"/>
      <c r="N635" s="320"/>
      <c r="O635" s="320"/>
    </row>
    <row r="636">
      <c r="A636" s="320"/>
      <c r="B636" s="320"/>
      <c r="C636" s="320"/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  <c r="N636" s="320"/>
      <c r="O636" s="320"/>
    </row>
    <row r="637">
      <c r="A637" s="320"/>
      <c r="B637" s="320"/>
      <c r="C637" s="320"/>
      <c r="D637" s="320"/>
      <c r="E637" s="320"/>
      <c r="F637" s="320"/>
      <c r="G637" s="320"/>
      <c r="H637" s="320"/>
      <c r="I637" s="320"/>
      <c r="J637" s="320"/>
      <c r="K637" s="320"/>
      <c r="L637" s="320"/>
      <c r="M637" s="320"/>
      <c r="N637" s="320"/>
      <c r="O637" s="320"/>
    </row>
    <row r="638">
      <c r="A638" s="320"/>
      <c r="B638" s="320"/>
      <c r="C638" s="320"/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  <c r="N638" s="320"/>
      <c r="O638" s="320"/>
    </row>
    <row r="639">
      <c r="A639" s="320"/>
      <c r="B639" s="320"/>
      <c r="C639" s="320"/>
      <c r="D639" s="320"/>
      <c r="E639" s="320"/>
      <c r="F639" s="320"/>
      <c r="G639" s="320"/>
      <c r="H639" s="320"/>
      <c r="I639" s="320"/>
      <c r="J639" s="320"/>
      <c r="K639" s="320"/>
      <c r="L639" s="320"/>
      <c r="M639" s="320"/>
      <c r="N639" s="320"/>
      <c r="O639" s="320"/>
    </row>
    <row r="640">
      <c r="A640" s="320"/>
      <c r="B640" s="320"/>
      <c r="C640" s="320"/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  <c r="N640" s="320"/>
      <c r="O640" s="320"/>
    </row>
    <row r="641">
      <c r="A641" s="320"/>
      <c r="B641" s="320"/>
      <c r="C641" s="320"/>
      <c r="D641" s="320"/>
      <c r="E641" s="320"/>
      <c r="F641" s="320"/>
      <c r="G641" s="320"/>
      <c r="H641" s="320"/>
      <c r="I641" s="320"/>
      <c r="J641" s="320"/>
      <c r="K641" s="320"/>
      <c r="L641" s="320"/>
      <c r="M641" s="320"/>
      <c r="N641" s="320"/>
      <c r="O641" s="320"/>
    </row>
    <row r="642">
      <c r="A642" s="320"/>
      <c r="B642" s="320"/>
      <c r="C642" s="320"/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  <c r="N642" s="320"/>
      <c r="O642" s="320"/>
    </row>
    <row r="643">
      <c r="A643" s="320"/>
      <c r="B643" s="320"/>
      <c r="C643" s="320"/>
      <c r="D643" s="320"/>
      <c r="E643" s="320"/>
      <c r="F643" s="320"/>
      <c r="G643" s="320"/>
      <c r="H643" s="320"/>
      <c r="I643" s="320"/>
      <c r="J643" s="320"/>
      <c r="K643" s="320"/>
      <c r="L643" s="320"/>
      <c r="M643" s="320"/>
      <c r="N643" s="320"/>
      <c r="O643" s="320"/>
    </row>
    <row r="644">
      <c r="A644" s="320"/>
      <c r="B644" s="320"/>
      <c r="C644" s="320"/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  <c r="N644" s="320"/>
      <c r="O644" s="320"/>
    </row>
    <row r="645">
      <c r="A645" s="320"/>
      <c r="B645" s="320"/>
      <c r="C645" s="320"/>
      <c r="D645" s="320"/>
      <c r="E645" s="320"/>
      <c r="F645" s="320"/>
      <c r="G645" s="320"/>
      <c r="H645" s="320"/>
      <c r="I645" s="320"/>
      <c r="J645" s="320"/>
      <c r="K645" s="320"/>
      <c r="L645" s="320"/>
      <c r="M645" s="320"/>
      <c r="N645" s="320"/>
      <c r="O645" s="320"/>
    </row>
    <row r="646">
      <c r="A646" s="320"/>
      <c r="B646" s="320"/>
      <c r="C646" s="320"/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  <c r="N646" s="320"/>
      <c r="O646" s="320"/>
    </row>
    <row r="647">
      <c r="A647" s="320"/>
      <c r="B647" s="320"/>
      <c r="C647" s="320"/>
      <c r="D647" s="320"/>
      <c r="E647" s="320"/>
      <c r="F647" s="320"/>
      <c r="G647" s="320"/>
      <c r="H647" s="320"/>
      <c r="I647" s="320"/>
      <c r="J647" s="320"/>
      <c r="K647" s="320"/>
      <c r="L647" s="320"/>
      <c r="M647" s="320"/>
      <c r="N647" s="320"/>
      <c r="O647" s="320"/>
    </row>
    <row r="648">
      <c r="A648" s="320"/>
      <c r="B648" s="320"/>
      <c r="C648" s="320"/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  <c r="N648" s="320"/>
      <c r="O648" s="320"/>
    </row>
    <row r="649">
      <c r="A649" s="320"/>
      <c r="B649" s="320"/>
      <c r="C649" s="320"/>
      <c r="D649" s="320"/>
      <c r="E649" s="320"/>
      <c r="F649" s="320"/>
      <c r="G649" s="320"/>
      <c r="H649" s="320"/>
      <c r="I649" s="320"/>
      <c r="J649" s="320"/>
      <c r="K649" s="320"/>
      <c r="L649" s="320"/>
      <c r="M649" s="320"/>
      <c r="N649" s="320"/>
      <c r="O649" s="320"/>
    </row>
    <row r="650">
      <c r="A650" s="320"/>
      <c r="B650" s="320"/>
      <c r="C650" s="320"/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  <c r="N650" s="320"/>
      <c r="O650" s="320"/>
    </row>
    <row r="651">
      <c r="A651" s="320"/>
      <c r="B651" s="320"/>
      <c r="C651" s="320"/>
      <c r="D651" s="320"/>
      <c r="E651" s="320"/>
      <c r="F651" s="320"/>
      <c r="G651" s="320"/>
      <c r="H651" s="320"/>
      <c r="I651" s="320"/>
      <c r="J651" s="320"/>
      <c r="K651" s="320"/>
      <c r="L651" s="320"/>
      <c r="M651" s="320"/>
      <c r="N651" s="320"/>
      <c r="O651" s="320"/>
    </row>
    <row r="652">
      <c r="A652" s="320"/>
      <c r="B652" s="320"/>
      <c r="C652" s="320"/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  <c r="N652" s="320"/>
      <c r="O652" s="320"/>
    </row>
    <row r="653">
      <c r="A653" s="320"/>
      <c r="B653" s="320"/>
      <c r="C653" s="320"/>
      <c r="D653" s="320"/>
      <c r="E653" s="320"/>
      <c r="F653" s="320"/>
      <c r="G653" s="320"/>
      <c r="H653" s="320"/>
      <c r="I653" s="320"/>
      <c r="J653" s="320"/>
      <c r="K653" s="320"/>
      <c r="L653" s="320"/>
      <c r="M653" s="320"/>
      <c r="N653" s="320"/>
      <c r="O653" s="320"/>
    </row>
    <row r="654">
      <c r="A654" s="320"/>
      <c r="B654" s="320"/>
      <c r="C654" s="320"/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  <c r="N654" s="320"/>
      <c r="O654" s="320"/>
    </row>
    <row r="655">
      <c r="A655" s="320"/>
      <c r="B655" s="320"/>
      <c r="C655" s="320"/>
      <c r="D655" s="320"/>
      <c r="E655" s="320"/>
      <c r="F655" s="320"/>
      <c r="G655" s="320"/>
      <c r="H655" s="320"/>
      <c r="I655" s="320"/>
      <c r="J655" s="320"/>
      <c r="K655" s="320"/>
      <c r="L655" s="320"/>
      <c r="M655" s="320"/>
      <c r="N655" s="320"/>
      <c r="O655" s="320"/>
    </row>
    <row r="656">
      <c r="A656" s="320"/>
      <c r="B656" s="320"/>
      <c r="C656" s="320"/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  <c r="N656" s="320"/>
      <c r="O656" s="320"/>
    </row>
    <row r="657">
      <c r="A657" s="320"/>
      <c r="B657" s="320"/>
      <c r="C657" s="320"/>
      <c r="D657" s="320"/>
      <c r="E657" s="320"/>
      <c r="F657" s="320"/>
      <c r="G657" s="320"/>
      <c r="H657" s="320"/>
      <c r="I657" s="320"/>
      <c r="J657" s="320"/>
      <c r="K657" s="320"/>
      <c r="L657" s="320"/>
      <c r="M657" s="320"/>
      <c r="N657" s="320"/>
      <c r="O657" s="320"/>
    </row>
    <row r="658">
      <c r="A658" s="320"/>
      <c r="B658" s="320"/>
      <c r="C658" s="320"/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  <c r="N658" s="320"/>
      <c r="O658" s="320"/>
    </row>
    <row r="659">
      <c r="A659" s="320"/>
      <c r="B659" s="320"/>
      <c r="C659" s="320"/>
      <c r="D659" s="320"/>
      <c r="E659" s="320"/>
      <c r="F659" s="320"/>
      <c r="G659" s="320"/>
      <c r="H659" s="320"/>
      <c r="I659" s="320"/>
      <c r="J659" s="320"/>
      <c r="K659" s="320"/>
      <c r="L659" s="320"/>
      <c r="M659" s="320"/>
      <c r="N659" s="320"/>
      <c r="O659" s="320"/>
    </row>
    <row r="660">
      <c r="A660" s="320"/>
      <c r="B660" s="320"/>
      <c r="C660" s="320"/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  <c r="N660" s="320"/>
      <c r="O660" s="320"/>
    </row>
    <row r="661">
      <c r="A661" s="320"/>
      <c r="B661" s="320"/>
      <c r="C661" s="320"/>
      <c r="D661" s="320"/>
      <c r="E661" s="320"/>
      <c r="F661" s="320"/>
      <c r="G661" s="320"/>
      <c r="H661" s="320"/>
      <c r="I661" s="320"/>
      <c r="J661" s="320"/>
      <c r="K661" s="320"/>
      <c r="L661" s="320"/>
      <c r="M661" s="320"/>
      <c r="N661" s="320"/>
      <c r="O661" s="320"/>
    </row>
    <row r="662">
      <c r="A662" s="320"/>
      <c r="B662" s="320"/>
      <c r="C662" s="320"/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  <c r="N662" s="320"/>
      <c r="O662" s="320"/>
    </row>
    <row r="663">
      <c r="A663" s="320"/>
      <c r="B663" s="320"/>
      <c r="C663" s="320"/>
      <c r="D663" s="320"/>
      <c r="E663" s="320"/>
      <c r="F663" s="320"/>
      <c r="G663" s="320"/>
      <c r="H663" s="320"/>
      <c r="I663" s="320"/>
      <c r="J663" s="320"/>
      <c r="K663" s="320"/>
      <c r="L663" s="320"/>
      <c r="M663" s="320"/>
      <c r="N663" s="320"/>
      <c r="O663" s="320"/>
    </row>
    <row r="664">
      <c r="A664" s="320"/>
      <c r="B664" s="320"/>
      <c r="C664" s="320"/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  <c r="N664" s="320"/>
      <c r="O664" s="320"/>
    </row>
    <row r="665">
      <c r="A665" s="320"/>
      <c r="B665" s="320"/>
      <c r="C665" s="320"/>
      <c r="D665" s="320"/>
      <c r="E665" s="320"/>
      <c r="F665" s="320"/>
      <c r="G665" s="320"/>
      <c r="H665" s="320"/>
      <c r="I665" s="320"/>
      <c r="J665" s="320"/>
      <c r="K665" s="320"/>
      <c r="L665" s="320"/>
      <c r="M665" s="320"/>
      <c r="N665" s="320"/>
      <c r="O665" s="320"/>
    </row>
    <row r="666">
      <c r="A666" s="320"/>
      <c r="B666" s="320"/>
      <c r="C666" s="320"/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  <c r="N666" s="320"/>
      <c r="O666" s="320"/>
    </row>
    <row r="667">
      <c r="A667" s="320"/>
      <c r="B667" s="320"/>
      <c r="C667" s="320"/>
      <c r="D667" s="320"/>
      <c r="E667" s="320"/>
      <c r="F667" s="320"/>
      <c r="G667" s="320"/>
      <c r="H667" s="320"/>
      <c r="I667" s="320"/>
      <c r="J667" s="320"/>
      <c r="K667" s="320"/>
      <c r="L667" s="320"/>
      <c r="M667" s="320"/>
      <c r="N667" s="320"/>
      <c r="O667" s="320"/>
    </row>
    <row r="668">
      <c r="A668" s="320"/>
      <c r="B668" s="320"/>
      <c r="C668" s="320"/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  <c r="N668" s="320"/>
      <c r="O668" s="320"/>
    </row>
    <row r="669">
      <c r="A669" s="320"/>
      <c r="B669" s="320"/>
      <c r="C669" s="320"/>
      <c r="D669" s="320"/>
      <c r="E669" s="320"/>
      <c r="F669" s="320"/>
      <c r="G669" s="320"/>
      <c r="H669" s="320"/>
      <c r="I669" s="320"/>
      <c r="J669" s="320"/>
      <c r="K669" s="320"/>
      <c r="L669" s="320"/>
      <c r="M669" s="320"/>
      <c r="N669" s="320"/>
      <c r="O669" s="320"/>
    </row>
    <row r="670">
      <c r="A670" s="320"/>
      <c r="B670" s="320"/>
      <c r="C670" s="320"/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  <c r="N670" s="320"/>
      <c r="O670" s="320"/>
    </row>
    <row r="671">
      <c r="A671" s="320"/>
      <c r="B671" s="320"/>
      <c r="C671" s="320"/>
      <c r="D671" s="320"/>
      <c r="E671" s="320"/>
      <c r="F671" s="320"/>
      <c r="G671" s="320"/>
      <c r="H671" s="320"/>
      <c r="I671" s="320"/>
      <c r="J671" s="320"/>
      <c r="K671" s="320"/>
      <c r="L671" s="320"/>
      <c r="M671" s="320"/>
      <c r="N671" s="320"/>
      <c r="O671" s="320"/>
    </row>
    <row r="672">
      <c r="A672" s="320"/>
      <c r="B672" s="320"/>
      <c r="C672" s="320"/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  <c r="N672" s="320"/>
      <c r="O672" s="320"/>
    </row>
    <row r="673">
      <c r="A673" s="320"/>
      <c r="B673" s="320"/>
      <c r="C673" s="320"/>
      <c r="D673" s="320"/>
      <c r="E673" s="320"/>
      <c r="F673" s="320"/>
      <c r="G673" s="320"/>
      <c r="H673" s="320"/>
      <c r="I673" s="320"/>
      <c r="J673" s="320"/>
      <c r="K673" s="320"/>
      <c r="L673" s="320"/>
      <c r="M673" s="320"/>
      <c r="N673" s="320"/>
      <c r="O673" s="320"/>
    </row>
    <row r="674">
      <c r="A674" s="320"/>
      <c r="B674" s="320"/>
      <c r="C674" s="320"/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  <c r="N674" s="320"/>
      <c r="O674" s="320"/>
    </row>
    <row r="675">
      <c r="A675" s="320"/>
      <c r="B675" s="320"/>
      <c r="C675" s="320"/>
      <c r="D675" s="320"/>
      <c r="E675" s="320"/>
      <c r="F675" s="320"/>
      <c r="G675" s="320"/>
      <c r="H675" s="320"/>
      <c r="I675" s="320"/>
      <c r="J675" s="320"/>
      <c r="K675" s="320"/>
      <c r="L675" s="320"/>
      <c r="M675" s="320"/>
      <c r="N675" s="320"/>
      <c r="O675" s="320"/>
    </row>
    <row r="676">
      <c r="A676" s="320"/>
      <c r="B676" s="320"/>
      <c r="C676" s="320"/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  <c r="N676" s="320"/>
      <c r="O676" s="320"/>
    </row>
    <row r="677">
      <c r="A677" s="320"/>
      <c r="B677" s="320"/>
      <c r="C677" s="320"/>
      <c r="D677" s="320"/>
      <c r="E677" s="320"/>
      <c r="F677" s="320"/>
      <c r="G677" s="320"/>
      <c r="H677" s="320"/>
      <c r="I677" s="320"/>
      <c r="J677" s="320"/>
      <c r="K677" s="320"/>
      <c r="L677" s="320"/>
      <c r="M677" s="320"/>
      <c r="N677" s="320"/>
      <c r="O677" s="320"/>
    </row>
    <row r="678">
      <c r="A678" s="320"/>
      <c r="B678" s="320"/>
      <c r="C678" s="320"/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  <c r="N678" s="320"/>
      <c r="O678" s="320"/>
    </row>
    <row r="679">
      <c r="A679" s="320"/>
      <c r="B679" s="320"/>
      <c r="C679" s="320"/>
      <c r="D679" s="320"/>
      <c r="E679" s="320"/>
      <c r="F679" s="320"/>
      <c r="G679" s="320"/>
      <c r="H679" s="320"/>
      <c r="I679" s="320"/>
      <c r="J679" s="320"/>
      <c r="K679" s="320"/>
      <c r="L679" s="320"/>
      <c r="M679" s="320"/>
      <c r="N679" s="320"/>
      <c r="O679" s="320"/>
    </row>
    <row r="680">
      <c r="A680" s="320"/>
      <c r="B680" s="320"/>
      <c r="C680" s="320"/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  <c r="N680" s="320"/>
      <c r="O680" s="320"/>
    </row>
    <row r="681">
      <c r="A681" s="320"/>
      <c r="B681" s="320"/>
      <c r="C681" s="320"/>
      <c r="D681" s="320"/>
      <c r="E681" s="320"/>
      <c r="F681" s="320"/>
      <c r="G681" s="320"/>
      <c r="H681" s="320"/>
      <c r="I681" s="320"/>
      <c r="J681" s="320"/>
      <c r="K681" s="320"/>
      <c r="L681" s="320"/>
      <c r="M681" s="320"/>
      <c r="N681" s="320"/>
      <c r="O681" s="320"/>
    </row>
    <row r="682">
      <c r="A682" s="320"/>
      <c r="B682" s="320"/>
      <c r="C682" s="320"/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  <c r="N682" s="320"/>
      <c r="O682" s="320"/>
    </row>
    <row r="683">
      <c r="A683" s="320"/>
      <c r="B683" s="320"/>
      <c r="C683" s="320"/>
      <c r="D683" s="320"/>
      <c r="E683" s="320"/>
      <c r="F683" s="320"/>
      <c r="G683" s="320"/>
      <c r="H683" s="320"/>
      <c r="I683" s="320"/>
      <c r="J683" s="320"/>
      <c r="K683" s="320"/>
      <c r="L683" s="320"/>
      <c r="M683" s="320"/>
      <c r="N683" s="320"/>
      <c r="O683" s="320"/>
    </row>
    <row r="684">
      <c r="A684" s="320"/>
      <c r="B684" s="320"/>
      <c r="C684" s="320"/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  <c r="N684" s="320"/>
      <c r="O684" s="320"/>
    </row>
    <row r="685">
      <c r="A685" s="320"/>
      <c r="B685" s="320"/>
      <c r="C685" s="320"/>
      <c r="D685" s="320"/>
      <c r="E685" s="320"/>
      <c r="F685" s="320"/>
      <c r="G685" s="320"/>
      <c r="H685" s="320"/>
      <c r="I685" s="320"/>
      <c r="J685" s="320"/>
      <c r="K685" s="320"/>
      <c r="L685" s="320"/>
      <c r="M685" s="320"/>
      <c r="N685" s="320"/>
      <c r="O685" s="320"/>
    </row>
    <row r="686">
      <c r="A686" s="320"/>
      <c r="B686" s="320"/>
      <c r="C686" s="320"/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  <c r="N686" s="320"/>
      <c r="O686" s="320"/>
    </row>
    <row r="687">
      <c r="A687" s="320"/>
      <c r="B687" s="320"/>
      <c r="C687" s="320"/>
      <c r="D687" s="320"/>
      <c r="E687" s="320"/>
      <c r="F687" s="320"/>
      <c r="G687" s="320"/>
      <c r="H687" s="320"/>
      <c r="I687" s="320"/>
      <c r="J687" s="320"/>
      <c r="K687" s="320"/>
      <c r="L687" s="320"/>
      <c r="M687" s="320"/>
      <c r="N687" s="320"/>
      <c r="O687" s="320"/>
    </row>
    <row r="688">
      <c r="A688" s="320"/>
      <c r="B688" s="320"/>
      <c r="C688" s="320"/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  <c r="N688" s="320"/>
      <c r="O688" s="320"/>
    </row>
    <row r="689">
      <c r="A689" s="320"/>
      <c r="B689" s="320"/>
      <c r="C689" s="320"/>
      <c r="D689" s="320"/>
      <c r="E689" s="320"/>
      <c r="F689" s="320"/>
      <c r="G689" s="320"/>
      <c r="H689" s="320"/>
      <c r="I689" s="320"/>
      <c r="J689" s="320"/>
      <c r="K689" s="320"/>
      <c r="L689" s="320"/>
      <c r="M689" s="320"/>
      <c r="N689" s="320"/>
      <c r="O689" s="320"/>
    </row>
    <row r="690">
      <c r="A690" s="320"/>
      <c r="B690" s="320"/>
      <c r="C690" s="320"/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  <c r="N690" s="320"/>
      <c r="O690" s="320"/>
    </row>
    <row r="691">
      <c r="A691" s="320"/>
      <c r="B691" s="320"/>
      <c r="C691" s="320"/>
      <c r="D691" s="320"/>
      <c r="E691" s="320"/>
      <c r="F691" s="320"/>
      <c r="G691" s="320"/>
      <c r="H691" s="320"/>
      <c r="I691" s="320"/>
      <c r="J691" s="320"/>
      <c r="K691" s="320"/>
      <c r="L691" s="320"/>
      <c r="M691" s="320"/>
      <c r="N691" s="320"/>
      <c r="O691" s="320"/>
    </row>
    <row r="692">
      <c r="A692" s="320"/>
      <c r="B692" s="320"/>
      <c r="C692" s="320"/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  <c r="N692" s="320"/>
      <c r="O692" s="320"/>
    </row>
    <row r="693">
      <c r="A693" s="320"/>
      <c r="B693" s="320"/>
      <c r="C693" s="320"/>
      <c r="D693" s="320"/>
      <c r="E693" s="320"/>
      <c r="F693" s="320"/>
      <c r="G693" s="320"/>
      <c r="H693" s="320"/>
      <c r="I693" s="320"/>
      <c r="J693" s="320"/>
      <c r="K693" s="320"/>
      <c r="L693" s="320"/>
      <c r="M693" s="320"/>
      <c r="N693" s="320"/>
      <c r="O693" s="320"/>
    </row>
    <row r="694">
      <c r="A694" s="320"/>
      <c r="B694" s="320"/>
      <c r="C694" s="320"/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  <c r="N694" s="320"/>
      <c r="O694" s="320"/>
    </row>
    <row r="695">
      <c r="A695" s="320"/>
      <c r="B695" s="320"/>
      <c r="C695" s="320"/>
      <c r="D695" s="320"/>
      <c r="E695" s="320"/>
      <c r="F695" s="320"/>
      <c r="G695" s="320"/>
      <c r="H695" s="320"/>
      <c r="I695" s="320"/>
      <c r="J695" s="320"/>
      <c r="K695" s="320"/>
      <c r="L695" s="320"/>
      <c r="M695" s="320"/>
      <c r="N695" s="320"/>
      <c r="O695" s="320"/>
    </row>
    <row r="696">
      <c r="A696" s="320"/>
      <c r="B696" s="320"/>
      <c r="C696" s="320"/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  <c r="N696" s="320"/>
      <c r="O696" s="320"/>
    </row>
    <row r="697">
      <c r="A697" s="320"/>
      <c r="B697" s="320"/>
      <c r="C697" s="320"/>
      <c r="D697" s="320"/>
      <c r="E697" s="320"/>
      <c r="F697" s="320"/>
      <c r="G697" s="320"/>
      <c r="H697" s="320"/>
      <c r="I697" s="320"/>
      <c r="J697" s="320"/>
      <c r="K697" s="320"/>
      <c r="L697" s="320"/>
      <c r="M697" s="320"/>
      <c r="N697" s="320"/>
      <c r="O697" s="320"/>
    </row>
    <row r="698">
      <c r="A698" s="320"/>
      <c r="B698" s="320"/>
      <c r="C698" s="320"/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  <c r="N698" s="320"/>
      <c r="O698" s="320"/>
    </row>
    <row r="699">
      <c r="A699" s="320"/>
      <c r="B699" s="320"/>
      <c r="C699" s="320"/>
      <c r="D699" s="320"/>
      <c r="E699" s="320"/>
      <c r="F699" s="320"/>
      <c r="G699" s="320"/>
      <c r="H699" s="320"/>
      <c r="I699" s="320"/>
      <c r="J699" s="320"/>
      <c r="K699" s="320"/>
      <c r="L699" s="320"/>
      <c r="M699" s="320"/>
      <c r="N699" s="320"/>
      <c r="O699" s="320"/>
    </row>
    <row r="700">
      <c r="A700" s="320"/>
      <c r="B700" s="320"/>
      <c r="C700" s="320"/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  <c r="N700" s="320"/>
      <c r="O700" s="320"/>
    </row>
    <row r="701">
      <c r="A701" s="320"/>
      <c r="B701" s="320"/>
      <c r="C701" s="320"/>
      <c r="D701" s="320"/>
      <c r="E701" s="320"/>
      <c r="F701" s="320"/>
      <c r="G701" s="320"/>
      <c r="H701" s="320"/>
      <c r="I701" s="320"/>
      <c r="J701" s="320"/>
      <c r="K701" s="320"/>
      <c r="L701" s="320"/>
      <c r="M701" s="320"/>
      <c r="N701" s="320"/>
      <c r="O701" s="320"/>
    </row>
    <row r="702">
      <c r="A702" s="320"/>
      <c r="B702" s="320"/>
      <c r="C702" s="320"/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  <c r="N702" s="320"/>
      <c r="O702" s="320"/>
    </row>
    <row r="703">
      <c r="A703" s="320"/>
      <c r="B703" s="320"/>
      <c r="C703" s="320"/>
      <c r="D703" s="320"/>
      <c r="E703" s="320"/>
      <c r="F703" s="320"/>
      <c r="G703" s="320"/>
      <c r="H703" s="320"/>
      <c r="I703" s="320"/>
      <c r="J703" s="320"/>
      <c r="K703" s="320"/>
      <c r="L703" s="320"/>
      <c r="M703" s="320"/>
      <c r="N703" s="320"/>
      <c r="O703" s="320"/>
    </row>
    <row r="704">
      <c r="A704" s="320"/>
      <c r="B704" s="320"/>
      <c r="C704" s="320"/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  <c r="N704" s="320"/>
      <c r="O704" s="320"/>
    </row>
    <row r="705">
      <c r="A705" s="320"/>
      <c r="B705" s="320"/>
      <c r="C705" s="320"/>
      <c r="D705" s="320"/>
      <c r="E705" s="320"/>
      <c r="F705" s="320"/>
      <c r="G705" s="320"/>
      <c r="H705" s="320"/>
      <c r="I705" s="320"/>
      <c r="J705" s="320"/>
      <c r="K705" s="320"/>
      <c r="L705" s="320"/>
      <c r="M705" s="320"/>
      <c r="N705" s="320"/>
      <c r="O705" s="320"/>
    </row>
    <row r="706">
      <c r="A706" s="320"/>
      <c r="B706" s="320"/>
      <c r="C706" s="320"/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  <c r="N706" s="320"/>
      <c r="O706" s="320"/>
    </row>
    <row r="707">
      <c r="A707" s="320"/>
      <c r="B707" s="320"/>
      <c r="C707" s="320"/>
      <c r="D707" s="320"/>
      <c r="E707" s="320"/>
      <c r="F707" s="320"/>
      <c r="G707" s="320"/>
      <c r="H707" s="320"/>
      <c r="I707" s="320"/>
      <c r="J707" s="320"/>
      <c r="K707" s="320"/>
      <c r="L707" s="320"/>
      <c r="M707" s="320"/>
      <c r="N707" s="320"/>
      <c r="O707" s="320"/>
    </row>
    <row r="708">
      <c r="A708" s="320"/>
      <c r="B708" s="320"/>
      <c r="C708" s="320"/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  <c r="N708" s="320"/>
      <c r="O708" s="320"/>
    </row>
    <row r="709">
      <c r="A709" s="320"/>
      <c r="B709" s="320"/>
      <c r="C709" s="320"/>
      <c r="D709" s="320"/>
      <c r="E709" s="320"/>
      <c r="F709" s="320"/>
      <c r="G709" s="320"/>
      <c r="H709" s="320"/>
      <c r="I709" s="320"/>
      <c r="J709" s="320"/>
      <c r="K709" s="320"/>
      <c r="L709" s="320"/>
      <c r="M709" s="320"/>
      <c r="N709" s="320"/>
      <c r="O709" s="320"/>
    </row>
    <row r="710">
      <c r="A710" s="320"/>
      <c r="B710" s="320"/>
      <c r="C710" s="320"/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  <c r="N710" s="320"/>
      <c r="O710" s="320"/>
    </row>
    <row r="711">
      <c r="A711" s="320"/>
      <c r="B711" s="320"/>
      <c r="C711" s="320"/>
      <c r="D711" s="320"/>
      <c r="E711" s="320"/>
      <c r="F711" s="320"/>
      <c r="G711" s="320"/>
      <c r="H711" s="320"/>
      <c r="I711" s="320"/>
      <c r="J711" s="320"/>
      <c r="K711" s="320"/>
      <c r="L711" s="320"/>
      <c r="M711" s="320"/>
      <c r="N711" s="320"/>
      <c r="O711" s="320"/>
    </row>
    <row r="712">
      <c r="A712" s="320"/>
      <c r="B712" s="320"/>
      <c r="C712" s="320"/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  <c r="N712" s="320"/>
      <c r="O712" s="320"/>
    </row>
    <row r="713">
      <c r="A713" s="320"/>
      <c r="B713" s="320"/>
      <c r="C713" s="320"/>
      <c r="D713" s="320"/>
      <c r="E713" s="320"/>
      <c r="F713" s="320"/>
      <c r="G713" s="320"/>
      <c r="H713" s="320"/>
      <c r="I713" s="320"/>
      <c r="J713" s="320"/>
      <c r="K713" s="320"/>
      <c r="L713" s="320"/>
      <c r="M713" s="320"/>
      <c r="N713" s="320"/>
      <c r="O713" s="320"/>
    </row>
    <row r="714">
      <c r="A714" s="320"/>
      <c r="B714" s="320"/>
      <c r="C714" s="320"/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  <c r="N714" s="320"/>
      <c r="O714" s="320"/>
    </row>
    <row r="715">
      <c r="A715" s="320"/>
      <c r="B715" s="320"/>
      <c r="C715" s="320"/>
      <c r="D715" s="320"/>
      <c r="E715" s="320"/>
      <c r="F715" s="320"/>
      <c r="G715" s="320"/>
      <c r="H715" s="320"/>
      <c r="I715" s="320"/>
      <c r="J715" s="320"/>
      <c r="K715" s="320"/>
      <c r="L715" s="320"/>
      <c r="M715" s="320"/>
      <c r="N715" s="320"/>
      <c r="O715" s="320"/>
    </row>
    <row r="716">
      <c r="A716" s="320"/>
      <c r="B716" s="320"/>
      <c r="C716" s="320"/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  <c r="N716" s="320"/>
      <c r="O716" s="320"/>
    </row>
    <row r="717">
      <c r="A717" s="320"/>
      <c r="B717" s="320"/>
      <c r="C717" s="320"/>
      <c r="D717" s="320"/>
      <c r="E717" s="320"/>
      <c r="F717" s="320"/>
      <c r="G717" s="320"/>
      <c r="H717" s="320"/>
      <c r="I717" s="320"/>
      <c r="J717" s="320"/>
      <c r="K717" s="320"/>
      <c r="L717" s="320"/>
      <c r="M717" s="320"/>
      <c r="N717" s="320"/>
      <c r="O717" s="320"/>
    </row>
    <row r="718">
      <c r="A718" s="320"/>
      <c r="B718" s="320"/>
      <c r="C718" s="320"/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  <c r="N718" s="320"/>
      <c r="O718" s="320"/>
    </row>
    <row r="719">
      <c r="A719" s="320"/>
      <c r="B719" s="320"/>
      <c r="C719" s="320"/>
      <c r="D719" s="320"/>
      <c r="E719" s="320"/>
      <c r="F719" s="320"/>
      <c r="G719" s="320"/>
      <c r="H719" s="320"/>
      <c r="I719" s="320"/>
      <c r="J719" s="320"/>
      <c r="K719" s="320"/>
      <c r="L719" s="320"/>
      <c r="M719" s="320"/>
      <c r="N719" s="320"/>
      <c r="O719" s="320"/>
    </row>
    <row r="720">
      <c r="A720" s="320"/>
      <c r="B720" s="320"/>
      <c r="C720" s="320"/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  <c r="N720" s="320"/>
      <c r="O720" s="320"/>
    </row>
    <row r="721">
      <c r="A721" s="320"/>
      <c r="B721" s="320"/>
      <c r="C721" s="320"/>
      <c r="D721" s="320"/>
      <c r="E721" s="320"/>
      <c r="F721" s="320"/>
      <c r="G721" s="320"/>
      <c r="H721" s="320"/>
      <c r="I721" s="320"/>
      <c r="J721" s="320"/>
      <c r="K721" s="320"/>
      <c r="L721" s="320"/>
      <c r="M721" s="320"/>
      <c r="N721" s="320"/>
      <c r="O721" s="320"/>
    </row>
    <row r="722">
      <c r="A722" s="320"/>
      <c r="B722" s="320"/>
      <c r="C722" s="320"/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  <c r="N722" s="320"/>
      <c r="O722" s="320"/>
    </row>
    <row r="723">
      <c r="A723" s="320"/>
      <c r="B723" s="320"/>
      <c r="C723" s="320"/>
      <c r="D723" s="320"/>
      <c r="E723" s="320"/>
      <c r="F723" s="320"/>
      <c r="G723" s="320"/>
      <c r="H723" s="320"/>
      <c r="I723" s="320"/>
      <c r="J723" s="320"/>
      <c r="K723" s="320"/>
      <c r="L723" s="320"/>
      <c r="M723" s="320"/>
      <c r="N723" s="320"/>
      <c r="O723" s="320"/>
    </row>
    <row r="724">
      <c r="A724" s="320"/>
      <c r="B724" s="320"/>
      <c r="C724" s="320"/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  <c r="N724" s="320"/>
      <c r="O724" s="320"/>
    </row>
    <row r="725">
      <c r="A725" s="320"/>
      <c r="B725" s="320"/>
      <c r="C725" s="320"/>
      <c r="D725" s="320"/>
      <c r="E725" s="320"/>
      <c r="F725" s="320"/>
      <c r="G725" s="320"/>
      <c r="H725" s="320"/>
      <c r="I725" s="320"/>
      <c r="J725" s="320"/>
      <c r="K725" s="320"/>
      <c r="L725" s="320"/>
      <c r="M725" s="320"/>
      <c r="N725" s="320"/>
      <c r="O725" s="320"/>
    </row>
    <row r="726">
      <c r="A726" s="320"/>
      <c r="B726" s="320"/>
      <c r="C726" s="320"/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  <c r="N726" s="320"/>
      <c r="O726" s="320"/>
    </row>
    <row r="727">
      <c r="A727" s="320"/>
      <c r="B727" s="320"/>
      <c r="C727" s="320"/>
      <c r="D727" s="320"/>
      <c r="E727" s="320"/>
      <c r="F727" s="320"/>
      <c r="G727" s="320"/>
      <c r="H727" s="320"/>
      <c r="I727" s="320"/>
      <c r="J727" s="320"/>
      <c r="K727" s="320"/>
      <c r="L727" s="320"/>
      <c r="M727" s="320"/>
      <c r="N727" s="320"/>
      <c r="O727" s="320"/>
    </row>
    <row r="728">
      <c r="A728" s="320"/>
      <c r="B728" s="320"/>
      <c r="C728" s="320"/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  <c r="N728" s="320"/>
      <c r="O728" s="320"/>
    </row>
    <row r="729">
      <c r="A729" s="320"/>
      <c r="B729" s="320"/>
      <c r="C729" s="320"/>
      <c r="D729" s="320"/>
      <c r="E729" s="320"/>
      <c r="F729" s="320"/>
      <c r="G729" s="320"/>
      <c r="H729" s="320"/>
      <c r="I729" s="320"/>
      <c r="J729" s="320"/>
      <c r="K729" s="320"/>
      <c r="L729" s="320"/>
      <c r="M729" s="320"/>
      <c r="N729" s="320"/>
      <c r="O729" s="320"/>
    </row>
    <row r="730">
      <c r="A730" s="320"/>
      <c r="B730" s="320"/>
      <c r="C730" s="320"/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  <c r="N730" s="320"/>
      <c r="O730" s="320"/>
    </row>
    <row r="731">
      <c r="A731" s="320"/>
      <c r="B731" s="320"/>
      <c r="C731" s="320"/>
      <c r="D731" s="320"/>
      <c r="E731" s="320"/>
      <c r="F731" s="320"/>
      <c r="G731" s="320"/>
      <c r="H731" s="320"/>
      <c r="I731" s="320"/>
      <c r="J731" s="320"/>
      <c r="K731" s="320"/>
      <c r="L731" s="320"/>
      <c r="M731" s="320"/>
      <c r="N731" s="320"/>
      <c r="O731" s="320"/>
    </row>
    <row r="732">
      <c r="A732" s="320"/>
      <c r="B732" s="320"/>
      <c r="C732" s="320"/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  <c r="N732" s="320"/>
      <c r="O732" s="320"/>
    </row>
    <row r="733">
      <c r="A733" s="320"/>
      <c r="B733" s="320"/>
      <c r="C733" s="320"/>
      <c r="D733" s="320"/>
      <c r="E733" s="320"/>
      <c r="F733" s="320"/>
      <c r="G733" s="320"/>
      <c r="H733" s="320"/>
      <c r="I733" s="320"/>
      <c r="J733" s="320"/>
      <c r="K733" s="320"/>
      <c r="L733" s="320"/>
      <c r="M733" s="320"/>
      <c r="N733" s="320"/>
      <c r="O733" s="320"/>
    </row>
    <row r="734">
      <c r="A734" s="320"/>
      <c r="B734" s="320"/>
      <c r="C734" s="320"/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  <c r="N734" s="320"/>
      <c r="O734" s="320"/>
    </row>
    <row r="735">
      <c r="A735" s="320"/>
      <c r="B735" s="320"/>
      <c r="C735" s="320"/>
      <c r="D735" s="320"/>
      <c r="E735" s="320"/>
      <c r="F735" s="320"/>
      <c r="G735" s="320"/>
      <c r="H735" s="320"/>
      <c r="I735" s="320"/>
      <c r="J735" s="320"/>
      <c r="K735" s="320"/>
      <c r="L735" s="320"/>
      <c r="M735" s="320"/>
      <c r="N735" s="320"/>
      <c r="O735" s="320"/>
    </row>
    <row r="736">
      <c r="A736" s="320"/>
      <c r="B736" s="320"/>
      <c r="C736" s="320"/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  <c r="N736" s="320"/>
      <c r="O736" s="320"/>
    </row>
    <row r="737">
      <c r="A737" s="320"/>
      <c r="B737" s="320"/>
      <c r="C737" s="320"/>
      <c r="D737" s="320"/>
      <c r="E737" s="320"/>
      <c r="F737" s="320"/>
      <c r="G737" s="320"/>
      <c r="H737" s="320"/>
      <c r="I737" s="320"/>
      <c r="J737" s="320"/>
      <c r="K737" s="320"/>
      <c r="L737" s="320"/>
      <c r="M737" s="320"/>
      <c r="N737" s="320"/>
      <c r="O737" s="320"/>
    </row>
    <row r="738">
      <c r="A738" s="320"/>
      <c r="B738" s="320"/>
      <c r="C738" s="320"/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  <c r="N738" s="320"/>
      <c r="O738" s="320"/>
    </row>
    <row r="739">
      <c r="A739" s="320"/>
      <c r="B739" s="320"/>
      <c r="C739" s="320"/>
      <c r="D739" s="320"/>
      <c r="E739" s="320"/>
      <c r="F739" s="320"/>
      <c r="G739" s="320"/>
      <c r="H739" s="320"/>
      <c r="I739" s="320"/>
      <c r="J739" s="320"/>
      <c r="K739" s="320"/>
      <c r="L739" s="320"/>
      <c r="M739" s="320"/>
      <c r="N739" s="320"/>
      <c r="O739" s="320"/>
    </row>
    <row r="740">
      <c r="A740" s="320"/>
      <c r="B740" s="320"/>
      <c r="C740" s="320"/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  <c r="N740" s="320"/>
      <c r="O740" s="320"/>
    </row>
    <row r="741">
      <c r="A741" s="320"/>
      <c r="B741" s="320"/>
      <c r="C741" s="320"/>
      <c r="D741" s="320"/>
      <c r="E741" s="320"/>
      <c r="F741" s="320"/>
      <c r="G741" s="320"/>
      <c r="H741" s="320"/>
      <c r="I741" s="320"/>
      <c r="J741" s="320"/>
      <c r="K741" s="320"/>
      <c r="L741" s="320"/>
      <c r="M741" s="320"/>
      <c r="N741" s="320"/>
      <c r="O741" s="320"/>
    </row>
    <row r="742">
      <c r="A742" s="320"/>
      <c r="B742" s="320"/>
      <c r="C742" s="320"/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  <c r="N742" s="320"/>
      <c r="O742" s="320"/>
    </row>
    <row r="743">
      <c r="A743" s="320"/>
      <c r="B743" s="320"/>
      <c r="C743" s="320"/>
      <c r="D743" s="320"/>
      <c r="E743" s="320"/>
      <c r="F743" s="320"/>
      <c r="G743" s="320"/>
      <c r="H743" s="320"/>
      <c r="I743" s="320"/>
      <c r="J743" s="320"/>
      <c r="K743" s="320"/>
      <c r="L743" s="320"/>
      <c r="M743" s="320"/>
      <c r="N743" s="320"/>
      <c r="O743" s="320"/>
    </row>
    <row r="744">
      <c r="A744" s="320"/>
      <c r="B744" s="320"/>
      <c r="C744" s="320"/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  <c r="N744" s="320"/>
      <c r="O744" s="320"/>
    </row>
    <row r="745">
      <c r="A745" s="320"/>
      <c r="B745" s="320"/>
      <c r="C745" s="320"/>
      <c r="D745" s="320"/>
      <c r="E745" s="320"/>
      <c r="F745" s="320"/>
      <c r="G745" s="320"/>
      <c r="H745" s="320"/>
      <c r="I745" s="320"/>
      <c r="J745" s="320"/>
      <c r="K745" s="320"/>
      <c r="L745" s="320"/>
      <c r="M745" s="320"/>
      <c r="N745" s="320"/>
      <c r="O745" s="320"/>
    </row>
    <row r="746">
      <c r="A746" s="320"/>
      <c r="B746" s="320"/>
      <c r="C746" s="320"/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  <c r="N746" s="320"/>
      <c r="O746" s="320"/>
    </row>
    <row r="747">
      <c r="A747" s="320"/>
      <c r="B747" s="320"/>
      <c r="C747" s="320"/>
      <c r="D747" s="320"/>
      <c r="E747" s="320"/>
      <c r="F747" s="320"/>
      <c r="G747" s="320"/>
      <c r="H747" s="320"/>
      <c r="I747" s="320"/>
      <c r="J747" s="320"/>
      <c r="K747" s="320"/>
      <c r="L747" s="320"/>
      <c r="M747" s="320"/>
      <c r="N747" s="320"/>
      <c r="O747" s="320"/>
    </row>
    <row r="748">
      <c r="A748" s="320"/>
      <c r="B748" s="320"/>
      <c r="C748" s="320"/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  <c r="N748" s="320"/>
      <c r="O748" s="320"/>
    </row>
    <row r="749">
      <c r="A749" s="320"/>
      <c r="B749" s="320"/>
      <c r="C749" s="320"/>
      <c r="D749" s="320"/>
      <c r="E749" s="320"/>
      <c r="F749" s="320"/>
      <c r="G749" s="320"/>
      <c r="H749" s="320"/>
      <c r="I749" s="320"/>
      <c r="J749" s="320"/>
      <c r="K749" s="320"/>
      <c r="L749" s="320"/>
      <c r="M749" s="320"/>
      <c r="N749" s="320"/>
      <c r="O749" s="320"/>
    </row>
    <row r="750">
      <c r="A750" s="320"/>
      <c r="B750" s="320"/>
      <c r="C750" s="320"/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  <c r="N750" s="320"/>
      <c r="O750" s="320"/>
    </row>
    <row r="751">
      <c r="A751" s="320"/>
      <c r="B751" s="320"/>
      <c r="C751" s="320"/>
      <c r="D751" s="320"/>
      <c r="E751" s="320"/>
      <c r="F751" s="320"/>
      <c r="G751" s="320"/>
      <c r="H751" s="320"/>
      <c r="I751" s="320"/>
      <c r="J751" s="320"/>
      <c r="K751" s="320"/>
      <c r="L751" s="320"/>
      <c r="M751" s="320"/>
      <c r="N751" s="320"/>
      <c r="O751" s="320"/>
    </row>
    <row r="752">
      <c r="A752" s="320"/>
      <c r="B752" s="320"/>
      <c r="C752" s="320"/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  <c r="N752" s="320"/>
      <c r="O752" s="320"/>
    </row>
    <row r="753">
      <c r="A753" s="320"/>
      <c r="B753" s="320"/>
      <c r="C753" s="320"/>
      <c r="D753" s="320"/>
      <c r="E753" s="320"/>
      <c r="F753" s="320"/>
      <c r="G753" s="320"/>
      <c r="H753" s="320"/>
      <c r="I753" s="320"/>
      <c r="J753" s="320"/>
      <c r="K753" s="320"/>
      <c r="L753" s="320"/>
      <c r="M753" s="320"/>
      <c r="N753" s="320"/>
      <c r="O753" s="320"/>
    </row>
    <row r="754">
      <c r="A754" s="320"/>
      <c r="B754" s="320"/>
      <c r="C754" s="320"/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  <c r="N754" s="320"/>
      <c r="O754" s="320"/>
    </row>
    <row r="755">
      <c r="A755" s="320"/>
      <c r="B755" s="320"/>
      <c r="C755" s="320"/>
      <c r="D755" s="320"/>
      <c r="E755" s="320"/>
      <c r="F755" s="320"/>
      <c r="G755" s="320"/>
      <c r="H755" s="320"/>
      <c r="I755" s="320"/>
      <c r="J755" s="320"/>
      <c r="K755" s="320"/>
      <c r="L755" s="320"/>
      <c r="M755" s="320"/>
      <c r="N755" s="320"/>
      <c r="O755" s="320"/>
    </row>
    <row r="756">
      <c r="A756" s="320"/>
      <c r="B756" s="320"/>
      <c r="C756" s="320"/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  <c r="N756" s="320"/>
      <c r="O756" s="320"/>
    </row>
    <row r="757">
      <c r="A757" s="320"/>
      <c r="B757" s="320"/>
      <c r="C757" s="320"/>
      <c r="D757" s="320"/>
      <c r="E757" s="320"/>
      <c r="F757" s="320"/>
      <c r="G757" s="320"/>
      <c r="H757" s="320"/>
      <c r="I757" s="320"/>
      <c r="J757" s="320"/>
      <c r="K757" s="320"/>
      <c r="L757" s="320"/>
      <c r="M757" s="320"/>
      <c r="N757" s="320"/>
      <c r="O757" s="320"/>
    </row>
    <row r="758">
      <c r="A758" s="320"/>
      <c r="B758" s="320"/>
      <c r="C758" s="320"/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  <c r="N758" s="320"/>
      <c r="O758" s="320"/>
    </row>
    <row r="759">
      <c r="A759" s="320"/>
      <c r="B759" s="320"/>
      <c r="C759" s="320"/>
      <c r="D759" s="320"/>
      <c r="E759" s="320"/>
      <c r="F759" s="320"/>
      <c r="G759" s="320"/>
      <c r="H759" s="320"/>
      <c r="I759" s="320"/>
      <c r="J759" s="320"/>
      <c r="K759" s="320"/>
      <c r="L759" s="320"/>
      <c r="M759" s="320"/>
      <c r="N759" s="320"/>
      <c r="O759" s="320"/>
    </row>
    <row r="760">
      <c r="A760" s="320"/>
      <c r="B760" s="320"/>
      <c r="C760" s="320"/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  <c r="N760" s="320"/>
      <c r="O760" s="320"/>
    </row>
    <row r="761">
      <c r="A761" s="320"/>
      <c r="B761" s="320"/>
      <c r="C761" s="320"/>
      <c r="D761" s="320"/>
      <c r="E761" s="320"/>
      <c r="F761" s="320"/>
      <c r="G761" s="320"/>
      <c r="H761" s="320"/>
      <c r="I761" s="320"/>
      <c r="J761" s="320"/>
      <c r="K761" s="320"/>
      <c r="L761" s="320"/>
      <c r="M761" s="320"/>
      <c r="N761" s="320"/>
      <c r="O761" s="320"/>
    </row>
    <row r="762">
      <c r="A762" s="320"/>
      <c r="B762" s="320"/>
      <c r="C762" s="320"/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  <c r="N762" s="320"/>
      <c r="O762" s="320"/>
    </row>
    <row r="763">
      <c r="A763" s="320"/>
      <c r="B763" s="320"/>
      <c r="C763" s="320"/>
      <c r="D763" s="320"/>
      <c r="E763" s="320"/>
      <c r="F763" s="320"/>
      <c r="G763" s="320"/>
      <c r="H763" s="320"/>
      <c r="I763" s="320"/>
      <c r="J763" s="320"/>
      <c r="K763" s="320"/>
      <c r="L763" s="320"/>
      <c r="M763" s="320"/>
      <c r="N763" s="320"/>
      <c r="O763" s="320"/>
    </row>
    <row r="764">
      <c r="A764" s="320"/>
      <c r="B764" s="320"/>
      <c r="C764" s="320"/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  <c r="N764" s="320"/>
      <c r="O764" s="320"/>
    </row>
    <row r="765">
      <c r="A765" s="320"/>
      <c r="B765" s="320"/>
      <c r="C765" s="320"/>
      <c r="D765" s="320"/>
      <c r="E765" s="320"/>
      <c r="F765" s="320"/>
      <c r="G765" s="320"/>
      <c r="H765" s="320"/>
      <c r="I765" s="320"/>
      <c r="J765" s="320"/>
      <c r="K765" s="320"/>
      <c r="L765" s="320"/>
      <c r="M765" s="320"/>
      <c r="N765" s="320"/>
      <c r="O765" s="320"/>
    </row>
    <row r="766">
      <c r="A766" s="320"/>
      <c r="B766" s="320"/>
      <c r="C766" s="320"/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  <c r="N766" s="320"/>
      <c r="O766" s="320"/>
    </row>
    <row r="767">
      <c r="A767" s="320"/>
      <c r="B767" s="320"/>
      <c r="C767" s="320"/>
      <c r="D767" s="320"/>
      <c r="E767" s="320"/>
      <c r="F767" s="320"/>
      <c r="G767" s="320"/>
      <c r="H767" s="320"/>
      <c r="I767" s="320"/>
      <c r="J767" s="320"/>
      <c r="K767" s="320"/>
      <c r="L767" s="320"/>
      <c r="M767" s="320"/>
      <c r="N767" s="320"/>
      <c r="O767" s="320"/>
    </row>
    <row r="768">
      <c r="A768" s="320"/>
      <c r="B768" s="320"/>
      <c r="C768" s="320"/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  <c r="N768" s="320"/>
      <c r="O768" s="320"/>
    </row>
    <row r="769">
      <c r="A769" s="320"/>
      <c r="B769" s="320"/>
      <c r="C769" s="320"/>
      <c r="D769" s="320"/>
      <c r="E769" s="320"/>
      <c r="F769" s="320"/>
      <c r="G769" s="320"/>
      <c r="H769" s="320"/>
      <c r="I769" s="320"/>
      <c r="J769" s="320"/>
      <c r="K769" s="320"/>
      <c r="L769" s="320"/>
      <c r="M769" s="320"/>
      <c r="N769" s="320"/>
      <c r="O769" s="320"/>
    </row>
    <row r="770">
      <c r="A770" s="320"/>
      <c r="B770" s="320"/>
      <c r="C770" s="320"/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  <c r="N770" s="320"/>
      <c r="O770" s="320"/>
    </row>
    <row r="771">
      <c r="A771" s="320"/>
      <c r="B771" s="320"/>
      <c r="C771" s="320"/>
      <c r="D771" s="320"/>
      <c r="E771" s="320"/>
      <c r="F771" s="320"/>
      <c r="G771" s="320"/>
      <c r="H771" s="320"/>
      <c r="I771" s="320"/>
      <c r="J771" s="320"/>
      <c r="K771" s="320"/>
      <c r="L771" s="320"/>
      <c r="M771" s="320"/>
      <c r="N771" s="320"/>
      <c r="O771" s="320"/>
    </row>
    <row r="772">
      <c r="A772" s="320"/>
      <c r="B772" s="320"/>
      <c r="C772" s="320"/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  <c r="N772" s="320"/>
      <c r="O772" s="320"/>
    </row>
    <row r="773">
      <c r="A773" s="320"/>
      <c r="B773" s="320"/>
      <c r="C773" s="320"/>
      <c r="D773" s="320"/>
      <c r="E773" s="320"/>
      <c r="F773" s="320"/>
      <c r="G773" s="320"/>
      <c r="H773" s="320"/>
      <c r="I773" s="320"/>
      <c r="J773" s="320"/>
      <c r="K773" s="320"/>
      <c r="L773" s="320"/>
      <c r="M773" s="320"/>
      <c r="N773" s="320"/>
      <c r="O773" s="320"/>
    </row>
    <row r="774">
      <c r="A774" s="320"/>
      <c r="B774" s="320"/>
      <c r="C774" s="320"/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  <c r="N774" s="320"/>
      <c r="O774" s="320"/>
    </row>
    <row r="775">
      <c r="A775" s="320"/>
      <c r="B775" s="320"/>
      <c r="C775" s="320"/>
      <c r="D775" s="320"/>
      <c r="E775" s="320"/>
      <c r="F775" s="320"/>
      <c r="G775" s="320"/>
      <c r="H775" s="320"/>
      <c r="I775" s="320"/>
      <c r="J775" s="320"/>
      <c r="K775" s="320"/>
      <c r="L775" s="320"/>
      <c r="M775" s="320"/>
      <c r="N775" s="320"/>
      <c r="O775" s="320"/>
    </row>
    <row r="776">
      <c r="A776" s="320"/>
      <c r="B776" s="320"/>
      <c r="C776" s="320"/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  <c r="N776" s="320"/>
      <c r="O776" s="320"/>
    </row>
    <row r="777">
      <c r="A777" s="320"/>
      <c r="B777" s="320"/>
      <c r="C777" s="320"/>
      <c r="D777" s="320"/>
      <c r="E777" s="320"/>
      <c r="F777" s="320"/>
      <c r="G777" s="320"/>
      <c r="H777" s="320"/>
      <c r="I777" s="320"/>
      <c r="J777" s="320"/>
      <c r="K777" s="320"/>
      <c r="L777" s="320"/>
      <c r="M777" s="320"/>
      <c r="N777" s="320"/>
      <c r="O777" s="320"/>
    </row>
    <row r="778">
      <c r="A778" s="320"/>
      <c r="B778" s="320"/>
      <c r="C778" s="320"/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  <c r="N778" s="320"/>
      <c r="O778" s="320"/>
    </row>
    <row r="779">
      <c r="A779" s="320"/>
      <c r="B779" s="320"/>
      <c r="C779" s="320"/>
      <c r="D779" s="320"/>
      <c r="E779" s="320"/>
      <c r="F779" s="320"/>
      <c r="G779" s="320"/>
      <c r="H779" s="320"/>
      <c r="I779" s="320"/>
      <c r="J779" s="320"/>
      <c r="K779" s="320"/>
      <c r="L779" s="320"/>
      <c r="M779" s="320"/>
      <c r="N779" s="320"/>
      <c r="O779" s="320"/>
    </row>
    <row r="780">
      <c r="A780" s="320"/>
      <c r="B780" s="320"/>
      <c r="C780" s="320"/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  <c r="N780" s="320"/>
      <c r="O780" s="320"/>
    </row>
    <row r="781">
      <c r="A781" s="320"/>
      <c r="B781" s="320"/>
      <c r="C781" s="320"/>
      <c r="D781" s="320"/>
      <c r="E781" s="320"/>
      <c r="F781" s="320"/>
      <c r="G781" s="320"/>
      <c r="H781" s="320"/>
      <c r="I781" s="320"/>
      <c r="J781" s="320"/>
      <c r="K781" s="320"/>
      <c r="L781" s="320"/>
      <c r="M781" s="320"/>
      <c r="N781" s="320"/>
      <c r="O781" s="320"/>
    </row>
    <row r="782">
      <c r="A782" s="320"/>
      <c r="B782" s="320"/>
      <c r="C782" s="320"/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  <c r="N782" s="320"/>
      <c r="O782" s="320"/>
    </row>
    <row r="783">
      <c r="A783" s="320"/>
      <c r="B783" s="320"/>
      <c r="C783" s="320"/>
      <c r="D783" s="320"/>
      <c r="E783" s="320"/>
      <c r="F783" s="320"/>
      <c r="G783" s="320"/>
      <c r="H783" s="320"/>
      <c r="I783" s="320"/>
      <c r="J783" s="320"/>
      <c r="K783" s="320"/>
      <c r="L783" s="320"/>
      <c r="M783" s="320"/>
      <c r="N783" s="320"/>
      <c r="O783" s="320"/>
    </row>
    <row r="784">
      <c r="A784" s="320"/>
      <c r="B784" s="320"/>
      <c r="C784" s="320"/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  <c r="N784" s="320"/>
      <c r="O784" s="320"/>
    </row>
    <row r="785">
      <c r="A785" s="320"/>
      <c r="B785" s="320"/>
      <c r="C785" s="320"/>
      <c r="D785" s="320"/>
      <c r="E785" s="320"/>
      <c r="F785" s="320"/>
      <c r="G785" s="320"/>
      <c r="H785" s="320"/>
      <c r="I785" s="320"/>
      <c r="J785" s="320"/>
      <c r="K785" s="320"/>
      <c r="L785" s="320"/>
      <c r="M785" s="320"/>
      <c r="N785" s="320"/>
      <c r="O785" s="320"/>
    </row>
    <row r="786">
      <c r="A786" s="320"/>
      <c r="B786" s="320"/>
      <c r="C786" s="320"/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  <c r="N786" s="320"/>
      <c r="O786" s="320"/>
    </row>
    <row r="787">
      <c r="A787" s="320"/>
      <c r="B787" s="320"/>
      <c r="C787" s="320"/>
      <c r="D787" s="320"/>
      <c r="E787" s="320"/>
      <c r="F787" s="320"/>
      <c r="G787" s="320"/>
      <c r="H787" s="320"/>
      <c r="I787" s="320"/>
      <c r="J787" s="320"/>
      <c r="K787" s="320"/>
      <c r="L787" s="320"/>
      <c r="M787" s="320"/>
      <c r="N787" s="320"/>
      <c r="O787" s="320"/>
    </row>
    <row r="788">
      <c r="A788" s="320"/>
      <c r="B788" s="320"/>
      <c r="C788" s="320"/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  <c r="N788" s="320"/>
      <c r="O788" s="320"/>
    </row>
    <row r="789">
      <c r="A789" s="320"/>
      <c r="B789" s="320"/>
      <c r="C789" s="320"/>
      <c r="D789" s="320"/>
      <c r="E789" s="320"/>
      <c r="F789" s="320"/>
      <c r="G789" s="320"/>
      <c r="H789" s="320"/>
      <c r="I789" s="320"/>
      <c r="J789" s="320"/>
      <c r="K789" s="320"/>
      <c r="L789" s="320"/>
      <c r="M789" s="320"/>
      <c r="N789" s="320"/>
      <c r="O789" s="320"/>
    </row>
    <row r="790">
      <c r="A790" s="320"/>
      <c r="B790" s="320"/>
      <c r="C790" s="320"/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  <c r="N790" s="320"/>
      <c r="O790" s="320"/>
    </row>
    <row r="791">
      <c r="A791" s="320"/>
      <c r="B791" s="320"/>
      <c r="C791" s="320"/>
      <c r="D791" s="320"/>
      <c r="E791" s="320"/>
      <c r="F791" s="320"/>
      <c r="G791" s="320"/>
      <c r="H791" s="320"/>
      <c r="I791" s="320"/>
      <c r="J791" s="320"/>
      <c r="K791" s="320"/>
      <c r="L791" s="320"/>
      <c r="M791" s="320"/>
      <c r="N791" s="320"/>
      <c r="O791" s="320"/>
    </row>
    <row r="792">
      <c r="A792" s="320"/>
      <c r="B792" s="320"/>
      <c r="C792" s="320"/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  <c r="N792" s="320"/>
      <c r="O792" s="320"/>
    </row>
    <row r="793">
      <c r="A793" s="320"/>
      <c r="B793" s="320"/>
      <c r="C793" s="320"/>
      <c r="D793" s="320"/>
      <c r="E793" s="320"/>
      <c r="F793" s="320"/>
      <c r="G793" s="320"/>
      <c r="H793" s="320"/>
      <c r="I793" s="320"/>
      <c r="J793" s="320"/>
      <c r="K793" s="320"/>
      <c r="L793" s="320"/>
      <c r="M793" s="320"/>
      <c r="N793" s="320"/>
      <c r="O793" s="320"/>
    </row>
    <row r="794">
      <c r="A794" s="320"/>
      <c r="B794" s="320"/>
      <c r="C794" s="320"/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  <c r="N794" s="320"/>
      <c r="O794" s="320"/>
    </row>
    <row r="795">
      <c r="A795" s="320"/>
      <c r="B795" s="320"/>
      <c r="C795" s="320"/>
      <c r="D795" s="320"/>
      <c r="E795" s="320"/>
      <c r="F795" s="320"/>
      <c r="G795" s="320"/>
      <c r="H795" s="320"/>
      <c r="I795" s="320"/>
      <c r="J795" s="320"/>
      <c r="K795" s="320"/>
      <c r="L795" s="320"/>
      <c r="M795" s="320"/>
      <c r="N795" s="320"/>
      <c r="O795" s="320"/>
    </row>
    <row r="796">
      <c r="A796" s="320"/>
      <c r="B796" s="320"/>
      <c r="C796" s="320"/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  <c r="N796" s="320"/>
      <c r="O796" s="320"/>
    </row>
    <row r="797">
      <c r="A797" s="320"/>
      <c r="B797" s="320"/>
      <c r="C797" s="320"/>
      <c r="D797" s="320"/>
      <c r="E797" s="320"/>
      <c r="F797" s="320"/>
      <c r="G797" s="320"/>
      <c r="H797" s="320"/>
      <c r="I797" s="320"/>
      <c r="J797" s="320"/>
      <c r="K797" s="320"/>
      <c r="L797" s="320"/>
      <c r="M797" s="320"/>
      <c r="N797" s="320"/>
      <c r="O797" s="320"/>
    </row>
    <row r="798">
      <c r="A798" s="320"/>
      <c r="B798" s="320"/>
      <c r="C798" s="320"/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  <c r="N798" s="320"/>
      <c r="O798" s="320"/>
    </row>
    <row r="799">
      <c r="A799" s="320"/>
      <c r="B799" s="320"/>
      <c r="C799" s="320"/>
      <c r="D799" s="320"/>
      <c r="E799" s="320"/>
      <c r="F799" s="320"/>
      <c r="G799" s="320"/>
      <c r="H799" s="320"/>
      <c r="I799" s="320"/>
      <c r="J799" s="320"/>
      <c r="K799" s="320"/>
      <c r="L799" s="320"/>
      <c r="M799" s="320"/>
      <c r="N799" s="320"/>
      <c r="O799" s="320"/>
    </row>
    <row r="800">
      <c r="A800" s="320"/>
      <c r="B800" s="320"/>
      <c r="C800" s="320"/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  <c r="N800" s="320"/>
      <c r="O800" s="320"/>
    </row>
    <row r="801">
      <c r="A801" s="320"/>
      <c r="B801" s="320"/>
      <c r="C801" s="320"/>
      <c r="D801" s="320"/>
      <c r="E801" s="320"/>
      <c r="F801" s="320"/>
      <c r="G801" s="320"/>
      <c r="H801" s="320"/>
      <c r="I801" s="320"/>
      <c r="J801" s="320"/>
      <c r="K801" s="320"/>
      <c r="L801" s="320"/>
      <c r="M801" s="320"/>
      <c r="N801" s="320"/>
      <c r="O801" s="320"/>
    </row>
    <row r="802">
      <c r="A802" s="320"/>
      <c r="B802" s="320"/>
      <c r="C802" s="320"/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  <c r="N802" s="320"/>
      <c r="O802" s="320"/>
    </row>
    <row r="803">
      <c r="A803" s="320"/>
      <c r="B803" s="320"/>
      <c r="C803" s="320"/>
      <c r="D803" s="320"/>
      <c r="E803" s="320"/>
      <c r="F803" s="320"/>
      <c r="G803" s="320"/>
      <c r="H803" s="320"/>
      <c r="I803" s="320"/>
      <c r="J803" s="320"/>
      <c r="K803" s="320"/>
      <c r="L803" s="320"/>
      <c r="M803" s="320"/>
      <c r="N803" s="320"/>
      <c r="O803" s="320"/>
    </row>
    <row r="804">
      <c r="A804" s="320"/>
      <c r="B804" s="320"/>
      <c r="C804" s="320"/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  <c r="N804" s="320"/>
      <c r="O804" s="320"/>
    </row>
    <row r="805">
      <c r="A805" s="320"/>
      <c r="B805" s="320"/>
      <c r="C805" s="320"/>
      <c r="D805" s="320"/>
      <c r="E805" s="320"/>
      <c r="F805" s="320"/>
      <c r="G805" s="320"/>
      <c r="H805" s="320"/>
      <c r="I805" s="320"/>
      <c r="J805" s="320"/>
      <c r="K805" s="320"/>
      <c r="L805" s="320"/>
      <c r="M805" s="320"/>
      <c r="N805" s="320"/>
      <c r="O805" s="320"/>
    </row>
    <row r="806">
      <c r="A806" s="320"/>
      <c r="B806" s="320"/>
      <c r="C806" s="320"/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  <c r="N806" s="320"/>
      <c r="O806" s="320"/>
    </row>
    <row r="807">
      <c r="A807" s="320"/>
      <c r="B807" s="320"/>
      <c r="C807" s="320"/>
      <c r="D807" s="320"/>
      <c r="E807" s="320"/>
      <c r="F807" s="320"/>
      <c r="G807" s="320"/>
      <c r="H807" s="320"/>
      <c r="I807" s="320"/>
      <c r="J807" s="320"/>
      <c r="K807" s="320"/>
      <c r="L807" s="320"/>
      <c r="M807" s="320"/>
      <c r="N807" s="320"/>
      <c r="O807" s="320"/>
    </row>
    <row r="808">
      <c r="A808" s="320"/>
      <c r="B808" s="320"/>
      <c r="C808" s="320"/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  <c r="N808" s="320"/>
      <c r="O808" s="320"/>
    </row>
    <row r="809">
      <c r="A809" s="320"/>
      <c r="B809" s="320"/>
      <c r="C809" s="320"/>
      <c r="D809" s="320"/>
      <c r="E809" s="320"/>
      <c r="F809" s="320"/>
      <c r="G809" s="320"/>
      <c r="H809" s="320"/>
      <c r="I809" s="320"/>
      <c r="J809" s="320"/>
      <c r="K809" s="320"/>
      <c r="L809" s="320"/>
      <c r="M809" s="320"/>
      <c r="N809" s="320"/>
      <c r="O809" s="320"/>
    </row>
    <row r="810">
      <c r="A810" s="320"/>
      <c r="B810" s="320"/>
      <c r="C810" s="320"/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  <c r="N810" s="320"/>
      <c r="O810" s="320"/>
    </row>
    <row r="811">
      <c r="A811" s="320"/>
      <c r="B811" s="320"/>
      <c r="C811" s="320"/>
      <c r="D811" s="320"/>
      <c r="E811" s="320"/>
      <c r="F811" s="320"/>
      <c r="G811" s="320"/>
      <c r="H811" s="320"/>
      <c r="I811" s="320"/>
      <c r="J811" s="320"/>
      <c r="K811" s="320"/>
      <c r="L811" s="320"/>
      <c r="M811" s="320"/>
      <c r="N811" s="320"/>
      <c r="O811" s="320"/>
    </row>
    <row r="812">
      <c r="A812" s="320"/>
      <c r="B812" s="320"/>
      <c r="C812" s="320"/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  <c r="N812" s="320"/>
      <c r="O812" s="320"/>
    </row>
    <row r="813">
      <c r="A813" s="320"/>
      <c r="B813" s="320"/>
      <c r="C813" s="320"/>
      <c r="D813" s="320"/>
      <c r="E813" s="320"/>
      <c r="F813" s="320"/>
      <c r="G813" s="320"/>
      <c r="H813" s="320"/>
      <c r="I813" s="320"/>
      <c r="J813" s="320"/>
      <c r="K813" s="320"/>
      <c r="L813" s="320"/>
      <c r="M813" s="320"/>
      <c r="N813" s="320"/>
      <c r="O813" s="320"/>
    </row>
    <row r="814">
      <c r="A814" s="320"/>
      <c r="B814" s="320"/>
      <c r="C814" s="320"/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  <c r="N814" s="320"/>
      <c r="O814" s="320"/>
    </row>
    <row r="815">
      <c r="A815" s="320"/>
      <c r="B815" s="320"/>
      <c r="C815" s="320"/>
      <c r="D815" s="320"/>
      <c r="E815" s="320"/>
      <c r="F815" s="320"/>
      <c r="G815" s="320"/>
      <c r="H815" s="320"/>
      <c r="I815" s="320"/>
      <c r="J815" s="320"/>
      <c r="K815" s="320"/>
      <c r="L815" s="320"/>
      <c r="M815" s="320"/>
      <c r="N815" s="320"/>
      <c r="O815" s="320"/>
    </row>
    <row r="816">
      <c r="A816" s="320"/>
      <c r="B816" s="320"/>
      <c r="C816" s="320"/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  <c r="N816" s="320"/>
      <c r="O816" s="320"/>
    </row>
    <row r="817">
      <c r="A817" s="320"/>
      <c r="B817" s="320"/>
      <c r="C817" s="320"/>
      <c r="D817" s="320"/>
      <c r="E817" s="320"/>
      <c r="F817" s="320"/>
      <c r="G817" s="320"/>
      <c r="H817" s="320"/>
      <c r="I817" s="320"/>
      <c r="J817" s="320"/>
      <c r="K817" s="320"/>
      <c r="L817" s="320"/>
      <c r="M817" s="320"/>
      <c r="N817" s="320"/>
      <c r="O817" s="320"/>
    </row>
    <row r="818">
      <c r="A818" s="320"/>
      <c r="B818" s="320"/>
      <c r="C818" s="320"/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  <c r="N818" s="320"/>
      <c r="O818" s="320"/>
    </row>
    <row r="819">
      <c r="A819" s="320"/>
      <c r="B819" s="320"/>
      <c r="C819" s="320"/>
      <c r="D819" s="320"/>
      <c r="E819" s="320"/>
      <c r="F819" s="320"/>
      <c r="G819" s="320"/>
      <c r="H819" s="320"/>
      <c r="I819" s="320"/>
      <c r="J819" s="320"/>
      <c r="K819" s="320"/>
      <c r="L819" s="320"/>
      <c r="M819" s="320"/>
      <c r="N819" s="320"/>
      <c r="O819" s="320"/>
    </row>
    <row r="820">
      <c r="A820" s="320"/>
      <c r="B820" s="320"/>
      <c r="C820" s="320"/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  <c r="N820" s="320"/>
      <c r="O820" s="320"/>
    </row>
    <row r="821">
      <c r="A821" s="320"/>
      <c r="B821" s="320"/>
      <c r="C821" s="320"/>
      <c r="D821" s="320"/>
      <c r="E821" s="320"/>
      <c r="F821" s="320"/>
      <c r="G821" s="320"/>
      <c r="H821" s="320"/>
      <c r="I821" s="320"/>
      <c r="J821" s="320"/>
      <c r="K821" s="320"/>
      <c r="L821" s="320"/>
      <c r="M821" s="320"/>
      <c r="N821" s="320"/>
      <c r="O821" s="320"/>
    </row>
    <row r="822">
      <c r="A822" s="320"/>
      <c r="B822" s="320"/>
      <c r="C822" s="320"/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  <c r="N822" s="320"/>
      <c r="O822" s="320"/>
    </row>
    <row r="823">
      <c r="A823" s="320"/>
      <c r="B823" s="320"/>
      <c r="C823" s="320"/>
      <c r="D823" s="320"/>
      <c r="E823" s="320"/>
      <c r="F823" s="320"/>
      <c r="G823" s="320"/>
      <c r="H823" s="320"/>
      <c r="I823" s="320"/>
      <c r="J823" s="320"/>
      <c r="K823" s="320"/>
      <c r="L823" s="320"/>
      <c r="M823" s="320"/>
      <c r="N823" s="320"/>
      <c r="O823" s="320"/>
    </row>
    <row r="824">
      <c r="A824" s="320"/>
      <c r="B824" s="320"/>
      <c r="C824" s="320"/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  <c r="N824" s="320"/>
      <c r="O824" s="320"/>
    </row>
    <row r="825">
      <c r="A825" s="320"/>
      <c r="B825" s="320"/>
      <c r="C825" s="320"/>
      <c r="D825" s="320"/>
      <c r="E825" s="320"/>
      <c r="F825" s="320"/>
      <c r="G825" s="320"/>
      <c r="H825" s="320"/>
      <c r="I825" s="320"/>
      <c r="J825" s="320"/>
      <c r="K825" s="320"/>
      <c r="L825" s="320"/>
      <c r="M825" s="320"/>
      <c r="N825" s="320"/>
      <c r="O825" s="320"/>
    </row>
    <row r="826">
      <c r="A826" s="320"/>
      <c r="B826" s="320"/>
      <c r="C826" s="320"/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  <c r="N826" s="320"/>
      <c r="O826" s="320"/>
    </row>
    <row r="827">
      <c r="A827" s="320"/>
      <c r="B827" s="320"/>
      <c r="C827" s="320"/>
      <c r="D827" s="320"/>
      <c r="E827" s="320"/>
      <c r="F827" s="320"/>
      <c r="G827" s="320"/>
      <c r="H827" s="320"/>
      <c r="I827" s="320"/>
      <c r="J827" s="320"/>
      <c r="K827" s="320"/>
      <c r="L827" s="320"/>
      <c r="M827" s="320"/>
      <c r="N827" s="320"/>
      <c r="O827" s="320"/>
    </row>
    <row r="828">
      <c r="A828" s="320"/>
      <c r="B828" s="320"/>
      <c r="C828" s="320"/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  <c r="N828" s="320"/>
      <c r="O828" s="320"/>
    </row>
    <row r="829">
      <c r="A829" s="320"/>
      <c r="B829" s="320"/>
      <c r="C829" s="320"/>
      <c r="D829" s="320"/>
      <c r="E829" s="320"/>
      <c r="F829" s="320"/>
      <c r="G829" s="320"/>
      <c r="H829" s="320"/>
      <c r="I829" s="320"/>
      <c r="J829" s="320"/>
      <c r="K829" s="320"/>
      <c r="L829" s="320"/>
      <c r="M829" s="320"/>
      <c r="N829" s="320"/>
      <c r="O829" s="320"/>
    </row>
    <row r="830">
      <c r="A830" s="320"/>
      <c r="B830" s="320"/>
      <c r="C830" s="320"/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  <c r="N830" s="320"/>
      <c r="O830" s="320"/>
    </row>
    <row r="831">
      <c r="A831" s="320"/>
      <c r="B831" s="320"/>
      <c r="C831" s="320"/>
      <c r="D831" s="320"/>
      <c r="E831" s="320"/>
      <c r="F831" s="320"/>
      <c r="G831" s="320"/>
      <c r="H831" s="320"/>
      <c r="I831" s="320"/>
      <c r="J831" s="320"/>
      <c r="K831" s="320"/>
      <c r="L831" s="320"/>
      <c r="M831" s="320"/>
      <c r="N831" s="320"/>
      <c r="O831" s="320"/>
    </row>
    <row r="832">
      <c r="A832" s="320"/>
      <c r="B832" s="320"/>
      <c r="C832" s="320"/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  <c r="N832" s="320"/>
      <c r="O832" s="320"/>
    </row>
    <row r="833">
      <c r="A833" s="320"/>
      <c r="B833" s="320"/>
      <c r="C833" s="320"/>
      <c r="D833" s="320"/>
      <c r="E833" s="320"/>
      <c r="F833" s="320"/>
      <c r="G833" s="320"/>
      <c r="H833" s="320"/>
      <c r="I833" s="320"/>
      <c r="J833" s="320"/>
      <c r="K833" s="320"/>
      <c r="L833" s="320"/>
      <c r="M833" s="320"/>
      <c r="N833" s="320"/>
      <c r="O833" s="320"/>
    </row>
    <row r="834">
      <c r="A834" s="320"/>
      <c r="B834" s="320"/>
      <c r="C834" s="320"/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  <c r="N834" s="320"/>
      <c r="O834" s="320"/>
    </row>
    <row r="835">
      <c r="A835" s="320"/>
      <c r="B835" s="320"/>
      <c r="C835" s="320"/>
      <c r="D835" s="320"/>
      <c r="E835" s="320"/>
      <c r="F835" s="320"/>
      <c r="G835" s="320"/>
      <c r="H835" s="320"/>
      <c r="I835" s="320"/>
      <c r="J835" s="320"/>
      <c r="K835" s="320"/>
      <c r="L835" s="320"/>
      <c r="M835" s="320"/>
      <c r="N835" s="320"/>
      <c r="O835" s="320"/>
    </row>
    <row r="836">
      <c r="A836" s="320"/>
      <c r="B836" s="320"/>
      <c r="C836" s="320"/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  <c r="N836" s="320"/>
      <c r="O836" s="320"/>
    </row>
    <row r="837">
      <c r="A837" s="320"/>
      <c r="B837" s="320"/>
      <c r="C837" s="320"/>
      <c r="D837" s="320"/>
      <c r="E837" s="320"/>
      <c r="F837" s="320"/>
      <c r="G837" s="320"/>
      <c r="H837" s="320"/>
      <c r="I837" s="320"/>
      <c r="J837" s="320"/>
      <c r="K837" s="320"/>
      <c r="L837" s="320"/>
      <c r="M837" s="320"/>
      <c r="N837" s="320"/>
      <c r="O837" s="320"/>
    </row>
    <row r="838">
      <c r="A838" s="320"/>
      <c r="B838" s="320"/>
      <c r="C838" s="320"/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  <c r="N838" s="320"/>
      <c r="O838" s="320"/>
    </row>
    <row r="839">
      <c r="A839" s="320"/>
      <c r="B839" s="320"/>
      <c r="C839" s="320"/>
      <c r="D839" s="320"/>
      <c r="E839" s="320"/>
      <c r="F839" s="320"/>
      <c r="G839" s="320"/>
      <c r="H839" s="320"/>
      <c r="I839" s="320"/>
      <c r="J839" s="320"/>
      <c r="K839" s="320"/>
      <c r="L839" s="320"/>
      <c r="M839" s="320"/>
      <c r="N839" s="320"/>
      <c r="O839" s="320"/>
    </row>
    <row r="840">
      <c r="A840" s="320"/>
      <c r="B840" s="320"/>
      <c r="C840" s="320"/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  <c r="N840" s="320"/>
      <c r="O840" s="320"/>
    </row>
    <row r="841">
      <c r="A841" s="320"/>
      <c r="B841" s="320"/>
      <c r="C841" s="320"/>
      <c r="D841" s="320"/>
      <c r="E841" s="320"/>
      <c r="F841" s="320"/>
      <c r="G841" s="320"/>
      <c r="H841" s="320"/>
      <c r="I841" s="320"/>
      <c r="J841" s="320"/>
      <c r="K841" s="320"/>
      <c r="L841" s="320"/>
      <c r="M841" s="320"/>
      <c r="N841" s="320"/>
      <c r="O841" s="320"/>
    </row>
    <row r="842">
      <c r="A842" s="320"/>
      <c r="B842" s="320"/>
      <c r="C842" s="320"/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  <c r="N842" s="320"/>
      <c r="O842" s="320"/>
    </row>
    <row r="843">
      <c r="A843" s="320"/>
      <c r="B843" s="320"/>
      <c r="C843" s="320"/>
      <c r="D843" s="320"/>
      <c r="E843" s="320"/>
      <c r="F843" s="320"/>
      <c r="G843" s="320"/>
      <c r="H843" s="320"/>
      <c r="I843" s="320"/>
      <c r="J843" s="320"/>
      <c r="K843" s="320"/>
      <c r="L843" s="320"/>
      <c r="M843" s="320"/>
      <c r="N843" s="320"/>
      <c r="O843" s="320"/>
    </row>
    <row r="844">
      <c r="A844" s="320"/>
      <c r="B844" s="320"/>
      <c r="C844" s="320"/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  <c r="N844" s="320"/>
      <c r="O844" s="320"/>
    </row>
    <row r="845">
      <c r="A845" s="320"/>
      <c r="B845" s="320"/>
      <c r="C845" s="320"/>
      <c r="D845" s="320"/>
      <c r="E845" s="320"/>
      <c r="F845" s="320"/>
      <c r="G845" s="320"/>
      <c r="H845" s="320"/>
      <c r="I845" s="320"/>
      <c r="J845" s="320"/>
      <c r="K845" s="320"/>
      <c r="L845" s="320"/>
      <c r="M845" s="320"/>
      <c r="N845" s="320"/>
      <c r="O845" s="320"/>
    </row>
    <row r="846">
      <c r="A846" s="320"/>
      <c r="B846" s="320"/>
      <c r="C846" s="320"/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  <c r="N846" s="320"/>
      <c r="O846" s="320"/>
    </row>
    <row r="847">
      <c r="A847" s="320"/>
      <c r="B847" s="320"/>
      <c r="C847" s="320"/>
      <c r="D847" s="320"/>
      <c r="E847" s="320"/>
      <c r="F847" s="320"/>
      <c r="G847" s="320"/>
      <c r="H847" s="320"/>
      <c r="I847" s="320"/>
      <c r="J847" s="320"/>
      <c r="K847" s="320"/>
      <c r="L847" s="320"/>
      <c r="M847" s="320"/>
      <c r="N847" s="320"/>
      <c r="O847" s="320"/>
    </row>
    <row r="848">
      <c r="A848" s="320"/>
      <c r="B848" s="320"/>
      <c r="C848" s="320"/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  <c r="N848" s="320"/>
      <c r="O848" s="320"/>
    </row>
    <row r="849">
      <c r="A849" s="320"/>
      <c r="B849" s="320"/>
      <c r="C849" s="320"/>
      <c r="D849" s="320"/>
      <c r="E849" s="320"/>
      <c r="F849" s="320"/>
      <c r="G849" s="320"/>
      <c r="H849" s="320"/>
      <c r="I849" s="320"/>
      <c r="J849" s="320"/>
      <c r="K849" s="320"/>
      <c r="L849" s="320"/>
      <c r="M849" s="320"/>
      <c r="N849" s="320"/>
      <c r="O849" s="320"/>
    </row>
    <row r="850">
      <c r="A850" s="320"/>
      <c r="B850" s="320"/>
      <c r="C850" s="320"/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  <c r="N850" s="320"/>
      <c r="O850" s="320"/>
    </row>
    <row r="851">
      <c r="A851" s="320"/>
      <c r="B851" s="320"/>
      <c r="C851" s="320"/>
      <c r="D851" s="320"/>
      <c r="E851" s="320"/>
      <c r="F851" s="320"/>
      <c r="G851" s="320"/>
      <c r="H851" s="320"/>
      <c r="I851" s="320"/>
      <c r="J851" s="320"/>
      <c r="K851" s="320"/>
      <c r="L851" s="320"/>
      <c r="M851" s="320"/>
      <c r="N851" s="320"/>
      <c r="O851" s="320"/>
    </row>
    <row r="852">
      <c r="A852" s="320"/>
      <c r="B852" s="320"/>
      <c r="C852" s="320"/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  <c r="N852" s="320"/>
      <c r="O852" s="320"/>
    </row>
    <row r="853">
      <c r="A853" s="320"/>
      <c r="B853" s="320"/>
      <c r="C853" s="320"/>
      <c r="D853" s="320"/>
      <c r="E853" s="320"/>
      <c r="F853" s="320"/>
      <c r="G853" s="320"/>
      <c r="H853" s="320"/>
      <c r="I853" s="320"/>
      <c r="J853" s="320"/>
      <c r="K853" s="320"/>
      <c r="L853" s="320"/>
      <c r="M853" s="320"/>
      <c r="N853" s="320"/>
      <c r="O853" s="320"/>
    </row>
    <row r="854">
      <c r="A854" s="320"/>
      <c r="B854" s="320"/>
      <c r="C854" s="320"/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  <c r="N854" s="320"/>
      <c r="O854" s="320"/>
    </row>
    <row r="855">
      <c r="A855" s="320"/>
      <c r="B855" s="320"/>
      <c r="C855" s="320"/>
      <c r="D855" s="320"/>
      <c r="E855" s="320"/>
      <c r="F855" s="320"/>
      <c r="G855" s="320"/>
      <c r="H855" s="320"/>
      <c r="I855" s="320"/>
      <c r="J855" s="320"/>
      <c r="K855" s="320"/>
      <c r="L855" s="320"/>
      <c r="M855" s="320"/>
      <c r="N855" s="320"/>
      <c r="O855" s="320"/>
    </row>
    <row r="856">
      <c r="A856" s="320"/>
      <c r="B856" s="320"/>
      <c r="C856" s="320"/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  <c r="N856" s="320"/>
      <c r="O856" s="320"/>
    </row>
    <row r="857">
      <c r="A857" s="320"/>
      <c r="B857" s="320"/>
      <c r="C857" s="320"/>
      <c r="D857" s="320"/>
      <c r="E857" s="320"/>
      <c r="F857" s="320"/>
      <c r="G857" s="320"/>
      <c r="H857" s="320"/>
      <c r="I857" s="320"/>
      <c r="J857" s="320"/>
      <c r="K857" s="320"/>
      <c r="L857" s="320"/>
      <c r="M857" s="320"/>
      <c r="N857" s="320"/>
      <c r="O857" s="320"/>
    </row>
    <row r="858">
      <c r="A858" s="320"/>
      <c r="B858" s="320"/>
      <c r="C858" s="320"/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  <c r="N858" s="320"/>
      <c r="O858" s="320"/>
    </row>
    <row r="859">
      <c r="A859" s="320"/>
      <c r="B859" s="320"/>
      <c r="C859" s="320"/>
      <c r="D859" s="320"/>
      <c r="E859" s="320"/>
      <c r="F859" s="320"/>
      <c r="G859" s="320"/>
      <c r="H859" s="320"/>
      <c r="I859" s="320"/>
      <c r="J859" s="320"/>
      <c r="K859" s="320"/>
      <c r="L859" s="320"/>
      <c r="M859" s="320"/>
      <c r="N859" s="320"/>
      <c r="O859" s="320"/>
    </row>
    <row r="860">
      <c r="A860" s="320"/>
      <c r="B860" s="320"/>
      <c r="C860" s="320"/>
      <c r="D860" s="320"/>
      <c r="E860" s="320"/>
      <c r="F860" s="320"/>
      <c r="G860" s="320"/>
      <c r="H860" s="320"/>
      <c r="I860" s="320"/>
      <c r="J860" s="320"/>
      <c r="K860" s="320"/>
      <c r="L860" s="320"/>
      <c r="M860" s="320"/>
      <c r="N860" s="320"/>
      <c r="O860" s="320"/>
    </row>
    <row r="861">
      <c r="A861" s="320"/>
      <c r="B861" s="320"/>
      <c r="C861" s="320"/>
      <c r="D861" s="320"/>
      <c r="E861" s="320"/>
      <c r="F861" s="320"/>
      <c r="G861" s="320"/>
      <c r="H861" s="320"/>
      <c r="I861" s="320"/>
      <c r="J861" s="320"/>
      <c r="K861" s="320"/>
      <c r="L861" s="320"/>
      <c r="M861" s="320"/>
      <c r="N861" s="320"/>
      <c r="O861" s="320"/>
    </row>
    <row r="862">
      <c r="A862" s="320"/>
      <c r="B862" s="320"/>
      <c r="C862" s="320"/>
      <c r="D862" s="320"/>
      <c r="E862" s="320"/>
      <c r="F862" s="320"/>
      <c r="G862" s="320"/>
      <c r="H862" s="320"/>
      <c r="I862" s="320"/>
      <c r="J862" s="320"/>
      <c r="K862" s="320"/>
      <c r="L862" s="320"/>
      <c r="M862" s="320"/>
      <c r="N862" s="320"/>
      <c r="O862" s="320"/>
    </row>
    <row r="863">
      <c r="A863" s="320"/>
      <c r="B863" s="320"/>
      <c r="C863" s="320"/>
      <c r="D863" s="320"/>
      <c r="E863" s="320"/>
      <c r="F863" s="320"/>
      <c r="G863" s="320"/>
      <c r="H863" s="320"/>
      <c r="I863" s="320"/>
      <c r="J863" s="320"/>
      <c r="K863" s="320"/>
      <c r="L863" s="320"/>
      <c r="M863" s="320"/>
      <c r="N863" s="320"/>
      <c r="O863" s="320"/>
    </row>
    <row r="864">
      <c r="A864" s="320"/>
      <c r="B864" s="320"/>
      <c r="C864" s="320"/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  <c r="N864" s="320"/>
      <c r="O864" s="320"/>
    </row>
    <row r="865">
      <c r="A865" s="320"/>
      <c r="B865" s="320"/>
      <c r="C865" s="320"/>
      <c r="D865" s="320"/>
      <c r="E865" s="320"/>
      <c r="F865" s="320"/>
      <c r="G865" s="320"/>
      <c r="H865" s="320"/>
      <c r="I865" s="320"/>
      <c r="J865" s="320"/>
      <c r="K865" s="320"/>
      <c r="L865" s="320"/>
      <c r="M865" s="320"/>
      <c r="N865" s="320"/>
      <c r="O865" s="320"/>
    </row>
    <row r="866">
      <c r="A866" s="320"/>
      <c r="B866" s="320"/>
      <c r="C866" s="320"/>
      <c r="D866" s="320"/>
      <c r="E866" s="320"/>
      <c r="F866" s="320"/>
      <c r="G866" s="320"/>
      <c r="H866" s="320"/>
      <c r="I866" s="320"/>
      <c r="J866" s="320"/>
      <c r="K866" s="320"/>
      <c r="L866" s="320"/>
      <c r="M866" s="320"/>
      <c r="N866" s="320"/>
      <c r="O866" s="320"/>
    </row>
    <row r="867">
      <c r="A867" s="320"/>
      <c r="B867" s="320"/>
      <c r="C867" s="320"/>
      <c r="D867" s="320"/>
      <c r="E867" s="320"/>
      <c r="F867" s="320"/>
      <c r="G867" s="320"/>
      <c r="H867" s="320"/>
      <c r="I867" s="320"/>
      <c r="J867" s="320"/>
      <c r="K867" s="320"/>
      <c r="L867" s="320"/>
      <c r="M867" s="320"/>
      <c r="N867" s="320"/>
      <c r="O867" s="320"/>
    </row>
    <row r="868">
      <c r="A868" s="320"/>
      <c r="B868" s="320"/>
      <c r="C868" s="320"/>
      <c r="D868" s="320"/>
      <c r="E868" s="320"/>
      <c r="F868" s="320"/>
      <c r="G868" s="320"/>
      <c r="H868" s="320"/>
      <c r="I868" s="320"/>
      <c r="J868" s="320"/>
      <c r="K868" s="320"/>
      <c r="L868" s="320"/>
      <c r="M868" s="320"/>
      <c r="N868" s="320"/>
      <c r="O868" s="320"/>
    </row>
    <row r="869">
      <c r="A869" s="320"/>
      <c r="B869" s="320"/>
      <c r="C869" s="320"/>
      <c r="D869" s="320"/>
      <c r="E869" s="320"/>
      <c r="F869" s="320"/>
      <c r="G869" s="320"/>
      <c r="H869" s="320"/>
      <c r="I869" s="320"/>
      <c r="J869" s="320"/>
      <c r="K869" s="320"/>
      <c r="L869" s="320"/>
      <c r="M869" s="320"/>
      <c r="N869" s="320"/>
      <c r="O869" s="320"/>
    </row>
    <row r="870">
      <c r="A870" s="320"/>
      <c r="B870" s="320"/>
      <c r="C870" s="320"/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  <c r="N870" s="320"/>
      <c r="O870" s="320"/>
    </row>
    <row r="871">
      <c r="A871" s="320"/>
      <c r="B871" s="320"/>
      <c r="C871" s="320"/>
      <c r="D871" s="320"/>
      <c r="E871" s="320"/>
      <c r="F871" s="320"/>
      <c r="G871" s="320"/>
      <c r="H871" s="320"/>
      <c r="I871" s="320"/>
      <c r="J871" s="320"/>
      <c r="K871" s="320"/>
      <c r="L871" s="320"/>
      <c r="M871" s="320"/>
      <c r="N871" s="320"/>
      <c r="O871" s="320"/>
    </row>
    <row r="872">
      <c r="A872" s="320"/>
      <c r="B872" s="320"/>
      <c r="C872" s="320"/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  <c r="N872" s="320"/>
      <c r="O872" s="320"/>
    </row>
    <row r="873">
      <c r="A873" s="320"/>
      <c r="B873" s="320"/>
      <c r="C873" s="320"/>
      <c r="D873" s="320"/>
      <c r="E873" s="320"/>
      <c r="F873" s="320"/>
      <c r="G873" s="320"/>
      <c r="H873" s="320"/>
      <c r="I873" s="320"/>
      <c r="J873" s="320"/>
      <c r="K873" s="320"/>
      <c r="L873" s="320"/>
      <c r="M873" s="320"/>
      <c r="N873" s="320"/>
      <c r="O873" s="320"/>
    </row>
    <row r="874">
      <c r="A874" s="320"/>
      <c r="B874" s="320"/>
      <c r="C874" s="320"/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  <c r="N874" s="320"/>
      <c r="O874" s="320"/>
    </row>
    <row r="875">
      <c r="A875" s="320"/>
      <c r="B875" s="320"/>
      <c r="C875" s="320"/>
      <c r="D875" s="320"/>
      <c r="E875" s="320"/>
      <c r="F875" s="320"/>
      <c r="G875" s="320"/>
      <c r="H875" s="320"/>
      <c r="I875" s="320"/>
      <c r="J875" s="320"/>
      <c r="K875" s="320"/>
      <c r="L875" s="320"/>
      <c r="M875" s="320"/>
      <c r="N875" s="320"/>
      <c r="O875" s="320"/>
    </row>
    <row r="876">
      <c r="A876" s="320"/>
      <c r="B876" s="320"/>
      <c r="C876" s="320"/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  <c r="N876" s="320"/>
      <c r="O876" s="320"/>
    </row>
    <row r="877">
      <c r="A877" s="320"/>
      <c r="B877" s="320"/>
      <c r="C877" s="320"/>
      <c r="D877" s="320"/>
      <c r="E877" s="320"/>
      <c r="F877" s="320"/>
      <c r="G877" s="320"/>
      <c r="H877" s="320"/>
      <c r="I877" s="320"/>
      <c r="J877" s="320"/>
      <c r="K877" s="320"/>
      <c r="L877" s="320"/>
      <c r="M877" s="320"/>
      <c r="N877" s="320"/>
      <c r="O877" s="320"/>
    </row>
    <row r="878">
      <c r="A878" s="320"/>
      <c r="B878" s="320"/>
      <c r="C878" s="320"/>
      <c r="D878" s="320"/>
      <c r="E878" s="320"/>
      <c r="F878" s="320"/>
      <c r="G878" s="320"/>
      <c r="H878" s="320"/>
      <c r="I878" s="320"/>
      <c r="J878" s="320"/>
      <c r="K878" s="320"/>
      <c r="L878" s="320"/>
      <c r="M878" s="320"/>
      <c r="N878" s="320"/>
      <c r="O878" s="320"/>
    </row>
    <row r="879">
      <c r="A879" s="320"/>
      <c r="B879" s="320"/>
      <c r="C879" s="320"/>
      <c r="D879" s="320"/>
      <c r="E879" s="320"/>
      <c r="F879" s="320"/>
      <c r="G879" s="320"/>
      <c r="H879" s="320"/>
      <c r="I879" s="320"/>
      <c r="J879" s="320"/>
      <c r="K879" s="320"/>
      <c r="L879" s="320"/>
      <c r="M879" s="320"/>
      <c r="N879" s="320"/>
      <c r="O879" s="320"/>
    </row>
    <row r="880">
      <c r="A880" s="320"/>
      <c r="B880" s="320"/>
      <c r="C880" s="320"/>
      <c r="D880" s="320"/>
      <c r="E880" s="320"/>
      <c r="F880" s="320"/>
      <c r="G880" s="320"/>
      <c r="H880" s="320"/>
      <c r="I880" s="320"/>
      <c r="J880" s="320"/>
      <c r="K880" s="320"/>
      <c r="L880" s="320"/>
      <c r="M880" s="320"/>
      <c r="N880" s="320"/>
      <c r="O880" s="320"/>
    </row>
    <row r="881">
      <c r="A881" s="320"/>
      <c r="B881" s="320"/>
      <c r="C881" s="320"/>
      <c r="D881" s="320"/>
      <c r="E881" s="320"/>
      <c r="F881" s="320"/>
      <c r="G881" s="320"/>
      <c r="H881" s="320"/>
      <c r="I881" s="320"/>
      <c r="J881" s="320"/>
      <c r="K881" s="320"/>
      <c r="L881" s="320"/>
      <c r="M881" s="320"/>
      <c r="N881" s="320"/>
      <c r="O881" s="320"/>
    </row>
    <row r="882">
      <c r="A882" s="320"/>
      <c r="B882" s="320"/>
      <c r="C882" s="320"/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  <c r="N882" s="320"/>
      <c r="O882" s="320"/>
    </row>
    <row r="883">
      <c r="A883" s="320"/>
      <c r="B883" s="320"/>
      <c r="C883" s="320"/>
      <c r="D883" s="320"/>
      <c r="E883" s="320"/>
      <c r="F883" s="320"/>
      <c r="G883" s="320"/>
      <c r="H883" s="320"/>
      <c r="I883" s="320"/>
      <c r="J883" s="320"/>
      <c r="K883" s="320"/>
      <c r="L883" s="320"/>
      <c r="M883" s="320"/>
      <c r="N883" s="320"/>
      <c r="O883" s="320"/>
    </row>
    <row r="884">
      <c r="A884" s="320"/>
      <c r="B884" s="320"/>
      <c r="C884" s="320"/>
      <c r="D884" s="320"/>
      <c r="E884" s="320"/>
      <c r="F884" s="320"/>
      <c r="G884" s="320"/>
      <c r="H884" s="320"/>
      <c r="I884" s="320"/>
      <c r="J884" s="320"/>
      <c r="K884" s="320"/>
      <c r="L884" s="320"/>
      <c r="M884" s="320"/>
      <c r="N884" s="320"/>
      <c r="O884" s="320"/>
    </row>
    <row r="885">
      <c r="A885" s="320"/>
      <c r="B885" s="320"/>
      <c r="C885" s="320"/>
      <c r="D885" s="320"/>
      <c r="E885" s="320"/>
      <c r="F885" s="320"/>
      <c r="G885" s="320"/>
      <c r="H885" s="320"/>
      <c r="I885" s="320"/>
      <c r="J885" s="320"/>
      <c r="K885" s="320"/>
      <c r="L885" s="320"/>
      <c r="M885" s="320"/>
      <c r="N885" s="320"/>
      <c r="O885" s="320"/>
    </row>
    <row r="886">
      <c r="A886" s="320"/>
      <c r="B886" s="320"/>
      <c r="C886" s="320"/>
      <c r="D886" s="320"/>
      <c r="E886" s="320"/>
      <c r="F886" s="320"/>
      <c r="G886" s="320"/>
      <c r="H886" s="320"/>
      <c r="I886" s="320"/>
      <c r="J886" s="320"/>
      <c r="K886" s="320"/>
      <c r="L886" s="320"/>
      <c r="M886" s="320"/>
      <c r="N886" s="320"/>
      <c r="O886" s="320"/>
    </row>
    <row r="887">
      <c r="A887" s="320"/>
      <c r="B887" s="320"/>
      <c r="C887" s="320"/>
      <c r="D887" s="320"/>
      <c r="E887" s="320"/>
      <c r="F887" s="320"/>
      <c r="G887" s="320"/>
      <c r="H887" s="320"/>
      <c r="I887" s="320"/>
      <c r="J887" s="320"/>
      <c r="K887" s="320"/>
      <c r="L887" s="320"/>
      <c r="M887" s="320"/>
      <c r="N887" s="320"/>
      <c r="O887" s="320"/>
    </row>
    <row r="888">
      <c r="A888" s="320"/>
      <c r="B888" s="320"/>
      <c r="C888" s="320"/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  <c r="N888" s="320"/>
      <c r="O888" s="320"/>
    </row>
    <row r="889">
      <c r="A889" s="320"/>
      <c r="B889" s="320"/>
      <c r="C889" s="320"/>
      <c r="D889" s="320"/>
      <c r="E889" s="320"/>
      <c r="F889" s="320"/>
      <c r="G889" s="320"/>
      <c r="H889" s="320"/>
      <c r="I889" s="320"/>
      <c r="J889" s="320"/>
      <c r="K889" s="320"/>
      <c r="L889" s="320"/>
      <c r="M889" s="320"/>
      <c r="N889" s="320"/>
      <c r="O889" s="320"/>
    </row>
    <row r="890">
      <c r="A890" s="320"/>
      <c r="B890" s="320"/>
      <c r="C890" s="320"/>
      <c r="D890" s="320"/>
      <c r="E890" s="320"/>
      <c r="F890" s="320"/>
      <c r="G890" s="320"/>
      <c r="H890" s="320"/>
      <c r="I890" s="320"/>
      <c r="J890" s="320"/>
      <c r="K890" s="320"/>
      <c r="L890" s="320"/>
      <c r="M890" s="320"/>
      <c r="N890" s="320"/>
      <c r="O890" s="320"/>
    </row>
    <row r="891">
      <c r="A891" s="320"/>
      <c r="B891" s="320"/>
      <c r="C891" s="320"/>
      <c r="D891" s="320"/>
      <c r="E891" s="320"/>
      <c r="F891" s="320"/>
      <c r="G891" s="320"/>
      <c r="H891" s="320"/>
      <c r="I891" s="320"/>
      <c r="J891" s="320"/>
      <c r="K891" s="320"/>
      <c r="L891" s="320"/>
      <c r="M891" s="320"/>
      <c r="N891" s="320"/>
      <c r="O891" s="320"/>
    </row>
    <row r="892">
      <c r="A892" s="320"/>
      <c r="B892" s="320"/>
      <c r="C892" s="320"/>
      <c r="D892" s="320"/>
      <c r="E892" s="320"/>
      <c r="F892" s="320"/>
      <c r="G892" s="320"/>
      <c r="H892" s="320"/>
      <c r="I892" s="320"/>
      <c r="J892" s="320"/>
      <c r="K892" s="320"/>
      <c r="L892" s="320"/>
      <c r="M892" s="320"/>
      <c r="N892" s="320"/>
      <c r="O892" s="320"/>
    </row>
    <row r="893">
      <c r="A893" s="320"/>
      <c r="B893" s="320"/>
      <c r="C893" s="320"/>
      <c r="D893" s="320"/>
      <c r="E893" s="320"/>
      <c r="F893" s="320"/>
      <c r="G893" s="320"/>
      <c r="H893" s="320"/>
      <c r="I893" s="320"/>
      <c r="J893" s="320"/>
      <c r="K893" s="320"/>
      <c r="L893" s="320"/>
      <c r="M893" s="320"/>
      <c r="N893" s="320"/>
      <c r="O893" s="320"/>
    </row>
    <row r="894">
      <c r="A894" s="320"/>
      <c r="B894" s="320"/>
      <c r="C894" s="320"/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  <c r="N894" s="320"/>
      <c r="O894" s="320"/>
    </row>
    <row r="895">
      <c r="A895" s="320"/>
      <c r="B895" s="320"/>
      <c r="C895" s="320"/>
      <c r="D895" s="320"/>
      <c r="E895" s="320"/>
      <c r="F895" s="320"/>
      <c r="G895" s="320"/>
      <c r="H895" s="320"/>
      <c r="I895" s="320"/>
      <c r="J895" s="320"/>
      <c r="K895" s="320"/>
      <c r="L895" s="320"/>
      <c r="M895" s="320"/>
      <c r="N895" s="320"/>
      <c r="O895" s="320"/>
    </row>
    <row r="896">
      <c r="A896" s="320"/>
      <c r="B896" s="320"/>
      <c r="C896" s="320"/>
      <c r="D896" s="320"/>
      <c r="E896" s="320"/>
      <c r="F896" s="320"/>
      <c r="G896" s="320"/>
      <c r="H896" s="320"/>
      <c r="I896" s="320"/>
      <c r="J896" s="320"/>
      <c r="K896" s="320"/>
      <c r="L896" s="320"/>
      <c r="M896" s="320"/>
      <c r="N896" s="320"/>
      <c r="O896" s="320"/>
    </row>
    <row r="897">
      <c r="A897" s="320"/>
      <c r="B897" s="320"/>
      <c r="C897" s="320"/>
      <c r="D897" s="320"/>
      <c r="E897" s="320"/>
      <c r="F897" s="320"/>
      <c r="G897" s="320"/>
      <c r="H897" s="320"/>
      <c r="I897" s="320"/>
      <c r="J897" s="320"/>
      <c r="K897" s="320"/>
      <c r="L897" s="320"/>
      <c r="M897" s="320"/>
      <c r="N897" s="320"/>
      <c r="O897" s="320"/>
    </row>
    <row r="898">
      <c r="A898" s="320"/>
      <c r="B898" s="320"/>
      <c r="C898" s="320"/>
      <c r="D898" s="320"/>
      <c r="E898" s="320"/>
      <c r="F898" s="320"/>
      <c r="G898" s="320"/>
      <c r="H898" s="320"/>
      <c r="I898" s="320"/>
      <c r="J898" s="320"/>
      <c r="K898" s="320"/>
      <c r="L898" s="320"/>
      <c r="M898" s="320"/>
      <c r="N898" s="320"/>
      <c r="O898" s="320"/>
    </row>
    <row r="899">
      <c r="A899" s="320"/>
      <c r="B899" s="320"/>
      <c r="C899" s="320"/>
      <c r="D899" s="320"/>
      <c r="E899" s="320"/>
      <c r="F899" s="320"/>
      <c r="G899" s="320"/>
      <c r="H899" s="320"/>
      <c r="I899" s="320"/>
      <c r="J899" s="320"/>
      <c r="K899" s="320"/>
      <c r="L899" s="320"/>
      <c r="M899" s="320"/>
      <c r="N899" s="320"/>
      <c r="O899" s="320"/>
    </row>
    <row r="900">
      <c r="A900" s="320"/>
      <c r="B900" s="320"/>
      <c r="C900" s="320"/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  <c r="N900" s="320"/>
      <c r="O900" s="320"/>
    </row>
    <row r="901">
      <c r="A901" s="320"/>
      <c r="B901" s="320"/>
      <c r="C901" s="320"/>
      <c r="D901" s="320"/>
      <c r="E901" s="320"/>
      <c r="F901" s="320"/>
      <c r="G901" s="320"/>
      <c r="H901" s="320"/>
      <c r="I901" s="320"/>
      <c r="J901" s="320"/>
      <c r="K901" s="320"/>
      <c r="L901" s="320"/>
      <c r="M901" s="320"/>
      <c r="N901" s="320"/>
      <c r="O901" s="320"/>
    </row>
    <row r="902">
      <c r="A902" s="320"/>
      <c r="B902" s="320"/>
      <c r="C902" s="320"/>
      <c r="D902" s="320"/>
      <c r="E902" s="320"/>
      <c r="F902" s="320"/>
      <c r="G902" s="320"/>
      <c r="H902" s="320"/>
      <c r="I902" s="320"/>
      <c r="J902" s="320"/>
      <c r="K902" s="320"/>
      <c r="L902" s="320"/>
      <c r="M902" s="320"/>
      <c r="N902" s="320"/>
      <c r="O902" s="320"/>
    </row>
    <row r="903">
      <c r="A903" s="320"/>
      <c r="B903" s="320"/>
      <c r="C903" s="320"/>
      <c r="D903" s="320"/>
      <c r="E903" s="320"/>
      <c r="F903" s="320"/>
      <c r="G903" s="320"/>
      <c r="H903" s="320"/>
      <c r="I903" s="320"/>
      <c r="J903" s="320"/>
      <c r="K903" s="320"/>
      <c r="L903" s="320"/>
      <c r="M903" s="320"/>
      <c r="N903" s="320"/>
      <c r="O903" s="320"/>
    </row>
    <row r="904">
      <c r="A904" s="320"/>
      <c r="B904" s="320"/>
      <c r="C904" s="320"/>
      <c r="D904" s="320"/>
      <c r="E904" s="320"/>
      <c r="F904" s="320"/>
      <c r="G904" s="320"/>
      <c r="H904" s="320"/>
      <c r="I904" s="320"/>
      <c r="J904" s="320"/>
      <c r="K904" s="320"/>
      <c r="L904" s="320"/>
      <c r="M904" s="320"/>
      <c r="N904" s="320"/>
      <c r="O904" s="320"/>
    </row>
    <row r="905">
      <c r="A905" s="320"/>
      <c r="B905" s="320"/>
      <c r="C905" s="320"/>
      <c r="D905" s="320"/>
      <c r="E905" s="320"/>
      <c r="F905" s="320"/>
      <c r="G905" s="320"/>
      <c r="H905" s="320"/>
      <c r="I905" s="320"/>
      <c r="J905" s="320"/>
      <c r="K905" s="320"/>
      <c r="L905" s="320"/>
      <c r="M905" s="320"/>
      <c r="N905" s="320"/>
      <c r="O905" s="320"/>
    </row>
    <row r="906">
      <c r="A906" s="320"/>
      <c r="B906" s="320"/>
      <c r="C906" s="320"/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  <c r="N906" s="320"/>
      <c r="O906" s="320"/>
    </row>
    <row r="907">
      <c r="A907" s="320"/>
      <c r="B907" s="320"/>
      <c r="C907" s="320"/>
      <c r="D907" s="320"/>
      <c r="E907" s="320"/>
      <c r="F907" s="320"/>
      <c r="G907" s="320"/>
      <c r="H907" s="320"/>
      <c r="I907" s="320"/>
      <c r="J907" s="320"/>
      <c r="K907" s="320"/>
      <c r="L907" s="320"/>
      <c r="M907" s="320"/>
      <c r="N907" s="320"/>
      <c r="O907" s="320"/>
    </row>
    <row r="908">
      <c r="A908" s="320"/>
      <c r="B908" s="320"/>
      <c r="C908" s="320"/>
      <c r="D908" s="320"/>
      <c r="E908" s="320"/>
      <c r="F908" s="320"/>
      <c r="G908" s="320"/>
      <c r="H908" s="320"/>
      <c r="I908" s="320"/>
      <c r="J908" s="320"/>
      <c r="K908" s="320"/>
      <c r="L908" s="320"/>
      <c r="M908" s="320"/>
      <c r="N908" s="320"/>
      <c r="O908" s="320"/>
    </row>
    <row r="909">
      <c r="A909" s="320"/>
      <c r="B909" s="320"/>
      <c r="C909" s="320"/>
      <c r="D909" s="320"/>
      <c r="E909" s="320"/>
      <c r="F909" s="320"/>
      <c r="G909" s="320"/>
      <c r="H909" s="320"/>
      <c r="I909" s="320"/>
      <c r="J909" s="320"/>
      <c r="K909" s="320"/>
      <c r="L909" s="320"/>
      <c r="M909" s="320"/>
      <c r="N909" s="320"/>
      <c r="O909" s="320"/>
    </row>
    <row r="910">
      <c r="A910" s="320"/>
      <c r="B910" s="320"/>
      <c r="C910" s="320"/>
      <c r="D910" s="320"/>
      <c r="E910" s="320"/>
      <c r="F910" s="320"/>
      <c r="G910" s="320"/>
      <c r="H910" s="320"/>
      <c r="I910" s="320"/>
      <c r="J910" s="320"/>
      <c r="K910" s="320"/>
      <c r="L910" s="320"/>
      <c r="M910" s="320"/>
      <c r="N910" s="320"/>
      <c r="O910" s="320"/>
    </row>
    <row r="911">
      <c r="A911" s="320"/>
      <c r="B911" s="320"/>
      <c r="C911" s="320"/>
      <c r="D911" s="320"/>
      <c r="E911" s="320"/>
      <c r="F911" s="320"/>
      <c r="G911" s="320"/>
      <c r="H911" s="320"/>
      <c r="I911" s="320"/>
      <c r="J911" s="320"/>
      <c r="K911" s="320"/>
      <c r="L911" s="320"/>
      <c r="M911" s="320"/>
      <c r="N911" s="320"/>
      <c r="O911" s="320"/>
    </row>
    <row r="912">
      <c r="A912" s="320"/>
      <c r="B912" s="320"/>
      <c r="C912" s="320"/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  <c r="N912" s="320"/>
      <c r="O912" s="320"/>
    </row>
    <row r="913">
      <c r="A913" s="320"/>
      <c r="B913" s="320"/>
      <c r="C913" s="320"/>
      <c r="D913" s="320"/>
      <c r="E913" s="320"/>
      <c r="F913" s="320"/>
      <c r="G913" s="320"/>
      <c r="H913" s="320"/>
      <c r="I913" s="320"/>
      <c r="J913" s="320"/>
      <c r="K913" s="320"/>
      <c r="L913" s="320"/>
      <c r="M913" s="320"/>
      <c r="N913" s="320"/>
      <c r="O913" s="320"/>
    </row>
    <row r="914">
      <c r="A914" s="320"/>
      <c r="B914" s="320"/>
      <c r="C914" s="320"/>
      <c r="D914" s="320"/>
      <c r="E914" s="320"/>
      <c r="F914" s="320"/>
      <c r="G914" s="320"/>
      <c r="H914" s="320"/>
      <c r="I914" s="320"/>
      <c r="J914" s="320"/>
      <c r="K914" s="320"/>
      <c r="L914" s="320"/>
      <c r="M914" s="320"/>
      <c r="N914" s="320"/>
      <c r="O914" s="320"/>
    </row>
    <row r="915">
      <c r="A915" s="320"/>
      <c r="B915" s="320"/>
      <c r="C915" s="320"/>
      <c r="D915" s="320"/>
      <c r="E915" s="320"/>
      <c r="F915" s="320"/>
      <c r="G915" s="320"/>
      <c r="H915" s="320"/>
      <c r="I915" s="320"/>
      <c r="J915" s="320"/>
      <c r="K915" s="320"/>
      <c r="L915" s="320"/>
      <c r="M915" s="320"/>
      <c r="N915" s="320"/>
      <c r="O915" s="320"/>
    </row>
    <row r="916">
      <c r="A916" s="320"/>
      <c r="B916" s="320"/>
      <c r="C916" s="320"/>
      <c r="D916" s="320"/>
      <c r="E916" s="320"/>
      <c r="F916" s="320"/>
      <c r="G916" s="320"/>
      <c r="H916" s="320"/>
      <c r="I916" s="320"/>
      <c r="J916" s="320"/>
      <c r="K916" s="320"/>
      <c r="L916" s="320"/>
      <c r="M916" s="320"/>
      <c r="N916" s="320"/>
      <c r="O916" s="320"/>
    </row>
    <row r="917">
      <c r="A917" s="320"/>
      <c r="B917" s="320"/>
      <c r="C917" s="320"/>
      <c r="D917" s="320"/>
      <c r="E917" s="320"/>
      <c r="F917" s="320"/>
      <c r="G917" s="320"/>
      <c r="H917" s="320"/>
      <c r="I917" s="320"/>
      <c r="J917" s="320"/>
      <c r="K917" s="320"/>
      <c r="L917" s="320"/>
      <c r="M917" s="320"/>
      <c r="N917" s="320"/>
      <c r="O917" s="320"/>
    </row>
    <row r="918">
      <c r="A918" s="320"/>
      <c r="B918" s="320"/>
      <c r="C918" s="320"/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  <c r="N918" s="320"/>
      <c r="O918" s="320"/>
    </row>
    <row r="919">
      <c r="A919" s="320"/>
      <c r="B919" s="320"/>
      <c r="C919" s="320"/>
      <c r="D919" s="320"/>
      <c r="E919" s="320"/>
      <c r="F919" s="320"/>
      <c r="G919" s="320"/>
      <c r="H919" s="320"/>
      <c r="I919" s="320"/>
      <c r="J919" s="320"/>
      <c r="K919" s="320"/>
      <c r="L919" s="320"/>
      <c r="M919" s="320"/>
      <c r="N919" s="320"/>
      <c r="O919" s="320"/>
    </row>
    <row r="920">
      <c r="A920" s="320"/>
      <c r="B920" s="320"/>
      <c r="C920" s="320"/>
      <c r="D920" s="320"/>
      <c r="E920" s="320"/>
      <c r="F920" s="320"/>
      <c r="G920" s="320"/>
      <c r="H920" s="320"/>
      <c r="I920" s="320"/>
      <c r="J920" s="320"/>
      <c r="K920" s="320"/>
      <c r="L920" s="320"/>
      <c r="M920" s="320"/>
      <c r="N920" s="320"/>
      <c r="O920" s="320"/>
    </row>
    <row r="921">
      <c r="A921" s="320"/>
      <c r="B921" s="320"/>
      <c r="C921" s="320"/>
      <c r="D921" s="320"/>
      <c r="E921" s="320"/>
      <c r="F921" s="320"/>
      <c r="G921" s="320"/>
      <c r="H921" s="320"/>
      <c r="I921" s="320"/>
      <c r="J921" s="320"/>
      <c r="K921" s="320"/>
      <c r="L921" s="320"/>
      <c r="M921" s="320"/>
      <c r="N921" s="320"/>
      <c r="O921" s="320"/>
    </row>
    <row r="922">
      <c r="A922" s="320"/>
      <c r="B922" s="320"/>
      <c r="C922" s="320"/>
      <c r="D922" s="320"/>
      <c r="E922" s="320"/>
      <c r="F922" s="320"/>
      <c r="G922" s="320"/>
      <c r="H922" s="320"/>
      <c r="I922" s="320"/>
      <c r="J922" s="320"/>
      <c r="K922" s="320"/>
      <c r="L922" s="320"/>
      <c r="M922" s="320"/>
      <c r="N922" s="320"/>
      <c r="O922" s="320"/>
    </row>
    <row r="923">
      <c r="A923" s="320"/>
      <c r="B923" s="320"/>
      <c r="C923" s="320"/>
      <c r="D923" s="320"/>
      <c r="E923" s="320"/>
      <c r="F923" s="320"/>
      <c r="G923" s="320"/>
      <c r="H923" s="320"/>
      <c r="I923" s="320"/>
      <c r="J923" s="320"/>
      <c r="K923" s="320"/>
      <c r="L923" s="320"/>
      <c r="M923" s="320"/>
      <c r="N923" s="320"/>
      <c r="O923" s="320"/>
    </row>
    <row r="924">
      <c r="A924" s="320"/>
      <c r="B924" s="320"/>
      <c r="C924" s="320"/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  <c r="N924" s="320"/>
      <c r="O924" s="320"/>
    </row>
    <row r="925">
      <c r="A925" s="320"/>
      <c r="B925" s="320"/>
      <c r="C925" s="320"/>
      <c r="D925" s="320"/>
      <c r="E925" s="320"/>
      <c r="F925" s="320"/>
      <c r="G925" s="320"/>
      <c r="H925" s="320"/>
      <c r="I925" s="320"/>
      <c r="J925" s="320"/>
      <c r="K925" s="320"/>
      <c r="L925" s="320"/>
      <c r="M925" s="320"/>
      <c r="N925" s="320"/>
      <c r="O925" s="320"/>
    </row>
    <row r="926">
      <c r="A926" s="320"/>
      <c r="B926" s="320"/>
      <c r="C926" s="320"/>
      <c r="D926" s="320"/>
      <c r="E926" s="320"/>
      <c r="F926" s="320"/>
      <c r="G926" s="320"/>
      <c r="H926" s="320"/>
      <c r="I926" s="320"/>
      <c r="J926" s="320"/>
      <c r="K926" s="320"/>
      <c r="L926" s="320"/>
      <c r="M926" s="320"/>
      <c r="N926" s="320"/>
      <c r="O926" s="320"/>
    </row>
    <row r="927">
      <c r="A927" s="320"/>
      <c r="B927" s="320"/>
      <c r="C927" s="320"/>
      <c r="D927" s="320"/>
      <c r="E927" s="320"/>
      <c r="F927" s="320"/>
      <c r="G927" s="320"/>
      <c r="H927" s="320"/>
      <c r="I927" s="320"/>
      <c r="J927" s="320"/>
      <c r="K927" s="320"/>
      <c r="L927" s="320"/>
      <c r="M927" s="320"/>
      <c r="N927" s="320"/>
      <c r="O927" s="320"/>
    </row>
    <row r="928">
      <c r="A928" s="320"/>
      <c r="B928" s="320"/>
      <c r="C928" s="320"/>
      <c r="D928" s="320"/>
      <c r="E928" s="320"/>
      <c r="F928" s="320"/>
      <c r="G928" s="320"/>
      <c r="H928" s="320"/>
      <c r="I928" s="320"/>
      <c r="J928" s="320"/>
      <c r="K928" s="320"/>
      <c r="L928" s="320"/>
      <c r="M928" s="320"/>
      <c r="N928" s="320"/>
      <c r="O928" s="320"/>
    </row>
    <row r="929">
      <c r="A929" s="320"/>
      <c r="B929" s="320"/>
      <c r="C929" s="320"/>
      <c r="D929" s="320"/>
      <c r="E929" s="320"/>
      <c r="F929" s="320"/>
      <c r="G929" s="320"/>
      <c r="H929" s="320"/>
      <c r="I929" s="320"/>
      <c r="J929" s="320"/>
      <c r="K929" s="320"/>
      <c r="L929" s="320"/>
      <c r="M929" s="320"/>
      <c r="N929" s="320"/>
      <c r="O929" s="320"/>
    </row>
    <row r="930">
      <c r="A930" s="320"/>
      <c r="B930" s="320"/>
      <c r="C930" s="320"/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  <c r="N930" s="320"/>
      <c r="O930" s="320"/>
    </row>
    <row r="931">
      <c r="A931" s="320"/>
      <c r="B931" s="320"/>
      <c r="C931" s="320"/>
      <c r="D931" s="320"/>
      <c r="E931" s="320"/>
      <c r="F931" s="320"/>
      <c r="G931" s="320"/>
      <c r="H931" s="320"/>
      <c r="I931" s="320"/>
      <c r="J931" s="320"/>
      <c r="K931" s="320"/>
      <c r="L931" s="320"/>
      <c r="M931" s="320"/>
      <c r="N931" s="320"/>
      <c r="O931" s="320"/>
    </row>
    <row r="932">
      <c r="A932" s="320"/>
      <c r="B932" s="320"/>
      <c r="C932" s="320"/>
      <c r="D932" s="320"/>
      <c r="E932" s="320"/>
      <c r="F932" s="320"/>
      <c r="G932" s="320"/>
      <c r="H932" s="320"/>
      <c r="I932" s="320"/>
      <c r="J932" s="320"/>
      <c r="K932" s="320"/>
      <c r="L932" s="320"/>
      <c r="M932" s="320"/>
      <c r="N932" s="320"/>
      <c r="O932" s="320"/>
    </row>
    <row r="933">
      <c r="A933" s="320"/>
      <c r="B933" s="320"/>
      <c r="C933" s="320"/>
      <c r="D933" s="320"/>
      <c r="E933" s="320"/>
      <c r="F933" s="320"/>
      <c r="G933" s="320"/>
      <c r="H933" s="320"/>
      <c r="I933" s="320"/>
      <c r="J933" s="320"/>
      <c r="K933" s="320"/>
      <c r="L933" s="320"/>
      <c r="M933" s="320"/>
      <c r="N933" s="320"/>
      <c r="O933" s="320"/>
    </row>
    <row r="934">
      <c r="A934" s="320"/>
      <c r="B934" s="320"/>
      <c r="C934" s="320"/>
      <c r="D934" s="320"/>
      <c r="E934" s="320"/>
      <c r="F934" s="320"/>
      <c r="G934" s="320"/>
      <c r="H934" s="320"/>
      <c r="I934" s="320"/>
      <c r="J934" s="320"/>
      <c r="K934" s="320"/>
      <c r="L934" s="320"/>
      <c r="M934" s="320"/>
      <c r="N934" s="320"/>
      <c r="O934" s="320"/>
    </row>
    <row r="935">
      <c r="A935" s="320"/>
      <c r="B935" s="320"/>
      <c r="C935" s="320"/>
      <c r="D935" s="320"/>
      <c r="E935" s="320"/>
      <c r="F935" s="320"/>
      <c r="G935" s="320"/>
      <c r="H935" s="320"/>
      <c r="I935" s="320"/>
      <c r="J935" s="320"/>
      <c r="K935" s="320"/>
      <c r="L935" s="320"/>
      <c r="M935" s="320"/>
      <c r="N935" s="320"/>
      <c r="O935" s="320"/>
    </row>
    <row r="936">
      <c r="A936" s="320"/>
      <c r="B936" s="320"/>
      <c r="C936" s="320"/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  <c r="N936" s="320"/>
      <c r="O936" s="320"/>
    </row>
    <row r="937">
      <c r="A937" s="320"/>
      <c r="B937" s="320"/>
      <c r="C937" s="320"/>
      <c r="D937" s="320"/>
      <c r="E937" s="320"/>
      <c r="F937" s="320"/>
      <c r="G937" s="320"/>
      <c r="H937" s="320"/>
      <c r="I937" s="320"/>
      <c r="J937" s="320"/>
      <c r="K937" s="320"/>
      <c r="L937" s="320"/>
      <c r="M937" s="320"/>
      <c r="N937" s="320"/>
      <c r="O937" s="320"/>
    </row>
    <row r="938">
      <c r="A938" s="320"/>
      <c r="B938" s="320"/>
      <c r="C938" s="320"/>
      <c r="D938" s="320"/>
      <c r="E938" s="320"/>
      <c r="F938" s="320"/>
      <c r="G938" s="320"/>
      <c r="H938" s="320"/>
      <c r="I938" s="320"/>
      <c r="J938" s="320"/>
      <c r="K938" s="320"/>
      <c r="L938" s="320"/>
      <c r="M938" s="320"/>
      <c r="N938" s="320"/>
      <c r="O938" s="320"/>
    </row>
    <row r="939">
      <c r="A939" s="320"/>
      <c r="B939" s="320"/>
      <c r="C939" s="320"/>
      <c r="D939" s="320"/>
      <c r="E939" s="320"/>
      <c r="F939" s="320"/>
      <c r="G939" s="320"/>
      <c r="H939" s="320"/>
      <c r="I939" s="320"/>
      <c r="J939" s="320"/>
      <c r="K939" s="320"/>
      <c r="L939" s="320"/>
      <c r="M939" s="320"/>
      <c r="N939" s="320"/>
      <c r="O939" s="320"/>
    </row>
    <row r="940">
      <c r="A940" s="320"/>
      <c r="B940" s="320"/>
      <c r="C940" s="320"/>
      <c r="D940" s="320"/>
      <c r="E940" s="320"/>
      <c r="F940" s="320"/>
      <c r="G940" s="320"/>
      <c r="H940" s="320"/>
      <c r="I940" s="320"/>
      <c r="J940" s="320"/>
      <c r="K940" s="320"/>
      <c r="L940" s="320"/>
      <c r="M940" s="320"/>
      <c r="N940" s="320"/>
      <c r="O940" s="320"/>
    </row>
    <row r="941">
      <c r="A941" s="320"/>
      <c r="B941" s="320"/>
      <c r="C941" s="320"/>
      <c r="D941" s="320"/>
      <c r="E941" s="320"/>
      <c r="F941" s="320"/>
      <c r="G941" s="320"/>
      <c r="H941" s="320"/>
      <c r="I941" s="320"/>
      <c r="J941" s="320"/>
      <c r="K941" s="320"/>
      <c r="L941" s="320"/>
      <c r="M941" s="320"/>
      <c r="N941" s="320"/>
      <c r="O941" s="320"/>
    </row>
    <row r="942">
      <c r="A942" s="320"/>
      <c r="B942" s="320"/>
      <c r="C942" s="320"/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  <c r="N942" s="320"/>
      <c r="O942" s="320"/>
    </row>
    <row r="943">
      <c r="A943" s="320"/>
      <c r="B943" s="320"/>
      <c r="C943" s="320"/>
      <c r="D943" s="320"/>
      <c r="E943" s="320"/>
      <c r="F943" s="320"/>
      <c r="G943" s="320"/>
      <c r="H943" s="320"/>
      <c r="I943" s="320"/>
      <c r="J943" s="320"/>
      <c r="K943" s="320"/>
      <c r="L943" s="320"/>
      <c r="M943" s="320"/>
      <c r="N943" s="320"/>
      <c r="O943" s="320"/>
    </row>
    <row r="944">
      <c r="A944" s="320"/>
      <c r="B944" s="320"/>
      <c r="C944" s="320"/>
      <c r="D944" s="320"/>
      <c r="E944" s="320"/>
      <c r="F944" s="320"/>
      <c r="G944" s="320"/>
      <c r="H944" s="320"/>
      <c r="I944" s="320"/>
      <c r="J944" s="320"/>
      <c r="K944" s="320"/>
      <c r="L944" s="320"/>
      <c r="M944" s="320"/>
      <c r="N944" s="320"/>
      <c r="O944" s="320"/>
    </row>
    <row r="945">
      <c r="A945" s="320"/>
      <c r="B945" s="320"/>
      <c r="C945" s="320"/>
      <c r="D945" s="320"/>
      <c r="E945" s="320"/>
      <c r="F945" s="320"/>
      <c r="G945" s="320"/>
      <c r="H945" s="320"/>
      <c r="I945" s="320"/>
      <c r="J945" s="320"/>
      <c r="K945" s="320"/>
      <c r="L945" s="320"/>
      <c r="M945" s="320"/>
      <c r="N945" s="320"/>
      <c r="O945" s="320"/>
    </row>
    <row r="946">
      <c r="A946" s="320"/>
      <c r="B946" s="320"/>
      <c r="C946" s="320"/>
      <c r="D946" s="320"/>
      <c r="E946" s="320"/>
      <c r="F946" s="320"/>
      <c r="G946" s="320"/>
      <c r="H946" s="320"/>
      <c r="I946" s="320"/>
      <c r="J946" s="320"/>
      <c r="K946" s="320"/>
      <c r="L946" s="320"/>
      <c r="M946" s="320"/>
      <c r="N946" s="320"/>
      <c r="O946" s="320"/>
    </row>
    <row r="947">
      <c r="A947" s="320"/>
      <c r="B947" s="320"/>
      <c r="C947" s="320"/>
      <c r="D947" s="320"/>
      <c r="E947" s="320"/>
      <c r="F947" s="320"/>
      <c r="G947" s="320"/>
      <c r="H947" s="320"/>
      <c r="I947" s="320"/>
      <c r="J947" s="320"/>
      <c r="K947" s="320"/>
      <c r="L947" s="320"/>
      <c r="M947" s="320"/>
      <c r="N947" s="320"/>
      <c r="O947" s="320"/>
    </row>
    <row r="948">
      <c r="A948" s="320"/>
      <c r="B948" s="320"/>
      <c r="C948" s="320"/>
      <c r="D948" s="320"/>
      <c r="E948" s="320"/>
      <c r="F948" s="320"/>
      <c r="G948" s="320"/>
      <c r="H948" s="320"/>
      <c r="I948" s="320"/>
      <c r="J948" s="320"/>
      <c r="K948" s="320"/>
      <c r="L948" s="320"/>
      <c r="M948" s="320"/>
      <c r="N948" s="320"/>
      <c r="O948" s="320"/>
    </row>
    <row r="949">
      <c r="A949" s="320"/>
      <c r="B949" s="320"/>
      <c r="C949" s="320"/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  <c r="N949" s="320"/>
      <c r="O949" s="320"/>
    </row>
    <row r="950">
      <c r="A950" s="320"/>
      <c r="B950" s="320"/>
      <c r="C950" s="320"/>
      <c r="D950" s="320"/>
      <c r="E950" s="320"/>
      <c r="F950" s="320"/>
      <c r="G950" s="320"/>
      <c r="H950" s="320"/>
      <c r="I950" s="320"/>
      <c r="J950" s="320"/>
      <c r="K950" s="320"/>
      <c r="L950" s="320"/>
      <c r="M950" s="320"/>
      <c r="N950" s="320"/>
      <c r="O950" s="320"/>
    </row>
    <row r="951">
      <c r="A951" s="320"/>
      <c r="B951" s="320"/>
      <c r="C951" s="320"/>
      <c r="D951" s="320"/>
      <c r="E951" s="320"/>
      <c r="F951" s="320"/>
      <c r="G951" s="320"/>
      <c r="H951" s="320"/>
      <c r="I951" s="320"/>
      <c r="J951" s="320"/>
      <c r="K951" s="320"/>
      <c r="L951" s="320"/>
      <c r="M951" s="320"/>
      <c r="N951" s="320"/>
      <c r="O951" s="320"/>
    </row>
    <row r="952">
      <c r="A952" s="320"/>
      <c r="B952" s="320"/>
      <c r="C952" s="320"/>
      <c r="D952" s="320"/>
      <c r="E952" s="320"/>
      <c r="F952" s="320"/>
      <c r="G952" s="320"/>
      <c r="H952" s="320"/>
      <c r="I952" s="320"/>
      <c r="J952" s="320"/>
      <c r="K952" s="320"/>
      <c r="L952" s="320"/>
      <c r="M952" s="320"/>
      <c r="N952" s="320"/>
      <c r="O952" s="320"/>
    </row>
    <row r="953">
      <c r="A953" s="320"/>
      <c r="B953" s="320"/>
      <c r="C953" s="320"/>
      <c r="D953" s="320"/>
      <c r="E953" s="320"/>
      <c r="F953" s="320"/>
      <c r="G953" s="320"/>
      <c r="H953" s="320"/>
      <c r="I953" s="320"/>
      <c r="J953" s="320"/>
      <c r="K953" s="320"/>
      <c r="L953" s="320"/>
      <c r="M953" s="320"/>
      <c r="N953" s="320"/>
      <c r="O953" s="320"/>
    </row>
    <row r="954">
      <c r="A954" s="320"/>
      <c r="B954" s="320"/>
      <c r="C954" s="320"/>
      <c r="D954" s="320"/>
      <c r="E954" s="320"/>
      <c r="F954" s="320"/>
      <c r="G954" s="320"/>
      <c r="H954" s="320"/>
      <c r="I954" s="320"/>
      <c r="J954" s="320"/>
      <c r="K954" s="320"/>
      <c r="L954" s="320"/>
      <c r="M954" s="320"/>
      <c r="N954" s="320"/>
      <c r="O954" s="320"/>
    </row>
    <row r="955">
      <c r="A955" s="320"/>
      <c r="B955" s="320"/>
      <c r="C955" s="320"/>
      <c r="D955" s="320"/>
      <c r="E955" s="320"/>
      <c r="F955" s="320"/>
      <c r="G955" s="320"/>
      <c r="H955" s="320"/>
      <c r="I955" s="320"/>
      <c r="J955" s="320"/>
      <c r="K955" s="320"/>
      <c r="L955" s="320"/>
      <c r="M955" s="320"/>
      <c r="N955" s="320"/>
      <c r="O955" s="320"/>
    </row>
    <row r="956">
      <c r="A956" s="320"/>
      <c r="B956" s="320"/>
      <c r="C956" s="320"/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  <c r="N956" s="320"/>
      <c r="O956" s="320"/>
    </row>
    <row r="957">
      <c r="A957" s="320"/>
      <c r="B957" s="320"/>
      <c r="C957" s="320"/>
      <c r="D957" s="320"/>
      <c r="E957" s="320"/>
      <c r="F957" s="320"/>
      <c r="G957" s="320"/>
      <c r="H957" s="320"/>
      <c r="I957" s="320"/>
      <c r="J957" s="320"/>
      <c r="K957" s="320"/>
      <c r="L957" s="320"/>
      <c r="M957" s="320"/>
      <c r="N957" s="320"/>
      <c r="O957" s="320"/>
    </row>
    <row r="958">
      <c r="A958" s="320"/>
      <c r="B958" s="320"/>
      <c r="C958" s="320"/>
      <c r="D958" s="320"/>
      <c r="E958" s="320"/>
      <c r="F958" s="320"/>
      <c r="G958" s="320"/>
      <c r="H958" s="320"/>
      <c r="I958" s="320"/>
      <c r="J958" s="320"/>
      <c r="K958" s="320"/>
      <c r="L958" s="320"/>
      <c r="M958" s="320"/>
      <c r="N958" s="320"/>
      <c r="O958" s="320"/>
    </row>
    <row r="959">
      <c r="A959" s="320"/>
      <c r="B959" s="320"/>
      <c r="C959" s="320"/>
      <c r="D959" s="320"/>
      <c r="E959" s="320"/>
      <c r="F959" s="320"/>
      <c r="G959" s="320"/>
      <c r="H959" s="320"/>
      <c r="I959" s="320"/>
      <c r="J959" s="320"/>
      <c r="K959" s="320"/>
      <c r="L959" s="320"/>
      <c r="M959" s="320"/>
      <c r="N959" s="320"/>
      <c r="O959" s="320"/>
    </row>
    <row r="960">
      <c r="A960" s="320"/>
      <c r="B960" s="320"/>
      <c r="C960" s="320"/>
      <c r="D960" s="320"/>
      <c r="E960" s="320"/>
      <c r="F960" s="320"/>
      <c r="G960" s="320"/>
      <c r="H960" s="320"/>
      <c r="I960" s="320"/>
      <c r="J960" s="320"/>
      <c r="K960" s="320"/>
      <c r="L960" s="320"/>
      <c r="M960" s="320"/>
      <c r="N960" s="320"/>
      <c r="O960" s="320"/>
    </row>
    <row r="961">
      <c r="A961" s="320"/>
      <c r="B961" s="320"/>
      <c r="C961" s="320"/>
      <c r="D961" s="320"/>
      <c r="E961" s="320"/>
      <c r="F961" s="320"/>
      <c r="G961" s="320"/>
      <c r="H961" s="320"/>
      <c r="I961" s="320"/>
      <c r="J961" s="320"/>
      <c r="K961" s="320"/>
      <c r="L961" s="320"/>
      <c r="M961" s="320"/>
      <c r="N961" s="320"/>
      <c r="O961" s="320"/>
    </row>
    <row r="962">
      <c r="A962" s="320"/>
      <c r="B962" s="320"/>
      <c r="C962" s="320"/>
      <c r="D962" s="320"/>
      <c r="E962" s="320"/>
      <c r="F962" s="320"/>
      <c r="G962" s="320"/>
      <c r="H962" s="320"/>
      <c r="I962" s="320"/>
      <c r="J962" s="320"/>
      <c r="K962" s="320"/>
      <c r="L962" s="320"/>
      <c r="M962" s="320"/>
      <c r="N962" s="320"/>
      <c r="O962" s="320"/>
    </row>
    <row r="963">
      <c r="A963" s="320"/>
      <c r="B963" s="320"/>
      <c r="C963" s="320"/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  <c r="N963" s="320"/>
      <c r="O963" s="320"/>
    </row>
    <row r="964">
      <c r="A964" s="320"/>
      <c r="B964" s="320"/>
      <c r="C964" s="320"/>
      <c r="D964" s="320"/>
      <c r="E964" s="320"/>
      <c r="F964" s="320"/>
      <c r="G964" s="320"/>
      <c r="H964" s="320"/>
      <c r="I964" s="320"/>
      <c r="J964" s="320"/>
      <c r="K964" s="320"/>
      <c r="L964" s="320"/>
      <c r="M964" s="320"/>
      <c r="N964" s="320"/>
      <c r="O964" s="320"/>
    </row>
    <row r="965">
      <c r="A965" s="320"/>
      <c r="B965" s="320"/>
      <c r="C965" s="320"/>
      <c r="D965" s="320"/>
      <c r="E965" s="320"/>
      <c r="F965" s="320"/>
      <c r="G965" s="320"/>
      <c r="H965" s="320"/>
      <c r="I965" s="320"/>
      <c r="J965" s="320"/>
      <c r="K965" s="320"/>
      <c r="L965" s="320"/>
      <c r="M965" s="320"/>
      <c r="N965" s="320"/>
      <c r="O965" s="320"/>
    </row>
    <row r="966">
      <c r="A966" s="320"/>
      <c r="B966" s="320"/>
      <c r="C966" s="320"/>
      <c r="D966" s="320"/>
      <c r="E966" s="320"/>
      <c r="F966" s="320"/>
      <c r="G966" s="320"/>
      <c r="H966" s="320"/>
      <c r="I966" s="320"/>
      <c r="J966" s="320"/>
      <c r="K966" s="320"/>
      <c r="L966" s="320"/>
      <c r="M966" s="320"/>
      <c r="N966" s="320"/>
      <c r="O966" s="320"/>
    </row>
    <row r="967">
      <c r="A967" s="320"/>
      <c r="B967" s="320"/>
      <c r="C967" s="320"/>
      <c r="D967" s="320"/>
      <c r="E967" s="320"/>
      <c r="F967" s="320"/>
      <c r="G967" s="320"/>
      <c r="H967" s="320"/>
      <c r="I967" s="320"/>
      <c r="J967" s="320"/>
      <c r="K967" s="320"/>
      <c r="L967" s="320"/>
      <c r="M967" s="320"/>
      <c r="N967" s="320"/>
      <c r="O967" s="320"/>
    </row>
    <row r="968">
      <c r="A968" s="320"/>
      <c r="B968" s="320"/>
      <c r="C968" s="320"/>
      <c r="D968" s="320"/>
      <c r="E968" s="320"/>
      <c r="F968" s="320"/>
      <c r="G968" s="320"/>
      <c r="H968" s="320"/>
      <c r="I968" s="320"/>
      <c r="J968" s="320"/>
      <c r="K968" s="320"/>
      <c r="L968" s="320"/>
      <c r="M968" s="320"/>
      <c r="N968" s="320"/>
      <c r="O968" s="320"/>
    </row>
    <row r="969">
      <c r="A969" s="320"/>
      <c r="B969" s="320"/>
      <c r="C969" s="320"/>
      <c r="D969" s="320"/>
      <c r="E969" s="320"/>
      <c r="F969" s="320"/>
      <c r="G969" s="320"/>
      <c r="H969" s="320"/>
      <c r="I969" s="320"/>
      <c r="J969" s="320"/>
      <c r="K969" s="320"/>
      <c r="L969" s="320"/>
      <c r="M969" s="320"/>
      <c r="N969" s="320"/>
      <c r="O969" s="320"/>
    </row>
    <row r="970">
      <c r="A970" s="320"/>
      <c r="B970" s="320"/>
      <c r="C970" s="320"/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  <c r="N970" s="320"/>
      <c r="O970" s="320"/>
    </row>
    <row r="971">
      <c r="A971" s="320"/>
      <c r="B971" s="320"/>
      <c r="C971" s="320"/>
      <c r="D971" s="320"/>
      <c r="E971" s="320"/>
      <c r="F971" s="320"/>
      <c r="G971" s="320"/>
      <c r="H971" s="320"/>
      <c r="I971" s="320"/>
      <c r="J971" s="320"/>
      <c r="K971" s="320"/>
      <c r="L971" s="320"/>
      <c r="M971" s="320"/>
      <c r="N971" s="320"/>
      <c r="O971" s="320"/>
    </row>
    <row r="972">
      <c r="A972" s="320"/>
      <c r="B972" s="320"/>
      <c r="C972" s="320"/>
      <c r="D972" s="320"/>
      <c r="E972" s="320"/>
      <c r="F972" s="320"/>
      <c r="G972" s="320"/>
      <c r="H972" s="320"/>
      <c r="I972" s="320"/>
      <c r="J972" s="320"/>
      <c r="K972" s="320"/>
      <c r="L972" s="320"/>
      <c r="M972" s="320"/>
      <c r="N972" s="320"/>
      <c r="O972" s="320"/>
    </row>
    <row r="973">
      <c r="A973" s="320"/>
      <c r="B973" s="320"/>
      <c r="C973" s="320"/>
      <c r="D973" s="320"/>
      <c r="E973" s="320"/>
      <c r="F973" s="320"/>
      <c r="G973" s="320"/>
      <c r="H973" s="320"/>
      <c r="I973" s="320"/>
      <c r="J973" s="320"/>
      <c r="K973" s="320"/>
      <c r="L973" s="320"/>
      <c r="M973" s="320"/>
      <c r="N973" s="320"/>
      <c r="O973" s="320"/>
    </row>
    <row r="974">
      <c r="A974" s="320"/>
      <c r="B974" s="320"/>
      <c r="C974" s="320"/>
      <c r="D974" s="320"/>
      <c r="E974" s="320"/>
      <c r="F974" s="320"/>
      <c r="G974" s="320"/>
      <c r="H974" s="320"/>
      <c r="I974" s="320"/>
      <c r="J974" s="320"/>
      <c r="K974" s="320"/>
      <c r="L974" s="320"/>
      <c r="M974" s="320"/>
      <c r="N974" s="320"/>
      <c r="O974" s="320"/>
    </row>
    <row r="975">
      <c r="A975" s="320"/>
      <c r="B975" s="320"/>
      <c r="C975" s="320"/>
      <c r="D975" s="320"/>
      <c r="E975" s="320"/>
      <c r="F975" s="320"/>
      <c r="G975" s="320"/>
      <c r="H975" s="320"/>
      <c r="I975" s="320"/>
      <c r="J975" s="320"/>
      <c r="K975" s="320"/>
      <c r="L975" s="320"/>
      <c r="M975" s="320"/>
      <c r="N975" s="320"/>
      <c r="O975" s="320"/>
    </row>
    <row r="976">
      <c r="A976" s="320"/>
      <c r="B976" s="320"/>
      <c r="C976" s="320"/>
      <c r="D976" s="320"/>
      <c r="E976" s="320"/>
      <c r="F976" s="320"/>
      <c r="G976" s="320"/>
      <c r="H976" s="320"/>
      <c r="I976" s="320"/>
      <c r="J976" s="320"/>
      <c r="K976" s="320"/>
      <c r="L976" s="320"/>
      <c r="M976" s="320"/>
      <c r="N976" s="320"/>
      <c r="O976" s="320"/>
    </row>
    <row r="977">
      <c r="A977" s="320"/>
      <c r="B977" s="320"/>
      <c r="C977" s="320"/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  <c r="N977" s="320"/>
      <c r="O977" s="320"/>
    </row>
    <row r="978">
      <c r="A978" s="320"/>
      <c r="B978" s="320"/>
      <c r="C978" s="320"/>
      <c r="D978" s="320"/>
      <c r="E978" s="320"/>
      <c r="F978" s="320"/>
      <c r="G978" s="320"/>
      <c r="H978" s="320"/>
      <c r="I978" s="320"/>
      <c r="J978" s="320"/>
      <c r="K978" s="320"/>
      <c r="L978" s="320"/>
      <c r="M978" s="320"/>
      <c r="N978" s="320"/>
      <c r="O978" s="320"/>
    </row>
    <row r="979">
      <c r="A979" s="320"/>
      <c r="B979" s="320"/>
      <c r="C979" s="320"/>
      <c r="D979" s="320"/>
      <c r="E979" s="320"/>
      <c r="F979" s="320"/>
      <c r="G979" s="320"/>
      <c r="H979" s="320"/>
      <c r="I979" s="320"/>
      <c r="J979" s="320"/>
      <c r="K979" s="320"/>
      <c r="L979" s="320"/>
      <c r="M979" s="320"/>
      <c r="N979" s="320"/>
      <c r="O979" s="320"/>
    </row>
    <row r="980">
      <c r="A980" s="320"/>
      <c r="B980" s="320"/>
      <c r="C980" s="320"/>
      <c r="D980" s="320"/>
      <c r="E980" s="320"/>
      <c r="F980" s="320"/>
      <c r="G980" s="320"/>
      <c r="H980" s="320"/>
      <c r="I980" s="320"/>
      <c r="J980" s="320"/>
      <c r="K980" s="320"/>
      <c r="L980" s="320"/>
      <c r="M980" s="320"/>
      <c r="N980" s="320"/>
      <c r="O980" s="320"/>
    </row>
    <row r="981">
      <c r="A981" s="320"/>
      <c r="B981" s="320"/>
      <c r="C981" s="320"/>
      <c r="D981" s="320"/>
      <c r="E981" s="320"/>
      <c r="F981" s="320"/>
      <c r="G981" s="320"/>
      <c r="H981" s="320"/>
      <c r="I981" s="320"/>
      <c r="J981" s="320"/>
      <c r="K981" s="320"/>
      <c r="L981" s="320"/>
      <c r="M981" s="320"/>
      <c r="N981" s="320"/>
      <c r="O981" s="320"/>
    </row>
    <row r="982">
      <c r="A982" s="320"/>
      <c r="B982" s="320"/>
      <c r="C982" s="320"/>
      <c r="D982" s="320"/>
      <c r="E982" s="320"/>
      <c r="F982" s="320"/>
      <c r="G982" s="320"/>
      <c r="H982" s="320"/>
      <c r="I982" s="320"/>
      <c r="J982" s="320"/>
      <c r="K982" s="320"/>
      <c r="L982" s="320"/>
      <c r="M982" s="320"/>
      <c r="N982" s="320"/>
      <c r="O982" s="320"/>
    </row>
    <row r="983">
      <c r="A983" s="320"/>
      <c r="B983" s="320"/>
      <c r="C983" s="320"/>
      <c r="D983" s="320"/>
      <c r="E983" s="320"/>
      <c r="F983" s="320"/>
      <c r="G983" s="320"/>
      <c r="H983" s="320"/>
      <c r="I983" s="320"/>
      <c r="J983" s="320"/>
      <c r="K983" s="320"/>
      <c r="L983" s="320"/>
      <c r="M983" s="320"/>
      <c r="N983" s="320"/>
      <c r="O983" s="320"/>
    </row>
    <row r="984">
      <c r="A984" s="320"/>
      <c r="B984" s="320"/>
      <c r="C984" s="320"/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  <c r="N984" s="320"/>
      <c r="O984" s="320"/>
    </row>
    <row r="985">
      <c r="A985" s="320"/>
      <c r="B985" s="320"/>
      <c r="C985" s="320"/>
      <c r="D985" s="320"/>
      <c r="E985" s="320"/>
      <c r="F985" s="320"/>
      <c r="G985" s="320"/>
      <c r="H985" s="320"/>
      <c r="I985" s="320"/>
      <c r="J985" s="320"/>
      <c r="K985" s="320"/>
      <c r="L985" s="320"/>
      <c r="M985" s="320"/>
      <c r="N985" s="320"/>
      <c r="O985" s="320"/>
    </row>
    <row r="986">
      <c r="A986" s="320"/>
      <c r="B986" s="320"/>
      <c r="C986" s="320"/>
      <c r="D986" s="320"/>
      <c r="E986" s="320"/>
      <c r="F986" s="320"/>
      <c r="G986" s="320"/>
      <c r="H986" s="320"/>
      <c r="I986" s="320"/>
      <c r="J986" s="320"/>
      <c r="K986" s="320"/>
      <c r="L986" s="320"/>
      <c r="M986" s="320"/>
      <c r="N986" s="320"/>
      <c r="O986" s="320"/>
    </row>
    <row r="987">
      <c r="A987" s="320"/>
      <c r="B987" s="320"/>
      <c r="C987" s="320"/>
      <c r="D987" s="320"/>
      <c r="E987" s="320"/>
      <c r="F987" s="320"/>
      <c r="G987" s="320"/>
      <c r="H987" s="320"/>
      <c r="I987" s="320"/>
      <c r="J987" s="320"/>
      <c r="K987" s="320"/>
      <c r="L987" s="320"/>
      <c r="M987" s="320"/>
      <c r="N987" s="320"/>
      <c r="O987" s="320"/>
    </row>
    <row r="988">
      <c r="A988" s="320"/>
      <c r="B988" s="320"/>
      <c r="C988" s="320"/>
      <c r="D988" s="320"/>
      <c r="E988" s="320"/>
      <c r="F988" s="320"/>
      <c r="G988" s="320"/>
      <c r="H988" s="320"/>
      <c r="I988" s="320"/>
      <c r="J988" s="320"/>
      <c r="K988" s="320"/>
      <c r="L988" s="320"/>
      <c r="M988" s="320"/>
      <c r="N988" s="320"/>
      <c r="O988" s="320"/>
    </row>
    <row r="989">
      <c r="A989" s="320"/>
      <c r="B989" s="320"/>
      <c r="C989" s="320"/>
      <c r="D989" s="320"/>
      <c r="E989" s="320"/>
      <c r="F989" s="320"/>
      <c r="G989" s="320"/>
      <c r="H989" s="320"/>
      <c r="I989" s="320"/>
      <c r="J989" s="320"/>
      <c r="K989" s="320"/>
      <c r="L989" s="320"/>
      <c r="M989" s="320"/>
      <c r="N989" s="320"/>
      <c r="O989" s="320"/>
    </row>
    <row r="990">
      <c r="A990" s="320"/>
      <c r="B990" s="320"/>
      <c r="C990" s="320"/>
      <c r="D990" s="320"/>
      <c r="E990" s="320"/>
      <c r="F990" s="320"/>
      <c r="G990" s="320"/>
      <c r="H990" s="320"/>
      <c r="I990" s="320"/>
      <c r="J990" s="320"/>
      <c r="K990" s="320"/>
      <c r="L990" s="320"/>
      <c r="M990" s="320"/>
      <c r="N990" s="320"/>
      <c r="O990" s="320"/>
    </row>
    <row r="991">
      <c r="A991" s="320"/>
      <c r="B991" s="320"/>
      <c r="C991" s="320"/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  <c r="N991" s="320"/>
      <c r="O991" s="320"/>
    </row>
    <row r="992">
      <c r="A992" s="320"/>
      <c r="B992" s="320"/>
      <c r="C992" s="320"/>
      <c r="D992" s="320"/>
      <c r="E992" s="320"/>
      <c r="F992" s="320"/>
      <c r="G992" s="320"/>
      <c r="H992" s="320"/>
      <c r="I992" s="320"/>
      <c r="J992" s="320"/>
      <c r="K992" s="320"/>
      <c r="L992" s="320"/>
      <c r="M992" s="320"/>
      <c r="N992" s="320"/>
      <c r="O992" s="320"/>
    </row>
    <row r="993">
      <c r="A993" s="320"/>
      <c r="B993" s="320"/>
      <c r="C993" s="320"/>
      <c r="D993" s="320"/>
      <c r="E993" s="320"/>
      <c r="F993" s="320"/>
      <c r="G993" s="320"/>
      <c r="H993" s="320"/>
      <c r="I993" s="320"/>
      <c r="J993" s="320"/>
      <c r="K993" s="320"/>
      <c r="L993" s="320"/>
      <c r="M993" s="320"/>
      <c r="N993" s="320"/>
      <c r="O993" s="320"/>
    </row>
    <row r="994">
      <c r="A994" s="320"/>
      <c r="B994" s="320"/>
      <c r="C994" s="320"/>
      <c r="D994" s="320"/>
      <c r="E994" s="320"/>
      <c r="F994" s="320"/>
      <c r="G994" s="320"/>
      <c r="H994" s="320"/>
      <c r="I994" s="320"/>
      <c r="J994" s="320"/>
      <c r="K994" s="320"/>
      <c r="L994" s="320"/>
      <c r="M994" s="320"/>
      <c r="N994" s="320"/>
      <c r="O994" s="320"/>
    </row>
    <row r="995">
      <c r="A995" s="320"/>
      <c r="B995" s="320"/>
      <c r="C995" s="320"/>
      <c r="D995" s="320"/>
      <c r="E995" s="320"/>
      <c r="F995" s="320"/>
      <c r="G995" s="320"/>
      <c r="H995" s="320"/>
      <c r="I995" s="320"/>
      <c r="J995" s="320"/>
      <c r="K995" s="320"/>
      <c r="L995" s="320"/>
      <c r="M995" s="320"/>
      <c r="N995" s="320"/>
      <c r="O995" s="320"/>
    </row>
    <row r="996">
      <c r="A996" s="320"/>
      <c r="B996" s="320"/>
      <c r="C996" s="320"/>
      <c r="D996" s="320"/>
      <c r="E996" s="320"/>
      <c r="F996" s="320"/>
      <c r="G996" s="320"/>
      <c r="H996" s="320"/>
      <c r="I996" s="320"/>
      <c r="J996" s="320"/>
      <c r="K996" s="320"/>
      <c r="L996" s="320"/>
      <c r="M996" s="320"/>
      <c r="N996" s="320"/>
      <c r="O996" s="320"/>
    </row>
    <row r="997">
      <c r="A997" s="320"/>
      <c r="B997" s="320"/>
      <c r="C997" s="320"/>
      <c r="D997" s="320"/>
      <c r="E997" s="320"/>
      <c r="F997" s="320"/>
      <c r="G997" s="320"/>
      <c r="H997" s="320"/>
      <c r="I997" s="320"/>
      <c r="J997" s="320"/>
      <c r="K997" s="320"/>
      <c r="L997" s="320"/>
      <c r="M997" s="320"/>
      <c r="N997" s="320"/>
      <c r="O997" s="320"/>
    </row>
    <row r="998">
      <c r="A998" s="320"/>
      <c r="B998" s="320"/>
      <c r="C998" s="320"/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  <c r="N998" s="320"/>
      <c r="O998" s="320"/>
    </row>
    <row r="999">
      <c r="A999" s="320"/>
      <c r="B999" s="320"/>
      <c r="C999" s="320"/>
      <c r="D999" s="320"/>
      <c r="E999" s="320"/>
      <c r="F999" s="320"/>
      <c r="G999" s="320"/>
      <c r="H999" s="320"/>
      <c r="I999" s="320"/>
      <c r="J999" s="320"/>
      <c r="K999" s="320"/>
      <c r="L999" s="320"/>
      <c r="M999" s="320"/>
      <c r="N999" s="320"/>
      <c r="O999" s="320"/>
    </row>
    <row r="1000">
      <c r="A1000" s="320"/>
      <c r="B1000" s="320"/>
      <c r="C1000" s="320"/>
      <c r="D1000" s="320"/>
      <c r="E1000" s="320"/>
      <c r="F1000" s="320"/>
      <c r="G1000" s="320"/>
      <c r="H1000" s="320"/>
      <c r="I1000" s="320"/>
      <c r="J1000" s="320"/>
      <c r="K1000" s="320"/>
      <c r="L1000" s="320"/>
      <c r="M1000" s="320"/>
      <c r="N1000" s="320"/>
      <c r="O1000" s="320"/>
    </row>
    <row r="1001">
      <c r="A1001" s="320"/>
      <c r="B1001" s="320"/>
      <c r="C1001" s="320"/>
      <c r="D1001" s="320"/>
      <c r="E1001" s="320"/>
      <c r="F1001" s="320"/>
      <c r="G1001" s="320"/>
      <c r="H1001" s="320"/>
      <c r="I1001" s="320"/>
      <c r="J1001" s="320"/>
      <c r="K1001" s="320"/>
      <c r="L1001" s="320"/>
      <c r="M1001" s="320"/>
      <c r="N1001" s="320"/>
      <c r="O1001" s="320"/>
    </row>
    <row r="1002">
      <c r="A1002" s="320"/>
      <c r="B1002" s="320"/>
      <c r="C1002" s="320"/>
      <c r="D1002" s="320"/>
      <c r="E1002" s="320"/>
      <c r="F1002" s="320"/>
      <c r="G1002" s="320"/>
      <c r="H1002" s="320"/>
      <c r="I1002" s="320"/>
      <c r="J1002" s="320"/>
      <c r="K1002" s="320"/>
      <c r="L1002" s="320"/>
      <c r="M1002" s="320"/>
      <c r="N1002" s="320"/>
      <c r="O1002" s="320"/>
    </row>
    <row r="1003">
      <c r="A1003" s="320"/>
      <c r="B1003" s="320"/>
      <c r="C1003" s="320"/>
      <c r="D1003" s="320"/>
      <c r="E1003" s="320"/>
      <c r="F1003" s="320"/>
      <c r="G1003" s="320"/>
      <c r="H1003" s="320"/>
      <c r="I1003" s="320"/>
      <c r="J1003" s="320"/>
      <c r="K1003" s="320"/>
      <c r="L1003" s="320"/>
      <c r="M1003" s="320"/>
      <c r="N1003" s="320"/>
      <c r="O1003" s="320"/>
    </row>
  </sheetData>
  <mergeCells count="4">
    <mergeCell ref="A1:O1"/>
    <mergeCell ref="B2:E2"/>
    <mergeCell ref="F2:K2"/>
    <mergeCell ref="L2:O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6.0"/>
    <col customWidth="1" min="2" max="2" width="8.75"/>
    <col customWidth="1" min="3" max="3" width="7.38"/>
    <col customWidth="1" min="4" max="4" width="5.88"/>
    <col customWidth="1" min="5" max="5" width="8.75"/>
    <col customWidth="1" min="6" max="6" width="7.75"/>
    <col customWidth="1" min="7" max="7" width="7.38"/>
    <col customWidth="1" min="8" max="8" width="8.0"/>
    <col customWidth="1" min="9" max="9" width="5.88"/>
    <col customWidth="1" min="10" max="10" width="7.63"/>
    <col customWidth="1" min="11" max="11" width="6.0"/>
    <col customWidth="1" min="12" max="12" width="10.38"/>
    <col customWidth="1" min="13" max="13" width="5.75"/>
    <col customWidth="1" min="14" max="14" width="7.5"/>
    <col customWidth="1" min="15" max="15" width="8.38"/>
  </cols>
  <sheetData>
    <row r="1">
      <c r="A1" s="302"/>
    </row>
    <row r="2">
      <c r="A2" s="303"/>
      <c r="B2" s="304" t="s">
        <v>1</v>
      </c>
      <c r="C2" s="255"/>
      <c r="D2" s="255"/>
      <c r="E2" s="256"/>
      <c r="F2" s="257" t="s">
        <v>2</v>
      </c>
      <c r="G2" s="258"/>
      <c r="H2" s="258"/>
      <c r="I2" s="258"/>
      <c r="J2" s="258"/>
      <c r="K2" s="259"/>
      <c r="L2" s="257" t="s">
        <v>753</v>
      </c>
      <c r="M2" s="258"/>
      <c r="N2" s="258"/>
      <c r="O2" s="259"/>
    </row>
    <row r="3">
      <c r="A3" s="305" t="s">
        <v>754</v>
      </c>
      <c r="B3" s="193" t="s">
        <v>8</v>
      </c>
      <c r="C3" s="261" t="s">
        <v>755</v>
      </c>
      <c r="D3" s="262" t="s">
        <v>756</v>
      </c>
      <c r="E3" s="263" t="s">
        <v>757</v>
      </c>
      <c r="F3" s="261" t="s">
        <v>8</v>
      </c>
      <c r="G3" s="261" t="s">
        <v>756</v>
      </c>
      <c r="H3" s="262" t="s">
        <v>755</v>
      </c>
      <c r="I3" s="264" t="s">
        <v>758</v>
      </c>
      <c r="J3" s="264" t="s">
        <v>757</v>
      </c>
      <c r="K3" s="263" t="s">
        <v>758</v>
      </c>
      <c r="L3" s="265" t="s">
        <v>8</v>
      </c>
      <c r="M3" s="261" t="s">
        <v>759</v>
      </c>
      <c r="N3" s="262" t="s">
        <v>760</v>
      </c>
      <c r="O3" s="263" t="s">
        <v>761</v>
      </c>
    </row>
    <row r="4">
      <c r="A4" s="306" t="s">
        <v>570</v>
      </c>
      <c r="B4" s="191"/>
      <c r="C4" s="267"/>
      <c r="D4" s="268"/>
      <c r="E4" s="269"/>
      <c r="F4" s="267"/>
      <c r="G4" s="267"/>
      <c r="H4" s="268"/>
      <c r="I4" s="268"/>
      <c r="J4" s="270"/>
      <c r="K4" s="269"/>
      <c r="L4" s="268"/>
      <c r="M4" s="235"/>
      <c r="N4" s="268"/>
      <c r="O4" s="269"/>
    </row>
    <row r="5">
      <c r="A5" s="192" t="s">
        <v>397</v>
      </c>
      <c r="B5" s="191" t="s">
        <v>402</v>
      </c>
      <c r="C5" s="271">
        <v>16.0</v>
      </c>
      <c r="D5" s="272">
        <v>10.0</v>
      </c>
      <c r="E5" s="273">
        <v>23.0</v>
      </c>
      <c r="F5" s="267" t="s">
        <v>17</v>
      </c>
      <c r="G5" s="267"/>
      <c r="H5" s="268"/>
      <c r="I5" s="268"/>
      <c r="J5" s="270"/>
      <c r="K5" s="269"/>
      <c r="L5" s="267" t="s">
        <v>17</v>
      </c>
      <c r="M5" s="274">
        <f>IF(AND(H5&lt;&gt;"", J5&lt;&gt;""), H5-J5, IF(H5&lt;&gt;"", H5-I5*VLOOKUP(A5, BACKEND2!$A:$G,6,FALSE), IF(J5&lt;&gt;"", -J5+K5*VLOOKUP(A5, BACKEND2!$A:$G,6,FALSE),0)))+ (C5+D5-E5)*VLOOKUP(A5, BACKEND2!$A:$G,5,FALSE)+G5
</f>
        <v>9</v>
      </c>
      <c r="N5" s="268"/>
      <c r="O5" s="269"/>
    </row>
    <row r="6">
      <c r="A6" s="192" t="s">
        <v>401</v>
      </c>
      <c r="B6" s="191" t="s">
        <v>402</v>
      </c>
      <c r="C6" s="271">
        <v>5.0</v>
      </c>
      <c r="D6" s="272">
        <v>3.0</v>
      </c>
      <c r="E6" s="273">
        <v>6.0</v>
      </c>
      <c r="F6" s="267" t="s">
        <v>17</v>
      </c>
      <c r="G6" s="267"/>
      <c r="H6" s="268"/>
      <c r="I6" s="268"/>
      <c r="J6" s="270"/>
      <c r="K6" s="269"/>
      <c r="L6" s="267" t="s">
        <v>17</v>
      </c>
      <c r="M6" s="274">
        <f>IF(AND(H6&lt;&gt;"", J6&lt;&gt;""), H6-J6, IF(H6&lt;&gt;"", H6-I6*VLOOKUP(A6, BACKEND2!$A:$G,6,FALSE), IF(J6&lt;&gt;"", -J6+K6*VLOOKUP(A6, BACKEND2!$A:$G,6,FALSE),0)))+ (C6+D6-E6)*VLOOKUP(A6, BACKEND2!$A:$G,5,FALSE)+G6
</f>
        <v>4</v>
      </c>
      <c r="N6" s="268"/>
      <c r="O6" s="269"/>
    </row>
    <row r="7">
      <c r="A7" s="192" t="s">
        <v>404</v>
      </c>
      <c r="B7" s="191" t="s">
        <v>402</v>
      </c>
      <c r="C7" s="271">
        <v>6.0</v>
      </c>
      <c r="D7" s="268"/>
      <c r="E7" s="273">
        <v>6.0</v>
      </c>
      <c r="F7" s="267" t="s">
        <v>17</v>
      </c>
      <c r="G7" s="267"/>
      <c r="H7" s="268"/>
      <c r="I7" s="268"/>
      <c r="J7" s="270"/>
      <c r="K7" s="269"/>
      <c r="L7" s="267" t="s">
        <v>17</v>
      </c>
      <c r="M7" s="274">
        <f>IF(AND(H7&lt;&gt;"", J7&lt;&gt;""), H7-J7, IF(H7&lt;&gt;"", H7-I7*VLOOKUP(A7, BACKEND2!$A:$G,6,FALSE), IF(J7&lt;&gt;"", -J7+K7*VLOOKUP(A7, BACKEND2!$A:$G,6,FALSE),0)))+ (C7+D7-E7)*VLOOKUP(A7, BACKEND2!$A:$G,5,FALSE)+G7
</f>
        <v>0</v>
      </c>
      <c r="N7" s="268"/>
      <c r="O7" s="269"/>
    </row>
    <row r="8">
      <c r="A8" s="192" t="s">
        <v>406</v>
      </c>
      <c r="B8" s="191" t="s">
        <v>402</v>
      </c>
      <c r="C8" s="271">
        <v>7.0</v>
      </c>
      <c r="D8" s="272"/>
      <c r="E8" s="273">
        <v>3.0</v>
      </c>
      <c r="F8" s="267" t="s">
        <v>402</v>
      </c>
      <c r="G8" s="267"/>
      <c r="H8" s="268"/>
      <c r="I8" s="268"/>
      <c r="J8" s="270"/>
      <c r="K8" s="269"/>
      <c r="L8" s="267" t="s">
        <v>402</v>
      </c>
      <c r="M8" s="274">
        <f>IF(AND(H8&lt;&gt;"", J8&lt;&gt;""), H8-J8, IF(H8&lt;&gt;"", H8-I8*VLOOKUP(A8, BACKEND2!$A:$G,6,FALSE), IF(J8&lt;&gt;"", -J8+K8*VLOOKUP(A8, BACKEND2!$A:$G,6,FALSE),0)))+ (C8+D8-E8)*VLOOKUP(A8, BACKEND2!$A:$G,5,FALSE)+G8
</f>
        <v>4</v>
      </c>
      <c r="N8" s="268"/>
      <c r="O8" s="269"/>
    </row>
    <row r="9">
      <c r="A9" s="192" t="s">
        <v>409</v>
      </c>
      <c r="B9" s="191" t="s">
        <v>402</v>
      </c>
      <c r="C9" s="271">
        <v>1.0</v>
      </c>
      <c r="D9" s="268"/>
      <c r="E9" s="273">
        <v>1.0</v>
      </c>
      <c r="F9" s="267" t="s">
        <v>17</v>
      </c>
      <c r="G9" s="267"/>
      <c r="H9" s="268"/>
      <c r="I9" s="268"/>
      <c r="J9" s="270"/>
      <c r="K9" s="269"/>
      <c r="L9" s="267" t="s">
        <v>17</v>
      </c>
      <c r="M9" s="274">
        <f>IF(AND(H9&lt;&gt;"", J9&lt;&gt;""), H9-J9, IF(H9&lt;&gt;"", H9-I9*VLOOKUP(A9, BACKEND2!$A:$G,6,FALSE), IF(J9&lt;&gt;"", -J9+K9*VLOOKUP(A9, BACKEND2!$A:$G,6,FALSE),0)))+ (C9+D9-E9)*VLOOKUP(A9, BACKEND2!$A:$G,5,FALSE)+G9
</f>
        <v>0</v>
      </c>
      <c r="N9" s="268"/>
      <c r="O9" s="269"/>
    </row>
    <row r="10">
      <c r="A10" s="192" t="s">
        <v>411</v>
      </c>
      <c r="B10" s="191" t="s">
        <v>402</v>
      </c>
      <c r="C10" s="271">
        <v>7.0</v>
      </c>
      <c r="D10" s="268"/>
      <c r="E10" s="273">
        <v>5.0</v>
      </c>
      <c r="F10" s="267" t="s">
        <v>17</v>
      </c>
      <c r="G10" s="267"/>
      <c r="H10" s="268"/>
      <c r="I10" s="268"/>
      <c r="J10" s="270"/>
      <c r="K10" s="269"/>
      <c r="L10" s="267" t="s">
        <v>17</v>
      </c>
      <c r="M10" s="274">
        <f>IF(AND(H10&lt;&gt;"", J10&lt;&gt;""), H10-J10, IF(H10&lt;&gt;"", H10-I10*VLOOKUP(A10, BACKEND2!$A:$G,6,FALSE), IF(J10&lt;&gt;"", -J10+K10*VLOOKUP(A10, BACKEND2!$A:$G,6,FALSE),0)))+ (C10+D10-E10)*VLOOKUP(A10, BACKEND2!$A:$G,5,FALSE)+G10
</f>
        <v>16</v>
      </c>
      <c r="N10" s="268"/>
      <c r="O10" s="269"/>
    </row>
    <row r="11">
      <c r="A11" s="204" t="s">
        <v>413</v>
      </c>
      <c r="B11" s="191" t="s">
        <v>402</v>
      </c>
      <c r="C11" s="271">
        <v>7.0</v>
      </c>
      <c r="D11" s="272">
        <v>6.0</v>
      </c>
      <c r="E11" s="273">
        <v>2.0</v>
      </c>
      <c r="F11" s="267" t="s">
        <v>402</v>
      </c>
      <c r="G11" s="267"/>
      <c r="H11" s="268"/>
      <c r="I11" s="268"/>
      <c r="J11" s="270"/>
      <c r="K11" s="269"/>
      <c r="L11" s="267" t="s">
        <v>402</v>
      </c>
      <c r="M11" s="274">
        <f>IF(AND(H11&lt;&gt;"", J11&lt;&gt;""), H11-J11, IF(H11&lt;&gt;"", H11-I11*VLOOKUP(A11, BACKEND2!$A:$G,6,FALSE), IF(J11&lt;&gt;"", -J11+K11*VLOOKUP(A11, BACKEND2!$A:$G,6,FALSE),0)))+ (C11+D11-E11)*VLOOKUP(A11, BACKEND2!$A:$G,5,FALSE)+G11
</f>
        <v>11</v>
      </c>
      <c r="N11" s="268"/>
      <c r="O11" s="269"/>
    </row>
    <row r="12">
      <c r="A12" s="192" t="s">
        <v>414</v>
      </c>
      <c r="B12" s="191" t="s">
        <v>402</v>
      </c>
      <c r="C12" s="267"/>
      <c r="D12" s="268"/>
      <c r="E12" s="269"/>
      <c r="F12" s="267" t="s">
        <v>402</v>
      </c>
      <c r="G12" s="267"/>
      <c r="H12" s="268"/>
      <c r="I12" s="268"/>
      <c r="J12" s="270"/>
      <c r="K12" s="269"/>
      <c r="L12" s="267" t="s">
        <v>402</v>
      </c>
      <c r="M12" s="274">
        <f>IF(AND(H12&lt;&gt;"", J12&lt;&gt;""), H12-J12, IF(H12&lt;&gt;"", H12-I12*VLOOKUP(A12, BACKEND2!$A:$G,6,FALSE), IF(J12&lt;&gt;"", -J12+K12*VLOOKUP(A12, BACKEND2!$A:$G,6,FALSE),0)))+ (C12+D12-E12)*VLOOKUP(A12, BACKEND2!$A:$G,5,FALSE)+G12
</f>
        <v>0</v>
      </c>
      <c r="N12" s="268"/>
      <c r="O12" s="269"/>
    </row>
    <row r="13">
      <c r="A13" s="192" t="s">
        <v>416</v>
      </c>
      <c r="B13" s="191" t="s">
        <v>402</v>
      </c>
      <c r="C13" s="271">
        <v>8.0</v>
      </c>
      <c r="D13" s="272">
        <v>4.0</v>
      </c>
      <c r="E13" s="273">
        <v>4.0</v>
      </c>
      <c r="F13" s="267" t="s">
        <v>17</v>
      </c>
      <c r="G13" s="267"/>
      <c r="H13" s="268"/>
      <c r="I13" s="268"/>
      <c r="J13" s="270"/>
      <c r="K13" s="269"/>
      <c r="L13" s="267" t="s">
        <v>17</v>
      </c>
      <c r="M13" s="274">
        <f>IF(AND(H13&lt;&gt;"", J13&lt;&gt;""), H13-J13, IF(H13&lt;&gt;"", H13-I13*VLOOKUP(A13, BACKEND2!$A:$G,6,FALSE), IF(J13&lt;&gt;"", -J13+K13*VLOOKUP(A13, BACKEND2!$A:$G,6,FALSE),0)))+ (C13+D13-E13)*VLOOKUP(A13, BACKEND2!$A:$G,5,FALSE)+G13
</f>
        <v>72</v>
      </c>
      <c r="N13" s="268"/>
      <c r="O13" s="269"/>
    </row>
    <row r="14">
      <c r="A14" s="204" t="s">
        <v>418</v>
      </c>
      <c r="B14" s="191" t="s">
        <v>402</v>
      </c>
      <c r="C14" s="271">
        <v>13.0</v>
      </c>
      <c r="D14" s="272">
        <v>9.0</v>
      </c>
      <c r="E14" s="273">
        <v>16.0</v>
      </c>
      <c r="F14" s="267" t="s">
        <v>402</v>
      </c>
      <c r="G14" s="267"/>
      <c r="H14" s="268"/>
      <c r="I14" s="268"/>
      <c r="J14" s="270"/>
      <c r="K14" s="269"/>
      <c r="L14" s="267" t="s">
        <v>402</v>
      </c>
      <c r="M14" s="274">
        <f>IF(AND(H14&lt;&gt;"", J14&lt;&gt;""), H14-J14, IF(H14&lt;&gt;"", H14-I14*VLOOKUP(A14, BACKEND2!$A:$G,6,FALSE), IF(J14&lt;&gt;"", -J14+K14*VLOOKUP(A14, BACKEND2!$A:$G,6,FALSE),0)))+ (C14+D14-E14)*VLOOKUP(A14, BACKEND2!$A:$G,5,FALSE)+G14
</f>
        <v>6</v>
      </c>
      <c r="N14" s="268"/>
      <c r="O14" s="269"/>
    </row>
    <row r="15">
      <c r="A15" s="204" t="s">
        <v>420</v>
      </c>
      <c r="B15" s="191" t="s">
        <v>402</v>
      </c>
      <c r="C15" s="271">
        <v>2.0</v>
      </c>
      <c r="D15" s="268"/>
      <c r="E15" s="273">
        <v>2.0</v>
      </c>
      <c r="F15" s="267" t="s">
        <v>17</v>
      </c>
      <c r="G15" s="267"/>
      <c r="H15" s="268"/>
      <c r="I15" s="268"/>
      <c r="J15" s="270"/>
      <c r="K15" s="269"/>
      <c r="L15" s="267" t="s">
        <v>17</v>
      </c>
      <c r="M15" s="274">
        <f>IF(AND(H15&lt;&gt;"", J15&lt;&gt;""), H15-J15, IF(H15&lt;&gt;"", H15-I15*VLOOKUP(A15, BACKEND2!$A:$G,6,FALSE), IF(J15&lt;&gt;"", -J15+K15*VLOOKUP(A15, BACKEND2!$A:$G,6,FALSE),0)))+ (C15+D15-E15)*VLOOKUP(A15, BACKEND2!$A:$G,5,FALSE)+G15
</f>
        <v>0</v>
      </c>
      <c r="N15" s="268"/>
      <c r="O15" s="269"/>
    </row>
    <row r="16">
      <c r="A16" s="192" t="s">
        <v>422</v>
      </c>
      <c r="B16" s="191" t="s">
        <v>402</v>
      </c>
      <c r="C16" s="271">
        <v>3.0</v>
      </c>
      <c r="D16" s="272">
        <v>8.0</v>
      </c>
      <c r="E16" s="273">
        <v>11.0</v>
      </c>
      <c r="F16" s="267" t="s">
        <v>17</v>
      </c>
      <c r="G16" s="267"/>
      <c r="H16" s="268"/>
      <c r="I16" s="268"/>
      <c r="J16" s="270"/>
      <c r="K16" s="269"/>
      <c r="L16" s="267" t="s">
        <v>17</v>
      </c>
      <c r="M16" s="274">
        <f>IF(AND(H16&lt;&gt;"", J16&lt;&gt;""), H16-J16, IF(H16&lt;&gt;"", H16-I16*VLOOKUP(A16, BACKEND2!$A:$G,6,FALSE), IF(J16&lt;&gt;"", -J16+K16*VLOOKUP(A16, BACKEND2!$A:$G,6,FALSE),0)))+ (C16+D16-E16)*VLOOKUP(A16, BACKEND2!$A:$G,5,FALSE)+G16
</f>
        <v>0</v>
      </c>
      <c r="N16" s="268"/>
      <c r="O16" s="269"/>
    </row>
    <row r="17">
      <c r="A17" s="192" t="s">
        <v>423</v>
      </c>
      <c r="B17" s="191" t="s">
        <v>402</v>
      </c>
      <c r="C17" s="271">
        <v>7.0</v>
      </c>
      <c r="D17" s="272">
        <v>3.0</v>
      </c>
      <c r="E17" s="273">
        <v>6.0</v>
      </c>
      <c r="F17" s="267" t="s">
        <v>17</v>
      </c>
      <c r="G17" s="267"/>
      <c r="H17" s="268"/>
      <c r="I17" s="268"/>
      <c r="J17" s="270"/>
      <c r="K17" s="269"/>
      <c r="L17" s="267" t="s">
        <v>17</v>
      </c>
      <c r="M17" s="274">
        <f>IF(AND(H17&lt;&gt;"", J17&lt;&gt;""), H17-J17, IF(H17&lt;&gt;"", H17-I17*VLOOKUP(A17, BACKEND2!$A:$G,6,FALSE), IF(J17&lt;&gt;"", -J17+K17*VLOOKUP(A17, BACKEND2!$A:$G,6,FALSE),0)))+ (C17+D17-E17)*VLOOKUP(A17, BACKEND2!$A:$G,5,FALSE)+G17
</f>
        <v>8</v>
      </c>
      <c r="N17" s="268"/>
      <c r="O17" s="269"/>
    </row>
    <row r="18">
      <c r="A18" s="192" t="s">
        <v>425</v>
      </c>
      <c r="B18" s="191" t="s">
        <v>402</v>
      </c>
      <c r="C18" s="271">
        <v>6.0</v>
      </c>
      <c r="D18" s="268"/>
      <c r="E18" s="273">
        <v>5.0</v>
      </c>
      <c r="F18" s="267" t="s">
        <v>17</v>
      </c>
      <c r="G18" s="267"/>
      <c r="H18" s="268"/>
      <c r="I18" s="268"/>
      <c r="J18" s="270"/>
      <c r="K18" s="269"/>
      <c r="L18" s="267" t="s">
        <v>17</v>
      </c>
      <c r="M18" s="274">
        <f>IF(AND(H18&lt;&gt;"", J18&lt;&gt;""), H18-J18, IF(H18&lt;&gt;"", H18-I18*VLOOKUP(A18, BACKEND2!$A:$G,6,FALSE), IF(J18&lt;&gt;"", -J18+K18*VLOOKUP(A18, BACKEND2!$A:$G,6,FALSE),0)))+ (C18+D18-E18)*VLOOKUP(A18, BACKEND2!$A:$G,5,FALSE)+G18
</f>
        <v>2</v>
      </c>
      <c r="N18" s="268"/>
      <c r="O18" s="269"/>
    </row>
    <row r="19">
      <c r="A19" s="192" t="s">
        <v>426</v>
      </c>
      <c r="B19" s="191" t="s">
        <v>402</v>
      </c>
      <c r="C19" s="271">
        <v>3.0</v>
      </c>
      <c r="D19" s="268"/>
      <c r="E19" s="273">
        <v>3.0</v>
      </c>
      <c r="F19" s="267" t="s">
        <v>402</v>
      </c>
      <c r="G19" s="267"/>
      <c r="H19" s="268"/>
      <c r="I19" s="268"/>
      <c r="J19" s="270"/>
      <c r="K19" s="269"/>
      <c r="L19" s="267" t="s">
        <v>402</v>
      </c>
      <c r="M19" s="274">
        <f>IF(AND(H19&lt;&gt;"", J19&lt;&gt;""), H19-J19, IF(H19&lt;&gt;"", H19-I19*VLOOKUP(A19, BACKEND2!$A:$G,6,FALSE), IF(J19&lt;&gt;"", -J19+K19*VLOOKUP(A19, BACKEND2!$A:$G,6,FALSE),0)))+ (C19+D19-E19)*VLOOKUP(A19, BACKEND2!$A:$G,5,FALSE)+G19
</f>
        <v>0</v>
      </c>
      <c r="N19" s="268"/>
      <c r="O19" s="269"/>
    </row>
    <row r="20">
      <c r="A20" s="192" t="s">
        <v>428</v>
      </c>
      <c r="B20" s="191" t="s">
        <v>402</v>
      </c>
      <c r="C20" s="271">
        <v>7.0</v>
      </c>
      <c r="D20" s="268"/>
      <c r="E20" s="273">
        <v>5.0</v>
      </c>
      <c r="F20" s="267" t="s">
        <v>402</v>
      </c>
      <c r="G20" s="267"/>
      <c r="H20" s="268"/>
      <c r="I20" s="268"/>
      <c r="J20" s="270"/>
      <c r="K20" s="269"/>
      <c r="L20" s="267" t="s">
        <v>402</v>
      </c>
      <c r="M20" s="274">
        <f>IF(AND(H20&lt;&gt;"", J20&lt;&gt;""), H20-J20, IF(H20&lt;&gt;"", H20-I20*VLOOKUP(A20, BACKEND2!$A:$G,6,FALSE), IF(J20&lt;&gt;"", -J20+K20*VLOOKUP(A20, BACKEND2!$A:$G,6,FALSE),0)))+ (C20+D20-E20)*VLOOKUP(A20, BACKEND2!$A:$G,5,FALSE)+G20
</f>
        <v>2</v>
      </c>
      <c r="N20" s="268"/>
      <c r="O20" s="269"/>
    </row>
    <row r="21">
      <c r="A21" s="204" t="s">
        <v>429</v>
      </c>
      <c r="B21" s="191" t="s">
        <v>402</v>
      </c>
      <c r="C21" s="271">
        <v>5.0</v>
      </c>
      <c r="D21" s="272">
        <v>10.0</v>
      </c>
      <c r="E21" s="273">
        <v>12.0</v>
      </c>
      <c r="F21" s="267" t="s">
        <v>17</v>
      </c>
      <c r="G21" s="267"/>
      <c r="H21" s="268"/>
      <c r="I21" s="268"/>
      <c r="J21" s="270"/>
      <c r="K21" s="269"/>
      <c r="L21" s="267" t="s">
        <v>17</v>
      </c>
      <c r="M21" s="274">
        <f>IF(AND(H21&lt;&gt;"", J21&lt;&gt;""), H21-J21, IF(H21&lt;&gt;"", H21-I21*VLOOKUP(A21, BACKEND2!$A:$G,6,FALSE), IF(J21&lt;&gt;"", -J21+K21*VLOOKUP(A21, BACKEND2!$A:$G,6,FALSE),0)))+ (C21+D21-E21)*VLOOKUP(A21, BACKEND2!$A:$G,5,FALSE)+G21
</f>
        <v>12</v>
      </c>
      <c r="N21" s="268"/>
      <c r="O21" s="269"/>
    </row>
    <row r="22">
      <c r="A22" s="204" t="s">
        <v>431</v>
      </c>
      <c r="B22" s="191" t="s">
        <v>402</v>
      </c>
      <c r="C22" s="267"/>
      <c r="D22" s="268"/>
      <c r="E22" s="269"/>
      <c r="F22" s="267" t="s">
        <v>17</v>
      </c>
      <c r="G22" s="267"/>
      <c r="H22" s="268"/>
      <c r="I22" s="268"/>
      <c r="J22" s="270"/>
      <c r="K22" s="269"/>
      <c r="L22" s="267" t="s">
        <v>17</v>
      </c>
      <c r="M22" s="274">
        <f>IF(AND(H22&lt;&gt;"", J22&lt;&gt;""), H22-J22, IF(H22&lt;&gt;"", H22-I22*VLOOKUP(A22, BACKEND2!$A:$G,6,FALSE), IF(J22&lt;&gt;"", -J22+K22*VLOOKUP(A22, BACKEND2!$A:$G,6,FALSE),0)))+ (C22+D22-E22)*VLOOKUP(A22, BACKEND2!$A:$G,5,FALSE)+G22
</f>
        <v>0</v>
      </c>
      <c r="N22" s="268"/>
      <c r="O22" s="269"/>
    </row>
    <row r="23">
      <c r="A23" s="204" t="s">
        <v>432</v>
      </c>
      <c r="B23" s="191" t="s">
        <v>402</v>
      </c>
      <c r="C23" s="271">
        <v>10.0</v>
      </c>
      <c r="D23" s="272"/>
      <c r="E23" s="273">
        <v>9.0</v>
      </c>
      <c r="F23" s="267" t="s">
        <v>17</v>
      </c>
      <c r="G23" s="267"/>
      <c r="H23" s="268"/>
      <c r="I23" s="268"/>
      <c r="J23" s="270"/>
      <c r="K23" s="269"/>
      <c r="L23" s="267" t="s">
        <v>17</v>
      </c>
      <c r="M23" s="274">
        <f>IF(AND(H23&lt;&gt;"", J23&lt;&gt;""), H23-J23, IF(H23&lt;&gt;"", H23-I23*VLOOKUP(A23, BACKEND2!$A:$G,6,FALSE), IF(J23&lt;&gt;"", -J23+K23*VLOOKUP(A23, BACKEND2!$A:$G,6,FALSE),0)))+ (C23+D23-E23)*VLOOKUP(A23, BACKEND2!$A:$G,5,FALSE)+G23
</f>
        <v>2</v>
      </c>
      <c r="N23" s="268"/>
      <c r="O23" s="269"/>
    </row>
    <row r="24">
      <c r="A24" s="192" t="s">
        <v>433</v>
      </c>
      <c r="B24" s="191" t="s">
        <v>402</v>
      </c>
      <c r="C24" s="271">
        <v>1.0</v>
      </c>
      <c r="D24" s="272">
        <v>15.0</v>
      </c>
      <c r="E24" s="273">
        <v>9.0</v>
      </c>
      <c r="F24" s="267" t="s">
        <v>402</v>
      </c>
      <c r="G24" s="267"/>
      <c r="H24" s="268"/>
      <c r="I24" s="268"/>
      <c r="J24" s="270"/>
      <c r="K24" s="269"/>
      <c r="L24" s="267" t="s">
        <v>402</v>
      </c>
      <c r="M24" s="274">
        <f>IF(AND(H24&lt;&gt;"", J24&lt;&gt;""), H24-J24, IF(H24&lt;&gt;"", H24-I24*VLOOKUP(A24, BACKEND2!$A:$G,6,FALSE), IF(J24&lt;&gt;"", -J24+K24*VLOOKUP(A24, BACKEND2!$A:$G,6,FALSE),0)))+ (C24+D24-E24)*VLOOKUP(A24, BACKEND2!$A:$G,5,FALSE)+G24
</f>
        <v>7</v>
      </c>
      <c r="N24" s="268"/>
      <c r="O24" s="269"/>
    </row>
    <row r="25">
      <c r="A25" s="204" t="s">
        <v>435</v>
      </c>
      <c r="B25" s="191" t="s">
        <v>402</v>
      </c>
      <c r="C25" s="271">
        <v>11.0</v>
      </c>
      <c r="D25" s="272"/>
      <c r="E25" s="273">
        <v>9.0</v>
      </c>
      <c r="F25" s="267" t="s">
        <v>402</v>
      </c>
      <c r="G25" s="267"/>
      <c r="H25" s="268"/>
      <c r="I25" s="268"/>
      <c r="J25" s="270"/>
      <c r="K25" s="269"/>
      <c r="L25" s="267" t="s">
        <v>402</v>
      </c>
      <c r="M25" s="274">
        <f>IF(AND(H25&lt;&gt;"", J25&lt;&gt;""), H25-J25, IF(H25&lt;&gt;"", H25-I25*VLOOKUP(A25, BACKEND2!$A:$G,6,FALSE), IF(J25&lt;&gt;"", -J25+K25*VLOOKUP(A25, BACKEND2!$A:$G,6,FALSE),0)))+ (C25+D25-E25)*VLOOKUP(A25, BACKEND2!$A:$G,5,FALSE)+G25
</f>
        <v>2</v>
      </c>
      <c r="N25" s="268"/>
      <c r="O25" s="269"/>
    </row>
    <row r="26">
      <c r="A26" s="192" t="s">
        <v>438</v>
      </c>
      <c r="B26" s="191" t="s">
        <v>402</v>
      </c>
      <c r="C26" s="271">
        <v>6.0</v>
      </c>
      <c r="D26" s="268"/>
      <c r="E26" s="273">
        <v>5.0</v>
      </c>
      <c r="F26" s="267" t="s">
        <v>402</v>
      </c>
      <c r="G26" s="267"/>
      <c r="H26" s="268"/>
      <c r="I26" s="268"/>
      <c r="J26" s="270"/>
      <c r="K26" s="269"/>
      <c r="L26" s="267" t="s">
        <v>402</v>
      </c>
      <c r="M26" s="274">
        <f>IF(AND(H26&lt;&gt;"", J26&lt;&gt;""), H26-J26, IF(H26&lt;&gt;"", H26-I26*VLOOKUP(A26, BACKEND2!$A:$G,6,FALSE), IF(J26&lt;&gt;"", -J26+K26*VLOOKUP(A26, BACKEND2!$A:$G,6,FALSE),0)))+ (C26+D26-E26)*VLOOKUP(A26, BACKEND2!$A:$G,5,FALSE)+G26
</f>
        <v>1</v>
      </c>
      <c r="N26" s="268"/>
      <c r="O26" s="269"/>
    </row>
    <row r="27">
      <c r="A27" s="192" t="s">
        <v>439</v>
      </c>
      <c r="B27" s="191" t="s">
        <v>402</v>
      </c>
      <c r="C27" s="267"/>
      <c r="D27" s="268"/>
      <c r="E27" s="269"/>
      <c r="F27" s="267" t="s">
        <v>402</v>
      </c>
      <c r="G27" s="267"/>
      <c r="H27" s="268"/>
      <c r="I27" s="268"/>
      <c r="J27" s="270"/>
      <c r="K27" s="269"/>
      <c r="L27" s="267" t="s">
        <v>402</v>
      </c>
      <c r="M27" s="274">
        <f>IF(AND(H27&lt;&gt;"", J27&lt;&gt;""), H27-J27, IF(H27&lt;&gt;"", H27-I27*VLOOKUP(A27, BACKEND2!$A:$G,6,FALSE), IF(J27&lt;&gt;"", -J27+K27*VLOOKUP(A27, BACKEND2!$A:$G,6,FALSE),0)))+ (C27+D27-E27)*VLOOKUP(A27, BACKEND2!$A:$G,5,FALSE)+G27
</f>
        <v>0</v>
      </c>
      <c r="N27" s="268"/>
      <c r="O27" s="269"/>
    </row>
    <row r="28">
      <c r="A28" s="192" t="s">
        <v>440</v>
      </c>
      <c r="B28" s="191" t="s">
        <v>402</v>
      </c>
      <c r="C28" s="271">
        <v>10.0</v>
      </c>
      <c r="D28" s="268"/>
      <c r="E28" s="273">
        <v>6.0</v>
      </c>
      <c r="F28" s="267" t="s">
        <v>402</v>
      </c>
      <c r="G28" s="267"/>
      <c r="H28" s="268"/>
      <c r="I28" s="268"/>
      <c r="J28" s="270"/>
      <c r="K28" s="269"/>
      <c r="L28" s="267" t="s">
        <v>402</v>
      </c>
      <c r="M28" s="274">
        <f>IF(AND(H28&lt;&gt;"", J28&lt;&gt;""), H28-J28, IF(H28&lt;&gt;"", H28-I28*VLOOKUP(A28, BACKEND2!$A:$G,6,FALSE), IF(J28&lt;&gt;"", -J28+K28*VLOOKUP(A28, BACKEND2!$A:$G,6,FALSE),0)))+ (C28+D28-E28)*VLOOKUP(A28, BACKEND2!$A:$G,5,FALSE)+G28
</f>
        <v>4</v>
      </c>
      <c r="N28" s="268"/>
      <c r="O28" s="269"/>
    </row>
    <row r="29">
      <c r="A29" s="204" t="s">
        <v>441</v>
      </c>
      <c r="B29" s="191" t="s">
        <v>402</v>
      </c>
      <c r="C29" s="271">
        <v>13.0</v>
      </c>
      <c r="D29" s="268"/>
      <c r="E29" s="273">
        <v>13.0</v>
      </c>
      <c r="F29" s="267" t="s">
        <v>17</v>
      </c>
      <c r="G29" s="267"/>
      <c r="H29" s="272">
        <v>1.0</v>
      </c>
      <c r="I29" s="268"/>
      <c r="J29" s="270"/>
      <c r="K29" s="269"/>
      <c r="L29" s="267" t="s">
        <v>17</v>
      </c>
      <c r="M29" s="274">
        <f>IF(AND(H29&lt;&gt;"", J29&lt;&gt;""), H29-J29, IF(H29&lt;&gt;"", H29-I29*VLOOKUP(A29, BACKEND2!$A:$G,6,FALSE), IF(J29&lt;&gt;"", -J29+K29*VLOOKUP(A29, BACKEND2!$A:$G,6,FALSE),0)))+ (C29+D29-E29)*VLOOKUP(A29, BACKEND2!$A:$G,5,FALSE)+G29
</f>
        <v>1</v>
      </c>
      <c r="N29" s="268"/>
      <c r="O29" s="269"/>
    </row>
    <row r="30">
      <c r="A30" s="204" t="s">
        <v>442</v>
      </c>
      <c r="B30" s="191" t="s">
        <v>402</v>
      </c>
      <c r="C30" s="271">
        <v>7.0</v>
      </c>
      <c r="D30" s="268"/>
      <c r="E30" s="273">
        <v>7.0</v>
      </c>
      <c r="F30" s="267" t="s">
        <v>402</v>
      </c>
      <c r="G30" s="267"/>
      <c r="H30" s="268"/>
      <c r="I30" s="268"/>
      <c r="J30" s="270"/>
      <c r="K30" s="269"/>
      <c r="L30" s="267" t="s">
        <v>402</v>
      </c>
      <c r="M30" s="274">
        <f>IF(AND(H30&lt;&gt;"", J30&lt;&gt;""), H30-J30, IF(H30&lt;&gt;"", H30-I30*VLOOKUP(A30, BACKEND2!$A:$G,6,FALSE), IF(J30&lt;&gt;"", -J30+K30*VLOOKUP(A30, BACKEND2!$A:$G,6,FALSE),0)))+ (C30+D30-E30)*VLOOKUP(A30, BACKEND2!$A:$G,5,FALSE)+G30
</f>
        <v>0</v>
      </c>
      <c r="N30" s="268"/>
      <c r="O30" s="269"/>
    </row>
    <row r="31">
      <c r="A31" s="204" t="s">
        <v>444</v>
      </c>
      <c r="B31" s="191" t="s">
        <v>402</v>
      </c>
      <c r="C31" s="271">
        <v>7.0</v>
      </c>
      <c r="D31" s="268"/>
      <c r="E31" s="273">
        <v>6.0</v>
      </c>
      <c r="F31" s="267" t="s">
        <v>402</v>
      </c>
      <c r="G31" s="267"/>
      <c r="H31" s="268"/>
      <c r="I31" s="268"/>
      <c r="J31" s="270"/>
      <c r="K31" s="269"/>
      <c r="L31" s="267" t="s">
        <v>402</v>
      </c>
      <c r="M31" s="274">
        <f>IF(AND(H31&lt;&gt;"", J31&lt;&gt;""), H31-J31, IF(H31&lt;&gt;"", H31-I31*VLOOKUP(A31, BACKEND2!$A:$G,6,FALSE), IF(J31&lt;&gt;"", -J31+K31*VLOOKUP(A31, BACKEND2!$A:$G,6,FALSE),0)))+ (C31+D31-E31)*VLOOKUP(A31, BACKEND2!$A:$G,5,FALSE)+G31
</f>
        <v>1</v>
      </c>
      <c r="N31" s="268"/>
      <c r="O31" s="269"/>
    </row>
    <row r="32">
      <c r="A32" s="204" t="s">
        <v>445</v>
      </c>
      <c r="B32" s="191" t="s">
        <v>402</v>
      </c>
      <c r="C32" s="271">
        <v>6.0</v>
      </c>
      <c r="D32" s="268"/>
      <c r="E32" s="273">
        <v>5.0</v>
      </c>
      <c r="F32" s="191" t="s">
        <v>17</v>
      </c>
      <c r="G32" s="267"/>
      <c r="H32" s="268"/>
      <c r="I32" s="268"/>
      <c r="J32" s="270"/>
      <c r="K32" s="269"/>
      <c r="L32" s="191" t="s">
        <v>17</v>
      </c>
      <c r="M32" s="274">
        <f>IF(AND(H32&lt;&gt;"", J32&lt;&gt;""), H32-J32, IF(H32&lt;&gt;"", H32-I32*VLOOKUP(A32, BACKEND2!$A:$G,6,FALSE), IF(J32&lt;&gt;"", -J32+K32*VLOOKUP(A32, BACKEND2!$A:$G,6,FALSE),0)))+ (C32+D32-E32)*VLOOKUP(A32, BACKEND2!$A:$G,5,FALSE)+G32
</f>
        <v>4</v>
      </c>
      <c r="N32" s="268"/>
      <c r="O32" s="269"/>
    </row>
    <row r="33">
      <c r="A33" s="192" t="s">
        <v>446</v>
      </c>
      <c r="B33" s="191" t="s">
        <v>402</v>
      </c>
      <c r="C33" s="271">
        <v>1.0</v>
      </c>
      <c r="D33" s="268"/>
      <c r="E33" s="273">
        <v>1.0</v>
      </c>
      <c r="F33" s="191" t="s">
        <v>402</v>
      </c>
      <c r="G33" s="267"/>
      <c r="H33" s="268"/>
      <c r="I33" s="268"/>
      <c r="J33" s="270"/>
      <c r="K33" s="269"/>
      <c r="L33" s="191" t="s">
        <v>402</v>
      </c>
      <c r="M33" s="274">
        <f>IF(AND(H33&lt;&gt;"", J33&lt;&gt;""), H33-J33, IF(H33&lt;&gt;"", H33-I33*VLOOKUP(A33, BACKEND2!$A:$G,6,FALSE), IF(J33&lt;&gt;"", -J33+K33*VLOOKUP(A33, BACKEND2!$A:$G,6,FALSE),0)))+ (C33+D33-E33)*VLOOKUP(A33, BACKEND2!$A:$G,5,FALSE)+G33
</f>
        <v>0</v>
      </c>
      <c r="N33" s="268"/>
      <c r="O33" s="269"/>
    </row>
    <row r="34">
      <c r="A34" s="192" t="s">
        <v>447</v>
      </c>
      <c r="B34" s="191" t="s">
        <v>402</v>
      </c>
      <c r="C34" s="271">
        <v>5.0</v>
      </c>
      <c r="D34" s="272">
        <v>2.0</v>
      </c>
      <c r="E34" s="273">
        <v>6.0</v>
      </c>
      <c r="F34" s="267" t="s">
        <v>402</v>
      </c>
      <c r="G34" s="267"/>
      <c r="H34" s="268"/>
      <c r="I34" s="268"/>
      <c r="J34" s="270"/>
      <c r="K34" s="269"/>
      <c r="L34" s="267" t="s">
        <v>402</v>
      </c>
      <c r="M34" s="274">
        <f>IF(AND(H34&lt;&gt;"", J34&lt;&gt;""), H34-J34, IF(H34&lt;&gt;"", H34-I34*VLOOKUP(A34, BACKEND2!$A:$G,6,FALSE), IF(J34&lt;&gt;"", -J34+K34*VLOOKUP(A34, BACKEND2!$A:$G,6,FALSE),0)))+ (C34+D34-E34)*VLOOKUP(A34, BACKEND2!$A:$G,5,FALSE)+G34
</f>
        <v>1</v>
      </c>
      <c r="N34" s="268"/>
      <c r="O34" s="269"/>
    </row>
    <row r="35">
      <c r="A35" s="204" t="s">
        <v>449</v>
      </c>
      <c r="B35" s="191" t="s">
        <v>402</v>
      </c>
      <c r="C35" s="271">
        <v>1.0</v>
      </c>
      <c r="D35" s="272"/>
      <c r="E35" s="273">
        <v>0.0</v>
      </c>
      <c r="F35" s="267" t="s">
        <v>402</v>
      </c>
      <c r="G35" s="267"/>
      <c r="H35" s="268"/>
      <c r="I35" s="268"/>
      <c r="J35" s="270"/>
      <c r="K35" s="269"/>
      <c r="L35" s="267" t="s">
        <v>402</v>
      </c>
      <c r="M35" s="274">
        <f>IF(AND(H35&lt;&gt;"", J35&lt;&gt;""), H35-J35, IF(H35&lt;&gt;"", H35-I35*VLOOKUP(A35, BACKEND2!$A:$G,6,FALSE), IF(J35&lt;&gt;"", -J35+K35*VLOOKUP(A35, BACKEND2!$A:$G,6,FALSE),0)))+ (C35+D35-E35)*VLOOKUP(A35, BACKEND2!$A:$G,5,FALSE)+G35
</f>
        <v>1</v>
      </c>
      <c r="N35" s="268"/>
      <c r="O35" s="269"/>
    </row>
    <row r="36">
      <c r="A36" s="192" t="s">
        <v>451</v>
      </c>
      <c r="B36" s="191" t="s">
        <v>402</v>
      </c>
      <c r="C36" s="271">
        <v>5.0</v>
      </c>
      <c r="D36" s="272">
        <v>5.0</v>
      </c>
      <c r="E36" s="273">
        <v>8.0</v>
      </c>
      <c r="F36" s="267" t="s">
        <v>17</v>
      </c>
      <c r="G36" s="267"/>
      <c r="H36" s="268"/>
      <c r="I36" s="268"/>
      <c r="J36" s="270"/>
      <c r="K36" s="269"/>
      <c r="L36" s="267" t="s">
        <v>17</v>
      </c>
      <c r="M36" s="274">
        <f>IF(AND(H36&lt;&gt;"", J36&lt;&gt;""), H36-J36, IF(H36&lt;&gt;"", H36-I36*VLOOKUP(A36, BACKEND2!$A:$G,6,FALSE), IF(J36&lt;&gt;"", -J36+K36*VLOOKUP(A36, BACKEND2!$A:$G,6,FALSE),0)))+ (C36+D36-E36)*VLOOKUP(A36, BACKEND2!$A:$G,5,FALSE)+G36
</f>
        <v>4</v>
      </c>
      <c r="N36" s="268"/>
      <c r="O36" s="269"/>
    </row>
    <row r="37">
      <c r="A37" s="225" t="s">
        <v>452</v>
      </c>
      <c r="B37" s="191" t="s">
        <v>402</v>
      </c>
      <c r="C37" s="271">
        <v>5.0</v>
      </c>
      <c r="D37" s="268"/>
      <c r="E37" s="273">
        <v>4.0</v>
      </c>
      <c r="F37" s="267" t="s">
        <v>17</v>
      </c>
      <c r="G37" s="267"/>
      <c r="H37" s="268"/>
      <c r="I37" s="268"/>
      <c r="J37" s="270"/>
      <c r="K37" s="269"/>
      <c r="L37" s="267" t="s">
        <v>17</v>
      </c>
      <c r="M37" s="274">
        <f>IF(AND(H37&lt;&gt;"", J37&lt;&gt;""), H37-J37, IF(H37&lt;&gt;"", H37-I37*VLOOKUP(A37, BACKEND2!$A:$G,6,FALSE), IF(J37&lt;&gt;"", -J37+K37*VLOOKUP(A37, BACKEND2!$A:$G,6,FALSE),0)))+ (C37+D37-E37)*VLOOKUP(A37, BACKEND2!$A:$G,5,FALSE)+G37
</f>
        <v>4</v>
      </c>
      <c r="N37" s="268"/>
      <c r="O37" s="269"/>
    </row>
    <row r="38">
      <c r="A38" s="225" t="s">
        <v>454</v>
      </c>
      <c r="B38" s="191" t="s">
        <v>402</v>
      </c>
      <c r="C38" s="271">
        <v>3.0</v>
      </c>
      <c r="D38" s="268"/>
      <c r="E38" s="273">
        <v>3.0</v>
      </c>
      <c r="F38" s="267" t="s">
        <v>17</v>
      </c>
      <c r="G38" s="267"/>
      <c r="H38" s="268"/>
      <c r="I38" s="268"/>
      <c r="J38" s="270"/>
      <c r="K38" s="269"/>
      <c r="L38" s="267" t="s">
        <v>17</v>
      </c>
      <c r="M38" s="274">
        <f>IF(AND(H38&lt;&gt;"", J38&lt;&gt;""), H38-J38, IF(H38&lt;&gt;"", H38-I38*VLOOKUP(A38, BACKEND2!$A:$G,6,FALSE), IF(J38&lt;&gt;"", -J38+K38*VLOOKUP(A38, BACKEND2!$A:$G,6,FALSE),0)))+ (C38+D38-E38)*VLOOKUP(A38, BACKEND2!$A:$G,5,FALSE)+G38
</f>
        <v>0</v>
      </c>
      <c r="N38" s="268"/>
      <c r="O38" s="269"/>
    </row>
    <row r="39">
      <c r="A39" s="223" t="s">
        <v>455</v>
      </c>
      <c r="B39" s="191" t="s">
        <v>402</v>
      </c>
      <c r="C39" s="271">
        <v>1.0</v>
      </c>
      <c r="D39" s="268"/>
      <c r="E39" s="269"/>
      <c r="F39" s="267" t="s">
        <v>17</v>
      </c>
      <c r="G39" s="267"/>
      <c r="H39" s="268"/>
      <c r="I39" s="268"/>
      <c r="J39" s="270"/>
      <c r="K39" s="269"/>
      <c r="L39" s="267" t="s">
        <v>17</v>
      </c>
      <c r="M39" s="274">
        <f>IF(AND(H39&lt;&gt;"", J39&lt;&gt;""), H39-J39, IF(H39&lt;&gt;"", H39-I39*VLOOKUP(A39, BACKEND2!$A:$G,6,FALSE), IF(J39&lt;&gt;"", -J39+K39*VLOOKUP(A39, BACKEND2!$A:$G,6,FALSE),0)))+ (C39+D39-E39)*VLOOKUP(A39, BACKEND2!$A:$G,5,FALSE)+G39
</f>
        <v>4</v>
      </c>
      <c r="N39" s="268"/>
      <c r="O39" s="269"/>
    </row>
    <row r="40">
      <c r="A40" s="223" t="s">
        <v>456</v>
      </c>
      <c r="B40" s="191" t="s">
        <v>402</v>
      </c>
      <c r="C40" s="271">
        <v>7.0</v>
      </c>
      <c r="D40" s="272"/>
      <c r="E40" s="273">
        <v>5.0</v>
      </c>
      <c r="F40" s="267" t="s">
        <v>17</v>
      </c>
      <c r="G40" s="267"/>
      <c r="H40" s="268"/>
      <c r="I40" s="268"/>
      <c r="J40" s="270"/>
      <c r="K40" s="269"/>
      <c r="L40" s="267" t="s">
        <v>17</v>
      </c>
      <c r="M40" s="274">
        <f>IF(AND(H40&lt;&gt;"", J40&lt;&gt;""), H40-J40, IF(H40&lt;&gt;"", H40-I40*VLOOKUP(A40, BACKEND2!$A:$G,6,FALSE), IF(J40&lt;&gt;"", -J40+K40*VLOOKUP(A40, BACKEND2!$A:$G,6,FALSE),0)))+ (C40+D40-E40)*VLOOKUP(A40, BACKEND2!$A:$G,5,FALSE)+G40
</f>
        <v>2</v>
      </c>
      <c r="N40" s="268"/>
      <c r="O40" s="269"/>
    </row>
    <row r="41">
      <c r="A41" s="223" t="s">
        <v>457</v>
      </c>
      <c r="B41" s="191" t="s">
        <v>402</v>
      </c>
      <c r="C41" s="267"/>
      <c r="D41" s="268"/>
      <c r="E41" s="269"/>
      <c r="F41" s="267" t="s">
        <v>17</v>
      </c>
      <c r="G41" s="267"/>
      <c r="H41" s="268"/>
      <c r="I41" s="268"/>
      <c r="J41" s="270"/>
      <c r="K41" s="269"/>
      <c r="L41" s="267" t="s">
        <v>17</v>
      </c>
      <c r="M41" s="274">
        <f>IF(AND(H41&lt;&gt;"", J41&lt;&gt;""), H41-J41, IF(H41&lt;&gt;"", H41-I41*VLOOKUP(A41, BACKEND2!$A:$G,6,FALSE), IF(J41&lt;&gt;"", -J41+K41*VLOOKUP(A41, BACKEND2!$A:$G,6,FALSE),0)))+ (C41+D41-E41)*VLOOKUP(A41, BACKEND2!$A:$G,5,FALSE)+G41
</f>
        <v>0</v>
      </c>
      <c r="N41" s="268"/>
      <c r="O41" s="269"/>
    </row>
    <row r="42">
      <c r="A42" s="307" t="s">
        <v>762</v>
      </c>
      <c r="B42" s="191"/>
      <c r="C42" s="267"/>
      <c r="D42" s="268"/>
      <c r="E42" s="269"/>
      <c r="F42" s="267"/>
      <c r="G42" s="267"/>
      <c r="H42" s="268"/>
      <c r="I42" s="268"/>
      <c r="J42" s="270"/>
      <c r="K42" s="269"/>
      <c r="L42" s="268"/>
      <c r="M42" s="235"/>
      <c r="N42" s="268"/>
      <c r="O42" s="269"/>
    </row>
    <row r="43">
      <c r="A43" s="10" t="s">
        <v>11</v>
      </c>
      <c r="B43" s="11"/>
      <c r="C43" s="267"/>
      <c r="D43" s="268"/>
      <c r="E43" s="269"/>
      <c r="F43" s="267"/>
      <c r="G43" s="267"/>
      <c r="H43" s="268"/>
      <c r="I43" s="278"/>
      <c r="J43" s="270"/>
      <c r="K43" s="279"/>
      <c r="L43" s="267"/>
      <c r="M43" s="274"/>
      <c r="N43" s="268"/>
      <c r="O43" s="269"/>
    </row>
    <row r="44">
      <c r="A44" s="12" t="s">
        <v>12</v>
      </c>
      <c r="B44" s="13" t="s">
        <v>13</v>
      </c>
      <c r="C44" s="271">
        <v>1.0</v>
      </c>
      <c r="D44" s="227">
        <v>1.0</v>
      </c>
      <c r="E44" s="280">
        <v>2.0</v>
      </c>
      <c r="F44" s="235" t="s">
        <v>14</v>
      </c>
      <c r="G44" s="235"/>
      <c r="H44" s="272">
        <v>0.5</v>
      </c>
      <c r="I44" s="281"/>
      <c r="J44" s="282">
        <v>0.5</v>
      </c>
      <c r="K44" s="283"/>
      <c r="L44" s="267" t="s">
        <v>14</v>
      </c>
      <c r="M44" s="274">
        <f>IF(AND(H44&lt;&gt;"", J44&lt;&gt;""), H44-J44, IF(H44&lt;&gt;"", H44-I44*VLOOKUP(A44, BACKEND1!$A:$G,6,FALSE), IF(J44&lt;&gt;"", -J44+K44*VLOOKUP(A44, BACKEND1!$A:$G,6,FALSE),0)))+ (C44+D44-E44)*VLOOKUP(A44, BACKEND1!$A:$G,5,FALSE)+G44
</f>
        <v>0</v>
      </c>
      <c r="N44" s="191"/>
      <c r="O44" s="247"/>
    </row>
    <row r="45">
      <c r="A45" s="12" t="s">
        <v>16</v>
      </c>
      <c r="B45" s="13" t="s">
        <v>17</v>
      </c>
      <c r="C45" s="271">
        <v>10.0</v>
      </c>
      <c r="D45" s="227">
        <v>5.0</v>
      </c>
      <c r="E45" s="280">
        <v>12.0</v>
      </c>
      <c r="F45" s="235" t="s">
        <v>17</v>
      </c>
      <c r="G45" s="235"/>
      <c r="H45" s="268"/>
      <c r="I45" s="281">
        <v>1.0</v>
      </c>
      <c r="J45" s="284"/>
      <c r="K45" s="283">
        <v>1.0</v>
      </c>
      <c r="L45" s="235" t="s">
        <v>17</v>
      </c>
      <c r="M45" s="274">
        <f>IF(AND(H45&lt;&gt;"", J45&lt;&gt;""), H45-J45, IF(H45&lt;&gt;"", H45-I45*VLOOKUP(A45, BACKEND1!$A:$G,6,FALSE), IF(J45&lt;&gt;"", -J45+K45*VLOOKUP(A45, BACKEND1!$A:$G,6,FALSE),0)))+ (C45+D45-E45)*VLOOKUP(A45, BACKEND1!$A:$G,5,FALSE)+G45
</f>
        <v>3</v>
      </c>
      <c r="N45" s="191"/>
      <c r="O45" s="247"/>
    </row>
    <row r="46">
      <c r="A46" s="15" t="s">
        <v>19</v>
      </c>
      <c r="B46" s="13" t="s">
        <v>17</v>
      </c>
      <c r="C46" s="271">
        <v>4.0</v>
      </c>
      <c r="D46" s="227">
        <v>12.0</v>
      </c>
      <c r="E46" s="280">
        <v>12.0</v>
      </c>
      <c r="F46" s="235" t="s">
        <v>17</v>
      </c>
      <c r="G46" s="235"/>
      <c r="H46" s="268"/>
      <c r="I46" s="281">
        <v>1.0</v>
      </c>
      <c r="J46" s="284"/>
      <c r="K46" s="283">
        <v>1.0</v>
      </c>
      <c r="L46" s="235" t="s">
        <v>17</v>
      </c>
      <c r="M46" s="274">
        <f>IF(AND(H46&lt;&gt;"", J46&lt;&gt;""), H46-J46, IF(H46&lt;&gt;"", H46-I46*VLOOKUP(A46, BACKEND1!$A:$G,6,FALSE), IF(J46&lt;&gt;"", -J46+K46*VLOOKUP(A46, BACKEND1!$A:$G,6,FALSE),0)))+ (C46+D46-E46)*VLOOKUP(A46, BACKEND1!$A:$G,5,FALSE)+G46
</f>
        <v>4</v>
      </c>
      <c r="N46" s="191"/>
      <c r="O46" s="247"/>
    </row>
    <row r="47">
      <c r="A47" s="12" t="s">
        <v>20</v>
      </c>
      <c r="B47" s="13" t="s">
        <v>17</v>
      </c>
      <c r="C47" s="271">
        <v>9.0</v>
      </c>
      <c r="D47" s="191"/>
      <c r="E47" s="280">
        <v>6.0</v>
      </c>
      <c r="F47" s="235" t="s">
        <v>17</v>
      </c>
      <c r="G47" s="235"/>
      <c r="H47" s="268"/>
      <c r="I47" s="281">
        <v>1.0</v>
      </c>
      <c r="J47" s="284"/>
      <c r="K47" s="283">
        <v>1.0</v>
      </c>
      <c r="L47" s="235" t="s">
        <v>17</v>
      </c>
      <c r="M47" s="274">
        <f>IF(AND(H47&lt;&gt;"", J47&lt;&gt;""), H47-J47, IF(H47&lt;&gt;"", H47-I47*VLOOKUP(A47, BACKEND1!$A:$G,6,FALSE), IF(J47&lt;&gt;"", -J47+K47*VLOOKUP(A47, BACKEND1!$A:$G,6,FALSE),0)))+ (C47+D47-E47)*VLOOKUP(A47, BACKEND1!$A:$G,5,FALSE)+G47
</f>
        <v>3</v>
      </c>
      <c r="N47" s="191"/>
      <c r="O47" s="247"/>
    </row>
    <row r="48">
      <c r="A48" s="12" t="s">
        <v>21</v>
      </c>
      <c r="B48" s="13" t="s">
        <v>17</v>
      </c>
      <c r="C48" s="271">
        <v>4.0</v>
      </c>
      <c r="D48" s="227">
        <v>5.0</v>
      </c>
      <c r="E48" s="280">
        <v>6.5</v>
      </c>
      <c r="F48" s="235" t="s">
        <v>17</v>
      </c>
      <c r="G48" s="235"/>
      <c r="H48" s="268"/>
      <c r="I48" s="281">
        <v>1.0</v>
      </c>
      <c r="J48" s="284"/>
      <c r="K48" s="283">
        <v>1.0</v>
      </c>
      <c r="L48" s="235" t="s">
        <v>17</v>
      </c>
      <c r="M48" s="274">
        <f>IF(AND(H48&lt;&gt;"", J48&lt;&gt;""), H48-J48, IF(H48&lt;&gt;"", H48-I48*VLOOKUP(A48, BACKEND1!$A:$G,6,FALSE), IF(J48&lt;&gt;"", -J48+K48*VLOOKUP(A48, BACKEND1!$A:$G,6,FALSE),0)))+ (C48+D48-E48)*VLOOKUP(A48, BACKEND1!$A:$G,5,FALSE)+G48
</f>
        <v>2.5</v>
      </c>
      <c r="N48" s="191"/>
      <c r="O48" s="247"/>
    </row>
    <row r="49">
      <c r="A49" s="12" t="s">
        <v>22</v>
      </c>
      <c r="B49" s="13" t="s">
        <v>17</v>
      </c>
      <c r="C49" s="267"/>
      <c r="D49" s="191"/>
      <c r="E49" s="247"/>
      <c r="F49" s="235" t="s">
        <v>17</v>
      </c>
      <c r="G49" s="235"/>
      <c r="H49" s="268"/>
      <c r="I49" s="281">
        <v>1.0</v>
      </c>
      <c r="J49" s="284"/>
      <c r="K49" s="283">
        <v>1.0</v>
      </c>
      <c r="L49" s="235" t="s">
        <v>17</v>
      </c>
      <c r="M49" s="274">
        <f>IF(AND(H49&lt;&gt;"", J49&lt;&gt;""), H49-J49, IF(H49&lt;&gt;"", H49-I49*VLOOKUP(A49, BACKEND1!$A:$G,6,FALSE), IF(J49&lt;&gt;"", -J49+K49*VLOOKUP(A49, BACKEND1!$A:$G,6,FALSE),0)))+ (C49+D49-E49)*VLOOKUP(A49, BACKEND1!$A:$G,5,FALSE)+G49
</f>
        <v>0</v>
      </c>
      <c r="N49" s="191"/>
      <c r="O49" s="247"/>
    </row>
    <row r="50">
      <c r="A50" s="12" t="s">
        <v>23</v>
      </c>
      <c r="B50" s="12" t="s">
        <v>24</v>
      </c>
      <c r="C50" s="271"/>
      <c r="D50" s="227">
        <v>2.0</v>
      </c>
      <c r="E50" s="247"/>
      <c r="F50" s="235" t="s">
        <v>25</v>
      </c>
      <c r="G50" s="235"/>
      <c r="H50" s="272">
        <v>0.1</v>
      </c>
      <c r="I50" s="281">
        <v>1.0</v>
      </c>
      <c r="J50" s="282">
        <v>0.527</v>
      </c>
      <c r="K50" s="283">
        <v>1.0</v>
      </c>
      <c r="L50" s="235" t="s">
        <v>25</v>
      </c>
      <c r="M50" s="274">
        <f>IF(AND(H50&lt;&gt;"", J50&lt;&gt;""), H50-J50, IF(H50&lt;&gt;"", H50-I50*VLOOKUP(A50, BACKEND1!$A:$G,6,FALSE), IF(J50&lt;&gt;"", -J50+K50*VLOOKUP(A50, BACKEND1!$A:$G,6,FALSE),0)))+ (C50+D50-E50)*VLOOKUP(A50, BACKEND1!$A:$G,5,FALSE)+G50
</f>
        <v>0.973</v>
      </c>
      <c r="N50" s="191"/>
      <c r="O50" s="247"/>
    </row>
    <row r="51">
      <c r="A51" s="12" t="s">
        <v>27</v>
      </c>
      <c r="B51" s="12" t="s">
        <v>24</v>
      </c>
      <c r="C51" s="267"/>
      <c r="D51" s="191"/>
      <c r="E51" s="247"/>
      <c r="F51" s="235" t="s">
        <v>24</v>
      </c>
      <c r="G51" s="235"/>
      <c r="H51" s="268"/>
      <c r="I51" s="281">
        <v>1.0</v>
      </c>
      <c r="J51" s="284"/>
      <c r="K51" s="283">
        <v>1.0</v>
      </c>
      <c r="L51" s="235" t="s">
        <v>24</v>
      </c>
      <c r="M51" s="274">
        <f>IF(AND(H51&lt;&gt;"", J51&lt;&gt;""), H51-J51, IF(H51&lt;&gt;"", H51-I51*VLOOKUP(A51, BACKEND1!$A:$G,6,FALSE), IF(J51&lt;&gt;"", -J51+K51*VLOOKUP(A51, BACKEND1!$A:$G,6,FALSE),0)))+ (C51+D51-E51)*VLOOKUP(A51, BACKEND1!$A:$G,5,FALSE)+G51
</f>
        <v>0</v>
      </c>
      <c r="N51" s="191"/>
      <c r="O51" s="247"/>
    </row>
    <row r="52">
      <c r="A52" s="12" t="s">
        <v>29</v>
      </c>
      <c r="B52" s="12" t="s">
        <v>17</v>
      </c>
      <c r="C52" s="267"/>
      <c r="D52" s="191"/>
      <c r="E52" s="280">
        <v>1.0</v>
      </c>
      <c r="F52" s="235" t="s">
        <v>14</v>
      </c>
      <c r="G52" s="285">
        <v>0.479</v>
      </c>
      <c r="H52" s="272">
        <v>0.479</v>
      </c>
      <c r="I52" s="281">
        <v>1.0</v>
      </c>
      <c r="J52" s="284"/>
      <c r="K52" s="283">
        <v>1.0</v>
      </c>
      <c r="L52" s="235" t="s">
        <v>14</v>
      </c>
      <c r="M52" s="274">
        <f>IF(AND(H52&lt;&gt;"", J52&lt;&gt;""), H52-J52, IF(H52&lt;&gt;"", H52-I52*VLOOKUP(A52, BACKEND1!$A:$G,6,FALSE), IF(J52&lt;&gt;"", -J52+K52*VLOOKUP(A52, BACKEND1!$A:$G,6,FALSE),0)))+ (C52+D52-E52)*VLOOKUP(A52, BACKEND1!$A:$G,5,FALSE)+G52
</f>
        <v>0.448</v>
      </c>
      <c r="N52" s="191"/>
      <c r="O52" s="247"/>
    </row>
    <row r="53">
      <c r="A53" s="16" t="s">
        <v>30</v>
      </c>
      <c r="B53" s="12" t="s">
        <v>24</v>
      </c>
      <c r="C53" s="271">
        <v>0.612</v>
      </c>
      <c r="D53" s="227"/>
      <c r="E53" s="280">
        <v>0.612</v>
      </c>
      <c r="F53" s="235" t="s">
        <v>35</v>
      </c>
      <c r="G53" s="235"/>
      <c r="H53" s="272"/>
      <c r="I53" s="281">
        <v>1.0</v>
      </c>
      <c r="J53" s="284"/>
      <c r="K53" s="283">
        <v>1.0</v>
      </c>
      <c r="L53" s="235" t="s">
        <v>35</v>
      </c>
      <c r="M53" s="274">
        <f>IF(AND(H53&lt;&gt;"", J53&lt;&gt;""), H53-J53, IF(H53&lt;&gt;"", H53-I53*VLOOKUP(A53, BACKEND1!$A:$G,6,FALSE), IF(J53&lt;&gt;"", -J53+K53*VLOOKUP(A53, BACKEND1!$A:$G,6,FALSE),0)))+ (C53+D53-E53)*VLOOKUP(A53, BACKEND1!$A:$G,5,FALSE)+G53
</f>
        <v>0</v>
      </c>
      <c r="N53" s="191"/>
      <c r="O53" s="247"/>
    </row>
    <row r="54">
      <c r="A54" s="12" t="s">
        <v>33</v>
      </c>
      <c r="B54" s="12" t="s">
        <v>34</v>
      </c>
      <c r="C54" s="271"/>
      <c r="D54" s="227">
        <v>1.0</v>
      </c>
      <c r="E54" s="247"/>
      <c r="F54" s="235" t="s">
        <v>35</v>
      </c>
      <c r="G54" s="235"/>
      <c r="H54" s="272">
        <v>1.033</v>
      </c>
      <c r="I54" s="281">
        <v>1.0</v>
      </c>
      <c r="J54" s="284"/>
      <c r="K54" s="283">
        <v>1.0</v>
      </c>
      <c r="L54" s="235" t="s">
        <v>35</v>
      </c>
      <c r="M54" s="274">
        <f>IF(AND(H54&lt;&gt;"", J54&lt;&gt;""), H54-J54, IF(H54&lt;&gt;"", H54-I54*VLOOKUP(A54, BACKEND1!$A:$G,6,FALSE), IF(J54&lt;&gt;"", -J54+K54*VLOOKUP(A54, BACKEND1!$A:$G,6,FALSE),0)))+ (C54+D54-E54)*VLOOKUP(A54, BACKEND1!$A:$G,5,FALSE)+G54
</f>
        <v>1.37</v>
      </c>
      <c r="N54" s="191"/>
      <c r="O54" s="247"/>
    </row>
    <row r="55">
      <c r="A55" s="12" t="s">
        <v>37</v>
      </c>
      <c r="B55" s="12" t="s">
        <v>17</v>
      </c>
      <c r="C55" s="267"/>
      <c r="D55" s="191"/>
      <c r="E55" s="247"/>
      <c r="F55" s="235" t="s">
        <v>752</v>
      </c>
      <c r="G55" s="235"/>
      <c r="H55" s="268"/>
      <c r="I55" s="281">
        <v>1.0</v>
      </c>
      <c r="J55" s="284"/>
      <c r="K55" s="283">
        <v>1.0</v>
      </c>
      <c r="L55" s="235" t="s">
        <v>752</v>
      </c>
      <c r="M55" s="274">
        <f>IF(AND(H55&lt;&gt;"", J55&lt;&gt;""), H55-J55, IF(H55&lt;&gt;"", H55-I55*VLOOKUP(A55, BACKEND1!$A:$G,6,FALSE), IF(J55&lt;&gt;"", -J55+K55*VLOOKUP(A55, BACKEND1!$A:$G,6,FALSE),0)))+ (C55+D55-E55)*VLOOKUP(A55, BACKEND1!$A:$G,5,FALSE)+G55
</f>
        <v>0</v>
      </c>
      <c r="N55" s="191"/>
      <c r="O55" s="247"/>
    </row>
    <row r="56">
      <c r="A56" s="12" t="s">
        <v>39</v>
      </c>
      <c r="B56" s="12" t="s">
        <v>40</v>
      </c>
      <c r="C56" s="267"/>
      <c r="D56" s="191"/>
      <c r="E56" s="247"/>
      <c r="F56" s="235" t="s">
        <v>17</v>
      </c>
      <c r="G56" s="235"/>
      <c r="H56" s="268"/>
      <c r="I56" s="281">
        <v>1.0</v>
      </c>
      <c r="J56" s="284"/>
      <c r="K56" s="283">
        <v>1.0</v>
      </c>
      <c r="L56" s="235" t="s">
        <v>17</v>
      </c>
      <c r="M56" s="274">
        <f>IF(AND(H56&lt;&gt;"", J56&lt;&gt;""), H56-J56, IF(H56&lt;&gt;"", H56-I56*VLOOKUP(A56, BACKEND1!$A:$G,6,FALSE), IF(J56&lt;&gt;"", -J56+K56*VLOOKUP(A56, BACKEND1!$A:$G,6,FALSE),0)))+ (C56+D56-E56)*VLOOKUP(A56, BACKEND1!$A:$G,5,FALSE)+G56
</f>
        <v>0</v>
      </c>
      <c r="N56" s="191"/>
      <c r="O56" s="247"/>
    </row>
    <row r="57">
      <c r="A57" s="12" t="s">
        <v>42</v>
      </c>
      <c r="B57" s="12" t="s">
        <v>24</v>
      </c>
      <c r="C57" s="271">
        <v>2.0</v>
      </c>
      <c r="D57" s="191"/>
      <c r="E57" s="280">
        <v>1.0</v>
      </c>
      <c r="F57" s="235" t="s">
        <v>35</v>
      </c>
      <c r="G57" s="235"/>
      <c r="H57" s="272">
        <v>0.116</v>
      </c>
      <c r="I57" s="281">
        <v>1.0</v>
      </c>
      <c r="J57" s="282">
        <v>0.354</v>
      </c>
      <c r="K57" s="283">
        <v>1.0</v>
      </c>
      <c r="L57" s="235" t="s">
        <v>35</v>
      </c>
      <c r="M57" s="274">
        <f>IF(AND(H57&lt;&gt;"", J57&lt;&gt;""), H57-J57, IF(H57&lt;&gt;"", H57-I57*VLOOKUP(A57, BACKEND1!$A:$G,6,FALSE), IF(J57&lt;&gt;"", -J57+K57*VLOOKUP(A57, BACKEND1!$A:$G,6,FALSE),0)))+ (C57+D57-E57)*VLOOKUP(A57, BACKEND1!$A:$G,5,FALSE)+G57
</f>
        <v>0.159</v>
      </c>
      <c r="N57" s="191"/>
      <c r="O57" s="247"/>
    </row>
    <row r="58">
      <c r="A58" s="12" t="s">
        <v>44</v>
      </c>
      <c r="B58" s="12" t="s">
        <v>24</v>
      </c>
      <c r="C58" s="267"/>
      <c r="D58" s="191"/>
      <c r="E58" s="247"/>
      <c r="F58" s="235" t="s">
        <v>25</v>
      </c>
      <c r="G58" s="235"/>
      <c r="H58" s="272">
        <v>0.696</v>
      </c>
      <c r="I58" s="281">
        <v>1.0</v>
      </c>
      <c r="J58" s="282">
        <v>0.65</v>
      </c>
      <c r="K58" s="283">
        <v>1.0</v>
      </c>
      <c r="L58" s="235" t="s">
        <v>25</v>
      </c>
      <c r="M58" s="274">
        <f>IF(AND(H58&lt;&gt;"", J58&lt;&gt;""), H58-J58, IF(H58&lt;&gt;"", H58-I58*VLOOKUP(A58, BACKEND1!$A:$G,6,FALSE), IF(J58&lt;&gt;"", -J58+K58*VLOOKUP(A58, BACKEND1!$A:$G,6,FALSE),0)))+ (C58+D58-E58)*VLOOKUP(A58, BACKEND1!$A:$G,5,FALSE)+G58
</f>
        <v>0.046</v>
      </c>
      <c r="N58" s="191"/>
      <c r="O58" s="247"/>
    </row>
    <row r="59">
      <c r="A59" s="12" t="s">
        <v>45</v>
      </c>
      <c r="B59" s="12" t="s">
        <v>24</v>
      </c>
      <c r="C59" s="267"/>
      <c r="D59" s="191"/>
      <c r="E59" s="247"/>
      <c r="F59" s="235" t="s">
        <v>25</v>
      </c>
      <c r="G59" s="235"/>
      <c r="H59" s="272">
        <v>0.953</v>
      </c>
      <c r="I59" s="281">
        <v>1.0</v>
      </c>
      <c r="J59" s="282">
        <v>0.952</v>
      </c>
      <c r="K59" s="283">
        <v>1.0</v>
      </c>
      <c r="L59" s="235" t="s">
        <v>25</v>
      </c>
      <c r="M59" s="274">
        <f>IF(AND(H59&lt;&gt;"", J59&lt;&gt;""), H59-J59, IF(H59&lt;&gt;"", H59-I59*VLOOKUP(A59, BACKEND1!$A:$G,6,FALSE), IF(J59&lt;&gt;"", -J59+K59*VLOOKUP(A59, BACKEND1!$A:$G,6,FALSE),0)))+ (C59+D59-E59)*VLOOKUP(A59, BACKEND1!$A:$G,5,FALSE)+G59
</f>
        <v>0.001</v>
      </c>
      <c r="N59" s="191"/>
      <c r="O59" s="247"/>
    </row>
    <row r="60">
      <c r="A60" s="17" t="s">
        <v>46</v>
      </c>
      <c r="B60" s="12" t="s">
        <v>47</v>
      </c>
      <c r="C60" s="267"/>
      <c r="D60" s="191"/>
      <c r="E60" s="247"/>
      <c r="F60" s="235" t="s">
        <v>51</v>
      </c>
      <c r="G60" s="235"/>
      <c r="H60" s="268"/>
      <c r="I60" s="281">
        <v>1.0</v>
      </c>
      <c r="J60" s="284"/>
      <c r="K60" s="283">
        <v>1.0</v>
      </c>
      <c r="L60" s="235" t="s">
        <v>51</v>
      </c>
      <c r="M60" s="274">
        <f>IF(AND(H60&lt;&gt;"", J60&lt;&gt;""), H60-J60, IF(H60&lt;&gt;"", H60-I60*VLOOKUP(A60, BACKEND1!$A:$G,6,FALSE), IF(J60&lt;&gt;"", -J60+K60*VLOOKUP(A60, BACKEND1!$A:$G,6,FALSE),0)))+ (C60+D60-E60)*VLOOKUP(A60, BACKEND1!$A:$G,5,FALSE)+G60
</f>
        <v>0</v>
      </c>
      <c r="N60" s="191"/>
      <c r="O60" s="247"/>
    </row>
    <row r="61">
      <c r="A61" s="12" t="s">
        <v>50</v>
      </c>
      <c r="B61" s="12" t="s">
        <v>47</v>
      </c>
      <c r="C61" s="267"/>
      <c r="D61" s="191"/>
      <c r="E61" s="247"/>
      <c r="F61" s="235" t="s">
        <v>51</v>
      </c>
      <c r="G61" s="235"/>
      <c r="H61" s="268"/>
      <c r="I61" s="281">
        <v>1.0</v>
      </c>
      <c r="J61" s="284"/>
      <c r="K61" s="283">
        <v>1.0</v>
      </c>
      <c r="L61" s="235" t="s">
        <v>51</v>
      </c>
      <c r="M61" s="274">
        <f>IF(AND(H61&lt;&gt;"", J61&lt;&gt;""), H61-J61, IF(H61&lt;&gt;"", H61-I61*VLOOKUP(A61, BACKEND1!$A:$G,6,FALSE), IF(J61&lt;&gt;"", -J61+K61*VLOOKUP(A61, BACKEND1!$A:$G,6,FALSE),0)))+ (C61+D61-E61)*VLOOKUP(A61, BACKEND1!$A:$G,5,FALSE)+G61
</f>
        <v>0</v>
      </c>
      <c r="N61" s="191"/>
      <c r="O61" s="247"/>
    </row>
    <row r="62">
      <c r="A62" s="12" t="s">
        <v>52</v>
      </c>
      <c r="B62" s="12" t="s">
        <v>47</v>
      </c>
      <c r="C62" s="267"/>
      <c r="D62" s="191"/>
      <c r="E62" s="247"/>
      <c r="F62" s="235" t="s">
        <v>51</v>
      </c>
      <c r="G62" s="235"/>
      <c r="H62" s="272">
        <v>0.652</v>
      </c>
      <c r="I62" s="281">
        <v>1.0</v>
      </c>
      <c r="J62" s="282">
        <v>0.651</v>
      </c>
      <c r="K62" s="283">
        <v>1.0</v>
      </c>
      <c r="L62" s="235" t="s">
        <v>51</v>
      </c>
      <c r="M62" s="274">
        <f>IF(AND(H62&lt;&gt;"", J62&lt;&gt;""), H62-J62, IF(H62&lt;&gt;"", H62-I62*VLOOKUP(A62, BACKEND1!$A:$G,6,FALSE), IF(J62&lt;&gt;"", -J62+K62*VLOOKUP(A62, BACKEND1!$A:$G,6,FALSE),0)))+ (C62+D62-E62)*VLOOKUP(A62, BACKEND1!$A:$G,5,FALSE)+G62
</f>
        <v>0.001</v>
      </c>
      <c r="N62" s="191"/>
      <c r="O62" s="247"/>
    </row>
    <row r="63">
      <c r="A63" s="12" t="s">
        <v>53</v>
      </c>
      <c r="B63" s="12" t="s">
        <v>35</v>
      </c>
      <c r="C63" s="267"/>
      <c r="D63" s="191"/>
      <c r="E63" s="247"/>
      <c r="F63" s="235" t="s">
        <v>35</v>
      </c>
      <c r="G63" s="235"/>
      <c r="H63" s="272">
        <v>1.227</v>
      </c>
      <c r="I63" s="281">
        <v>1.0</v>
      </c>
      <c r="J63" s="282">
        <v>1.078</v>
      </c>
      <c r="K63" s="283">
        <v>1.0</v>
      </c>
      <c r="L63" s="235" t="s">
        <v>35</v>
      </c>
      <c r="M63" s="274">
        <f>IF(AND(H63&lt;&gt;"", J63&lt;&gt;""), H63-J63, IF(H63&lt;&gt;"", H63-I63*VLOOKUP(A63, BACKEND1!$A:$G,6,FALSE), IF(J63&lt;&gt;"", -J63+K63*VLOOKUP(A63, BACKEND1!$A:$G,6,FALSE),0)))+ (C63+D63-E63)*VLOOKUP(A63, BACKEND1!$A:$G,5,FALSE)+G63
</f>
        <v>0.149</v>
      </c>
      <c r="N63" s="191"/>
      <c r="O63" s="247"/>
    </row>
    <row r="64">
      <c r="A64" s="11" t="s">
        <v>55</v>
      </c>
      <c r="B64" s="11" t="s">
        <v>56</v>
      </c>
      <c r="C64" s="267"/>
      <c r="D64" s="191"/>
      <c r="E64" s="247"/>
      <c r="F64" s="235" t="s">
        <v>14</v>
      </c>
      <c r="G64" s="235"/>
      <c r="H64" s="272"/>
      <c r="I64" s="281">
        <v>1.0</v>
      </c>
      <c r="J64" s="284"/>
      <c r="K64" s="283">
        <v>1.0</v>
      </c>
      <c r="L64" s="235" t="s">
        <v>14</v>
      </c>
      <c r="M64" s="274">
        <f>IF(AND(H64&lt;&gt;"", J64&lt;&gt;""), H64-J64, IF(H64&lt;&gt;"", H64-I64*VLOOKUP(A64, BACKEND1!$A:$G,6,FALSE), IF(J64&lt;&gt;"", -J64+K64*VLOOKUP(A64, BACKEND1!$A:$G,6,FALSE),0)))+ (C64+D64-E64)*VLOOKUP(A64, BACKEND1!$A:$G,5,FALSE)+G64
</f>
        <v>0</v>
      </c>
      <c r="N64" s="191"/>
      <c r="O64" s="247"/>
    </row>
    <row r="65">
      <c r="A65" s="10" t="s">
        <v>57</v>
      </c>
      <c r="B65" s="11"/>
      <c r="C65" s="267"/>
      <c r="D65" s="191"/>
      <c r="E65" s="247"/>
      <c r="F65" s="235"/>
      <c r="G65" s="235"/>
      <c r="H65" s="268"/>
      <c r="I65" s="281">
        <v>1.0</v>
      </c>
      <c r="J65" s="284"/>
      <c r="K65" s="283">
        <v>1.0</v>
      </c>
      <c r="L65" s="235"/>
      <c r="M65" s="274">
        <f>IF(AND(H65&lt;&gt;"", J65&lt;&gt;""), H65-J65, IF(H65&lt;&gt;"", H65-I65*VLOOKUP(A65, BACKEND1!$A:$G,6,FALSE), IF(J65&lt;&gt;"", -J65+K65*VLOOKUP(A65, BACKEND1!$A:$G,6,FALSE),0)))+ (C65+D65-E65)*VLOOKUP(A65, BACKEND1!$A:$G,5,FALSE)+G65
</f>
        <v>0</v>
      </c>
      <c r="N65" s="191"/>
      <c r="O65" s="247"/>
    </row>
    <row r="66">
      <c r="A66" s="12" t="s">
        <v>58</v>
      </c>
      <c r="B66" s="12" t="s">
        <v>59</v>
      </c>
      <c r="C66" s="271">
        <v>3.0</v>
      </c>
      <c r="D66" s="227">
        <v>1.0</v>
      </c>
      <c r="E66" s="280">
        <v>1.0</v>
      </c>
      <c r="F66" s="235" t="s">
        <v>35</v>
      </c>
      <c r="G66" s="235"/>
      <c r="H66" s="272">
        <v>0.433</v>
      </c>
      <c r="I66" s="281">
        <v>1.0</v>
      </c>
      <c r="J66" s="282">
        <v>0.963</v>
      </c>
      <c r="K66" s="283">
        <v>1.0</v>
      </c>
      <c r="L66" s="235" t="s">
        <v>35</v>
      </c>
      <c r="M66" s="274">
        <f>IF(AND(H66&lt;&gt;"", J66&lt;&gt;""), H66-J66, IF(H66&lt;&gt;"", H66-I66*VLOOKUP(A66, BACKEND1!$A:$G,6,FALSE), IF(J66&lt;&gt;"", -J66+K66*VLOOKUP(A66, BACKEND1!$A:$G,6,FALSE),0)))+ (C66+D66-E66)*VLOOKUP(A66, BACKEND1!$A:$G,5,FALSE)+G66
</f>
        <v>5.47</v>
      </c>
      <c r="N66" s="191"/>
      <c r="O66" s="247"/>
    </row>
    <row r="67">
      <c r="A67" s="12" t="s">
        <v>61</v>
      </c>
      <c r="B67" s="12" t="s">
        <v>59</v>
      </c>
      <c r="C67" s="271">
        <v>1.0</v>
      </c>
      <c r="D67" s="191"/>
      <c r="E67" s="247"/>
      <c r="F67" s="235" t="s">
        <v>35</v>
      </c>
      <c r="G67" s="235"/>
      <c r="H67" s="272">
        <v>0.152</v>
      </c>
      <c r="I67" s="281">
        <v>1.0</v>
      </c>
      <c r="J67" s="282">
        <v>0.062</v>
      </c>
      <c r="K67" s="283">
        <v>1.0</v>
      </c>
      <c r="L67" s="235" t="s">
        <v>35</v>
      </c>
      <c r="M67" s="274">
        <f>IF(AND(H67&lt;&gt;"", J67&lt;&gt;""), H67-J67, IF(H67&lt;&gt;"", H67-I67*VLOOKUP(A67, BACKEND1!$A:$G,6,FALSE), IF(J67&lt;&gt;"", -J67+K67*VLOOKUP(A67, BACKEND1!$A:$G,6,FALSE),0)))+ (C67+D67-E67)*VLOOKUP(A67, BACKEND1!$A:$G,5,FALSE)+G67
</f>
        <v>0.19</v>
      </c>
      <c r="N67" s="191"/>
      <c r="O67" s="247"/>
    </row>
    <row r="68">
      <c r="A68" s="12" t="s">
        <v>62</v>
      </c>
      <c r="B68" s="12" t="s">
        <v>35</v>
      </c>
      <c r="C68" s="267"/>
      <c r="D68" s="227">
        <v>5.0</v>
      </c>
      <c r="E68" s="280">
        <v>5.0</v>
      </c>
      <c r="F68" s="235" t="s">
        <v>35</v>
      </c>
      <c r="G68" s="235"/>
      <c r="H68" s="272">
        <v>2.0</v>
      </c>
      <c r="I68" s="281">
        <v>1.0</v>
      </c>
      <c r="J68" s="284"/>
      <c r="K68" s="283">
        <v>1.0</v>
      </c>
      <c r="L68" s="235" t="s">
        <v>35</v>
      </c>
      <c r="M68" s="274">
        <f>IF(AND(H68&lt;&gt;"", J68&lt;&gt;""), H68-J68, IF(H68&lt;&gt;"", H68-I68*VLOOKUP(A68, BACKEND1!$A:$G,6,FALSE), IF(J68&lt;&gt;"", -J68+K68*VLOOKUP(A68, BACKEND1!$A:$G,6,FALSE),0)))+ (C68+D68-E68)*VLOOKUP(A68, BACKEND1!$A:$G,5,FALSE)+G68
</f>
        <v>1.9</v>
      </c>
      <c r="N68" s="191"/>
      <c r="O68" s="247"/>
    </row>
    <row r="69">
      <c r="A69" s="12" t="s">
        <v>64</v>
      </c>
      <c r="B69" s="12" t="s">
        <v>59</v>
      </c>
      <c r="C69" s="267"/>
      <c r="D69" s="227">
        <v>1.0</v>
      </c>
      <c r="E69" s="247"/>
      <c r="F69" s="235" t="s">
        <v>35</v>
      </c>
      <c r="G69" s="235"/>
      <c r="H69" s="272"/>
      <c r="I69" s="281">
        <v>1.0</v>
      </c>
      <c r="J69" s="282">
        <v>0.331</v>
      </c>
      <c r="K69" s="283">
        <v>1.0</v>
      </c>
      <c r="L69" s="235" t="s">
        <v>35</v>
      </c>
      <c r="M69" s="274">
        <f>IF(AND(H69&lt;&gt;"", J69&lt;&gt;""), H69-J69, IF(H69&lt;&gt;"", H69-I69*VLOOKUP(A69, BACKEND1!$A:$G,6,FALSE), IF(J69&lt;&gt;"", -J69+K69*VLOOKUP(A69, BACKEND1!$A:$G,6,FALSE),0)))+ (C69+D69-E69)*VLOOKUP(A69, BACKEND1!$A:$G,5,FALSE)+G69
</f>
        <v>0.119</v>
      </c>
      <c r="N69" s="191"/>
      <c r="O69" s="247"/>
    </row>
    <row r="70">
      <c r="A70" s="10" t="s">
        <v>65</v>
      </c>
      <c r="B70" s="11"/>
      <c r="C70" s="267"/>
      <c r="D70" s="191"/>
      <c r="E70" s="247"/>
      <c r="F70" s="235"/>
      <c r="G70" s="235"/>
      <c r="H70" s="268"/>
      <c r="I70" s="281">
        <v>1.0</v>
      </c>
      <c r="J70" s="284"/>
      <c r="K70" s="283">
        <v>1.0</v>
      </c>
      <c r="L70" s="235"/>
      <c r="M70" s="274">
        <f>IF(AND(H70&lt;&gt;"", J70&lt;&gt;""), H70-J70, IF(H70&lt;&gt;"", H70-I70*VLOOKUP(A70, BACKEND1!$A:$G,6,FALSE), IF(J70&lt;&gt;"", -J70+K70*VLOOKUP(A70, BACKEND1!$A:$G,6,FALSE),0)))+ (C70+D70-E70)*VLOOKUP(A70, BACKEND1!$A:$G,5,FALSE)+G70
</f>
        <v>0</v>
      </c>
      <c r="N70" s="191"/>
      <c r="O70" s="247"/>
    </row>
    <row r="71">
      <c r="A71" s="12" t="s">
        <v>66</v>
      </c>
      <c r="B71" s="12" t="s">
        <v>56</v>
      </c>
      <c r="C71" s="267"/>
      <c r="D71" s="191"/>
      <c r="E71" s="247"/>
      <c r="F71" s="235" t="s">
        <v>25</v>
      </c>
      <c r="G71" s="285">
        <v>2.0</v>
      </c>
      <c r="H71" s="268"/>
      <c r="I71" s="281">
        <v>1.0</v>
      </c>
      <c r="J71" s="282">
        <v>0.311</v>
      </c>
      <c r="K71" s="283">
        <v>1.0</v>
      </c>
      <c r="L71" s="235" t="s">
        <v>25</v>
      </c>
      <c r="M71" s="274">
        <f>IF(AND(H71&lt;&gt;"", J71&lt;&gt;""), H71-J71, IF(H71&lt;&gt;"", H71-I71*VLOOKUP(A71, BACKEND1!$A:$G,6,FALSE), IF(J71&lt;&gt;"", -J71+K71*VLOOKUP(A71, BACKEND1!$A:$G,6,FALSE),0)))+ (C71+D71-E71)*VLOOKUP(A71, BACKEND1!$A:$G,5,FALSE)+G71
</f>
        <v>2.499</v>
      </c>
      <c r="N71" s="191"/>
      <c r="O71" s="247"/>
    </row>
    <row r="72">
      <c r="A72" s="12" t="s">
        <v>68</v>
      </c>
      <c r="B72" s="12" t="s">
        <v>35</v>
      </c>
      <c r="C72" s="267"/>
      <c r="D72" s="227">
        <v>1.5</v>
      </c>
      <c r="E72" s="247"/>
      <c r="F72" s="235" t="s">
        <v>35</v>
      </c>
      <c r="G72" s="235"/>
      <c r="H72" s="272"/>
      <c r="I72" s="281">
        <v>1.0</v>
      </c>
      <c r="J72" s="284"/>
      <c r="K72" s="283">
        <v>1.0</v>
      </c>
      <c r="L72" s="235" t="s">
        <v>35</v>
      </c>
      <c r="M72" s="274">
        <f>IF(AND(H72&lt;&gt;"", J72&lt;&gt;""), H72-J72, IF(H72&lt;&gt;"", H72-I72*VLOOKUP(A72, BACKEND1!$A:$G,6,FALSE), IF(J72&lt;&gt;"", -J72+K72*VLOOKUP(A72, BACKEND1!$A:$G,6,FALSE),0)))+ (C72+D72-E72)*VLOOKUP(A72, BACKEND1!$A:$G,5,FALSE)+G72
</f>
        <v>1.5</v>
      </c>
      <c r="N72" s="191"/>
      <c r="O72" s="247"/>
    </row>
    <row r="73">
      <c r="A73" s="12" t="s">
        <v>70</v>
      </c>
      <c r="B73" s="12" t="s">
        <v>35</v>
      </c>
      <c r="C73" s="267"/>
      <c r="D73" s="191"/>
      <c r="E73" s="247"/>
      <c r="F73" s="235" t="s">
        <v>35</v>
      </c>
      <c r="G73" s="235"/>
      <c r="H73" s="268"/>
      <c r="I73" s="281">
        <v>1.0</v>
      </c>
      <c r="J73" s="284"/>
      <c r="K73" s="283">
        <v>1.0</v>
      </c>
      <c r="L73" s="235" t="s">
        <v>35</v>
      </c>
      <c r="M73" s="274">
        <f>IF(AND(H73&lt;&gt;"", J73&lt;&gt;""), H73-J73, IF(H73&lt;&gt;"", H73-I73*VLOOKUP(A73, BACKEND1!$A:$G,6,FALSE), IF(J73&lt;&gt;"", -J73+K73*VLOOKUP(A73, BACKEND1!$A:$G,6,FALSE),0)))+ (C73+D73-E73)*VLOOKUP(A73, BACKEND1!$A:$G,5,FALSE)+G73
</f>
        <v>0</v>
      </c>
      <c r="N73" s="191"/>
      <c r="O73" s="247"/>
    </row>
    <row r="74">
      <c r="A74" s="12" t="s">
        <v>71</v>
      </c>
      <c r="B74" s="12" t="s">
        <v>72</v>
      </c>
      <c r="C74" s="267"/>
      <c r="D74" s="227">
        <v>1.0</v>
      </c>
      <c r="E74" s="247"/>
      <c r="F74" s="235" t="s">
        <v>25</v>
      </c>
      <c r="G74" s="235"/>
      <c r="H74" s="272">
        <v>0.589</v>
      </c>
      <c r="I74" s="281">
        <v>1.0</v>
      </c>
      <c r="J74" s="282">
        <v>0.549</v>
      </c>
      <c r="K74" s="283">
        <v>1.0</v>
      </c>
      <c r="L74" s="235" t="s">
        <v>25</v>
      </c>
      <c r="M74" s="274">
        <f>IF(AND(H74&lt;&gt;"", J74&lt;&gt;""), H74-J74, IF(H74&lt;&gt;"", H74-I74*VLOOKUP(A74, BACKEND1!$A:$G,6,FALSE), IF(J74&lt;&gt;"", -J74+K74*VLOOKUP(A74, BACKEND1!$A:$G,6,FALSE),0)))+ (C74+D74-E74)*VLOOKUP(A74, BACKEND1!$A:$G,5,FALSE)+G74
</f>
        <v>1.04</v>
      </c>
      <c r="N74" s="191"/>
      <c r="O74" s="247"/>
    </row>
    <row r="75">
      <c r="A75" s="12" t="s">
        <v>74</v>
      </c>
      <c r="B75" s="12" t="s">
        <v>17</v>
      </c>
      <c r="C75" s="267"/>
      <c r="D75" s="191"/>
      <c r="E75" s="247"/>
      <c r="F75" s="235" t="s">
        <v>25</v>
      </c>
      <c r="G75" s="235"/>
      <c r="H75" s="272"/>
      <c r="I75" s="281">
        <v>1.0</v>
      </c>
      <c r="J75" s="284"/>
      <c r="K75" s="283">
        <v>1.0</v>
      </c>
      <c r="L75" s="235" t="s">
        <v>25</v>
      </c>
      <c r="M75" s="274">
        <f>IF(AND(H75&lt;&gt;"", J75&lt;&gt;""), H75-J75, IF(H75&lt;&gt;"", H75-I75*VLOOKUP(A75, BACKEND1!$A:$G,6,FALSE), IF(J75&lt;&gt;"", -J75+K75*VLOOKUP(A75, BACKEND1!$A:$G,6,FALSE),0)))+ (C75+D75-E75)*VLOOKUP(A75, BACKEND1!$A:$G,5,FALSE)+G75
</f>
        <v>0</v>
      </c>
      <c r="N75" s="191"/>
      <c r="O75" s="247"/>
    </row>
    <row r="76">
      <c r="A76" s="12" t="s">
        <v>76</v>
      </c>
      <c r="B76" s="12" t="s">
        <v>72</v>
      </c>
      <c r="C76" s="267"/>
      <c r="D76" s="191"/>
      <c r="E76" s="247"/>
      <c r="F76" s="235" t="s">
        <v>35</v>
      </c>
      <c r="G76" s="235"/>
      <c r="H76" s="272"/>
      <c r="I76" s="281">
        <v>1.0</v>
      </c>
      <c r="J76" s="284"/>
      <c r="K76" s="283">
        <v>1.0</v>
      </c>
      <c r="L76" s="235" t="s">
        <v>35</v>
      </c>
      <c r="M76" s="274">
        <f>IF(AND(H76&lt;&gt;"", J76&lt;&gt;""), H76-J76, IF(H76&lt;&gt;"", H76-I76*VLOOKUP(A76, BACKEND1!$A:$G,6,FALSE), IF(J76&lt;&gt;"", -J76+K76*VLOOKUP(A76, BACKEND1!$A:$G,6,FALSE),0)))+ (C76+D76-E76)*VLOOKUP(A76, BACKEND1!$A:$G,5,FALSE)+G76
</f>
        <v>0</v>
      </c>
      <c r="N76" s="191"/>
      <c r="O76" s="247"/>
    </row>
    <row r="77">
      <c r="A77" s="12" t="s">
        <v>77</v>
      </c>
      <c r="B77" s="12" t="s">
        <v>78</v>
      </c>
      <c r="C77" s="267"/>
      <c r="D77" s="191"/>
      <c r="E77" s="247"/>
      <c r="F77" s="235" t="s">
        <v>25</v>
      </c>
      <c r="G77" s="235"/>
      <c r="H77" s="272"/>
      <c r="I77" s="281">
        <v>1.0</v>
      </c>
      <c r="J77" s="284"/>
      <c r="K77" s="283">
        <v>1.0</v>
      </c>
      <c r="L77" s="235" t="s">
        <v>25</v>
      </c>
      <c r="M77" s="274">
        <f>IF(AND(H77&lt;&gt;"", J77&lt;&gt;""), H77-J77, IF(H77&lt;&gt;"", H77-I77*VLOOKUP(A77, BACKEND1!$A:$G,6,FALSE), IF(J77&lt;&gt;"", -J77+K77*VLOOKUP(A77, BACKEND1!$A:$G,6,FALSE),0)))+ (C77+D77-E77)*VLOOKUP(A77, BACKEND1!$A:$G,5,FALSE)+G77
</f>
        <v>0</v>
      </c>
      <c r="N77" s="191"/>
      <c r="O77" s="247"/>
    </row>
    <row r="78">
      <c r="A78" s="12" t="s">
        <v>80</v>
      </c>
      <c r="B78" s="12" t="s">
        <v>56</v>
      </c>
      <c r="C78" s="267"/>
      <c r="D78" s="191"/>
      <c r="E78" s="247"/>
      <c r="F78" s="235" t="s">
        <v>35</v>
      </c>
      <c r="G78" s="235"/>
      <c r="H78" s="268"/>
      <c r="I78" s="281">
        <v>1.0</v>
      </c>
      <c r="J78" s="284"/>
      <c r="K78" s="283">
        <v>1.0</v>
      </c>
      <c r="L78" s="235" t="s">
        <v>35</v>
      </c>
      <c r="M78" s="274">
        <f>IF(AND(H78&lt;&gt;"", J78&lt;&gt;""), H78-J78, IF(H78&lt;&gt;"", H78-I78*VLOOKUP(A78, BACKEND1!$A:$G,6,FALSE), IF(J78&lt;&gt;"", -J78+K78*VLOOKUP(A78, BACKEND1!$A:$G,6,FALSE),0)))+ (C78+D78-E78)*VLOOKUP(A78, BACKEND1!$A:$G,5,FALSE)+G78
</f>
        <v>0</v>
      </c>
      <c r="N78" s="191"/>
      <c r="O78" s="247"/>
    </row>
    <row r="79">
      <c r="A79" s="12" t="s">
        <v>82</v>
      </c>
      <c r="B79" s="12" t="s">
        <v>83</v>
      </c>
      <c r="C79" s="267"/>
      <c r="D79" s="191"/>
      <c r="E79" s="247"/>
      <c r="F79" s="235" t="s">
        <v>35</v>
      </c>
      <c r="G79" s="235"/>
      <c r="H79" s="272">
        <v>0.483</v>
      </c>
      <c r="I79" s="281">
        <v>1.0</v>
      </c>
      <c r="J79" s="282">
        <v>0.46</v>
      </c>
      <c r="K79" s="283">
        <v>1.0</v>
      </c>
      <c r="L79" s="235" t="s">
        <v>35</v>
      </c>
      <c r="M79" s="274">
        <f>IF(AND(H79&lt;&gt;"", J79&lt;&gt;""), H79-J79, IF(H79&lt;&gt;"", H79-I79*VLOOKUP(A79, BACKEND1!$A:$G,6,FALSE), IF(J79&lt;&gt;"", -J79+K79*VLOOKUP(A79, BACKEND1!$A:$G,6,FALSE),0)))+ (C79+D79-E79)*VLOOKUP(A79, BACKEND1!$A:$G,5,FALSE)+G79
</f>
        <v>0.023</v>
      </c>
      <c r="N79" s="191"/>
      <c r="O79" s="247"/>
    </row>
    <row r="80">
      <c r="A80" s="10" t="s">
        <v>85</v>
      </c>
      <c r="B80" s="11"/>
      <c r="C80" s="267"/>
      <c r="D80" s="191"/>
      <c r="E80" s="247"/>
      <c r="F80" s="235"/>
      <c r="G80" s="235"/>
      <c r="H80" s="268"/>
      <c r="I80" s="281">
        <v>1.0</v>
      </c>
      <c r="J80" s="284"/>
      <c r="K80" s="283">
        <v>1.0</v>
      </c>
      <c r="L80" s="235"/>
      <c r="M80" s="274">
        <f>IF(AND(H80&lt;&gt;"", J80&lt;&gt;""), H80-J80, IF(H80&lt;&gt;"", H80-I80*VLOOKUP(A80, BACKEND1!$A:$G,6,FALSE), IF(J80&lt;&gt;"", -J80+K80*VLOOKUP(A80, BACKEND1!$A:$G,6,FALSE),0)))+ (C80+D80-E80)*VLOOKUP(A80, BACKEND1!$A:$G,5,FALSE)+G80
</f>
        <v>0</v>
      </c>
      <c r="N80" s="191"/>
      <c r="O80" s="247"/>
    </row>
    <row r="81">
      <c r="A81" s="12" t="s">
        <v>86</v>
      </c>
      <c r="B81" s="12" t="s">
        <v>83</v>
      </c>
      <c r="C81" s="271">
        <v>1.0</v>
      </c>
      <c r="D81" s="191"/>
      <c r="E81" s="247"/>
      <c r="F81" s="235" t="s">
        <v>25</v>
      </c>
      <c r="G81" s="235"/>
      <c r="H81" s="272"/>
      <c r="I81" s="281">
        <v>1.0</v>
      </c>
      <c r="J81" s="282">
        <f>0.542-0.412</f>
        <v>0.13</v>
      </c>
      <c r="K81" s="283">
        <v>1.0</v>
      </c>
      <c r="L81" s="235" t="s">
        <v>25</v>
      </c>
      <c r="M81" s="274">
        <f>IF(AND(H81&lt;&gt;"", J81&lt;&gt;""), H81-J81, IF(H81&lt;&gt;"", H81-I81*VLOOKUP(A81, BACKEND1!$A:$G,6,FALSE), IF(J81&lt;&gt;"", -J81+K81*VLOOKUP(A81, BACKEND1!$A:$G,6,FALSE),0)))+ (C81+D81-E81)*VLOOKUP(A81, BACKEND1!$A:$G,5,FALSE)+G81
</f>
        <v>0.782</v>
      </c>
      <c r="N81" s="191"/>
      <c r="O81" s="247"/>
    </row>
    <row r="82">
      <c r="A82" s="12" t="s">
        <v>87</v>
      </c>
      <c r="B82" s="12" t="s">
        <v>83</v>
      </c>
      <c r="C82" s="267"/>
      <c r="D82" s="227">
        <v>1.0</v>
      </c>
      <c r="E82" s="280">
        <v>1.0</v>
      </c>
      <c r="F82" s="235" t="s">
        <v>25</v>
      </c>
      <c r="G82" s="235"/>
      <c r="H82" s="272">
        <v>0.637</v>
      </c>
      <c r="I82" s="281">
        <v>1.0</v>
      </c>
      <c r="J82" s="282">
        <v>0.403</v>
      </c>
      <c r="K82" s="283">
        <v>1.0</v>
      </c>
      <c r="L82" s="235" t="s">
        <v>25</v>
      </c>
      <c r="M82" s="274">
        <f>IF(AND(H82&lt;&gt;"", J82&lt;&gt;""), H82-J82, IF(H82&lt;&gt;"", H82-I82*VLOOKUP(A82, BACKEND1!$A:$G,6,FALSE), IF(J82&lt;&gt;"", -J82+K82*VLOOKUP(A82, BACKEND1!$A:$G,6,FALSE),0)))+ (C82+D82-E82)*VLOOKUP(A82, BACKEND1!$A:$G,5,FALSE)+G82
</f>
        <v>0.234</v>
      </c>
      <c r="N82" s="191"/>
      <c r="O82" s="247"/>
    </row>
    <row r="83">
      <c r="A83" s="12" t="s">
        <v>88</v>
      </c>
      <c r="B83" s="12" t="s">
        <v>83</v>
      </c>
      <c r="C83" s="267"/>
      <c r="D83" s="191"/>
      <c r="E83" s="247"/>
      <c r="F83" s="235" t="s">
        <v>25</v>
      </c>
      <c r="G83" s="235"/>
      <c r="H83" s="272">
        <v>1.116</v>
      </c>
      <c r="I83" s="281">
        <v>1.0</v>
      </c>
      <c r="J83" s="282">
        <v>0.952</v>
      </c>
      <c r="K83" s="283">
        <v>1.0</v>
      </c>
      <c r="L83" s="235" t="s">
        <v>25</v>
      </c>
      <c r="M83" s="274">
        <f>IF(AND(H83&lt;&gt;"", J83&lt;&gt;""), H83-J83, IF(H83&lt;&gt;"", H83-I83*VLOOKUP(A83, BACKEND1!$A:$G,6,FALSE), IF(J83&lt;&gt;"", -J83+K83*VLOOKUP(A83, BACKEND1!$A:$G,6,FALSE),0)))+ (C83+D83-E83)*VLOOKUP(A83, BACKEND1!$A:$G,5,FALSE)+G83
</f>
        <v>0.164</v>
      </c>
      <c r="N83" s="191"/>
      <c r="O83" s="247"/>
    </row>
    <row r="84">
      <c r="A84" s="12" t="s">
        <v>89</v>
      </c>
      <c r="B84" s="12" t="s">
        <v>83</v>
      </c>
      <c r="C84" s="271">
        <v>1.0</v>
      </c>
      <c r="D84" s="191"/>
      <c r="E84" s="280">
        <v>1.0</v>
      </c>
      <c r="F84" s="235" t="s">
        <v>25</v>
      </c>
      <c r="G84" s="235"/>
      <c r="H84" s="272">
        <v>0.584</v>
      </c>
      <c r="I84" s="281">
        <v>1.0</v>
      </c>
      <c r="J84" s="284"/>
      <c r="K84" s="283">
        <v>1.0</v>
      </c>
      <c r="L84" s="235" t="s">
        <v>25</v>
      </c>
      <c r="M84" s="274">
        <f>IF(AND(H84&lt;&gt;"", J84&lt;&gt;""), H84-J84, IF(H84&lt;&gt;"", H84-I84*VLOOKUP(A84, BACKEND1!$A:$G,6,FALSE), IF(J84&lt;&gt;"", -J84+K84*VLOOKUP(A84, BACKEND1!$A:$G,6,FALSE),0)))+ (C84+D84-E84)*VLOOKUP(A84, BACKEND1!$A:$G,5,FALSE)+G84
</f>
        <v>0.291</v>
      </c>
      <c r="N84" s="191"/>
      <c r="O84" s="247"/>
    </row>
    <row r="85">
      <c r="A85" s="12" t="s">
        <v>90</v>
      </c>
      <c r="B85" s="12" t="s">
        <v>24</v>
      </c>
      <c r="C85" s="271">
        <v>1.0</v>
      </c>
      <c r="D85" s="191"/>
      <c r="E85" s="280">
        <v>0.309</v>
      </c>
      <c r="F85" s="235" t="s">
        <v>25</v>
      </c>
      <c r="G85" s="235"/>
      <c r="H85" s="272"/>
      <c r="I85" s="281">
        <v>1.0</v>
      </c>
      <c r="J85" s="284"/>
      <c r="K85" s="283">
        <v>1.0</v>
      </c>
      <c r="L85" s="235" t="s">
        <v>25</v>
      </c>
      <c r="M85" s="274">
        <f>IF(AND(H85&lt;&gt;"", J85&lt;&gt;""), H85-J85, IF(H85&lt;&gt;"", H85-I85*VLOOKUP(A85, BACKEND1!$A:$G,6,FALSE), IF(J85&lt;&gt;"", -J85+K85*VLOOKUP(A85, BACKEND1!$A:$G,6,FALSE),0)))+ (C85+D85-E85)*VLOOKUP(A85, BACKEND1!$A:$G,5,FALSE)+G85
</f>
        <v>0.203845</v>
      </c>
      <c r="N85" s="191"/>
      <c r="O85" s="247"/>
    </row>
    <row r="86">
      <c r="A86" s="12" t="s">
        <v>91</v>
      </c>
      <c r="B86" s="12" t="s">
        <v>56</v>
      </c>
      <c r="C86" s="267"/>
      <c r="D86" s="227">
        <v>5.0</v>
      </c>
      <c r="E86" s="280">
        <v>5.0</v>
      </c>
      <c r="F86" s="235" t="s">
        <v>25</v>
      </c>
      <c r="G86" s="235"/>
      <c r="H86" s="272">
        <v>1.498</v>
      </c>
      <c r="I86" s="281">
        <v>1.0</v>
      </c>
      <c r="J86" s="284"/>
      <c r="K86" s="283">
        <v>1.0</v>
      </c>
      <c r="L86" s="235" t="s">
        <v>25</v>
      </c>
      <c r="M86" s="274">
        <f>IF(AND(H86&lt;&gt;"", J86&lt;&gt;""), H86-J86, IF(H86&lt;&gt;"", H86-I86*VLOOKUP(A86, BACKEND1!$A:$G,6,FALSE), IF(J86&lt;&gt;"", -J86+K86*VLOOKUP(A86, BACKEND1!$A:$G,6,FALSE),0)))+ (C86+D86-E86)*VLOOKUP(A86, BACKEND1!$A:$G,5,FALSE)+G86
</f>
        <v>1.378</v>
      </c>
      <c r="N86" s="191"/>
      <c r="O86" s="247"/>
    </row>
    <row r="87">
      <c r="A87" s="12" t="s">
        <v>92</v>
      </c>
      <c r="B87" s="12" t="s">
        <v>83</v>
      </c>
      <c r="C87" s="267"/>
      <c r="D87" s="191"/>
      <c r="E87" s="247"/>
      <c r="F87" s="235" t="s">
        <v>25</v>
      </c>
      <c r="G87" s="235"/>
      <c r="H87" s="272"/>
      <c r="I87" s="281">
        <v>1.0</v>
      </c>
      <c r="J87" s="284"/>
      <c r="K87" s="283">
        <v>1.0</v>
      </c>
      <c r="L87" s="235" t="s">
        <v>25</v>
      </c>
      <c r="M87" s="274">
        <f>IF(AND(H87&lt;&gt;"", J87&lt;&gt;""), H87-J87, IF(H87&lt;&gt;"", H87-I87*VLOOKUP(A87, BACKEND1!$A:$G,6,FALSE), IF(J87&lt;&gt;"", -J87+K87*VLOOKUP(A87, BACKEND1!$A:$G,6,FALSE),0)))+ (C87+D87-E87)*VLOOKUP(A87, BACKEND1!$A:$G,5,FALSE)+G87
</f>
        <v>0</v>
      </c>
      <c r="N87" s="191"/>
      <c r="O87" s="247"/>
    </row>
    <row r="88">
      <c r="A88" s="12" t="s">
        <v>93</v>
      </c>
      <c r="B88" s="12" t="s">
        <v>83</v>
      </c>
      <c r="C88" s="267"/>
      <c r="D88" s="191"/>
      <c r="E88" s="247"/>
      <c r="F88" s="235" t="s">
        <v>25</v>
      </c>
      <c r="G88" s="235"/>
      <c r="H88" s="272">
        <v>0.861</v>
      </c>
      <c r="I88" s="281">
        <v>1.0</v>
      </c>
      <c r="J88" s="282">
        <v>0.861</v>
      </c>
      <c r="K88" s="283">
        <v>1.0</v>
      </c>
      <c r="L88" s="235" t="s">
        <v>25</v>
      </c>
      <c r="M88" s="274">
        <f>IF(AND(H88&lt;&gt;"", J88&lt;&gt;""), H88-J88, IF(H88&lt;&gt;"", H88-I88*VLOOKUP(A88, BACKEND1!$A:$G,6,FALSE), IF(J88&lt;&gt;"", -J88+K88*VLOOKUP(A88, BACKEND1!$A:$G,6,FALSE),0)))+ (C88+D88-E88)*VLOOKUP(A88, BACKEND1!$A:$G,5,FALSE)+G88
</f>
        <v>0</v>
      </c>
      <c r="N88" s="191"/>
      <c r="O88" s="247"/>
    </row>
    <row r="89">
      <c r="A89" s="12" t="s">
        <v>95</v>
      </c>
      <c r="B89" s="12" t="s">
        <v>83</v>
      </c>
      <c r="C89" s="267"/>
      <c r="D89" s="191"/>
      <c r="E89" s="247"/>
      <c r="F89" s="235" t="s">
        <v>25</v>
      </c>
      <c r="G89" s="235"/>
      <c r="H89" s="268"/>
      <c r="I89" s="281">
        <v>1.0</v>
      </c>
      <c r="J89" s="284"/>
      <c r="K89" s="283">
        <v>1.0</v>
      </c>
      <c r="L89" s="235" t="s">
        <v>25</v>
      </c>
      <c r="M89" s="274">
        <f>IF(AND(H89&lt;&gt;"", J89&lt;&gt;""), H89-J89, IF(H89&lt;&gt;"", H89-I89*VLOOKUP(A89, BACKEND1!$A:$G,6,FALSE), IF(J89&lt;&gt;"", -J89+K89*VLOOKUP(A89, BACKEND1!$A:$G,6,FALSE),0)))+ (C89+D89-E89)*VLOOKUP(A89, BACKEND1!$A:$G,5,FALSE)+G89
</f>
        <v>0</v>
      </c>
      <c r="N89" s="191"/>
      <c r="O89" s="247"/>
    </row>
    <row r="90">
      <c r="A90" s="10" t="s">
        <v>96</v>
      </c>
      <c r="B90" s="11"/>
      <c r="C90" s="267"/>
      <c r="D90" s="191"/>
      <c r="E90" s="247"/>
      <c r="F90" s="235"/>
      <c r="G90" s="235"/>
      <c r="H90" s="268"/>
      <c r="I90" s="281">
        <v>1.0</v>
      </c>
      <c r="J90" s="284"/>
      <c r="K90" s="283">
        <v>1.0</v>
      </c>
      <c r="L90" s="235"/>
      <c r="M90" s="274">
        <f>IF(AND(H90&lt;&gt;"", J90&lt;&gt;""), H90-J90, IF(H90&lt;&gt;"", H90-I90*VLOOKUP(A90, BACKEND1!$A:$G,6,FALSE), IF(J90&lt;&gt;"", -J90+K90*VLOOKUP(A90, BACKEND1!$A:$G,6,FALSE),0)))+ (C90+D90-E90)*VLOOKUP(A90, BACKEND1!$A:$G,5,FALSE)+G90
</f>
        <v>0</v>
      </c>
      <c r="N90" s="191"/>
      <c r="O90" s="247"/>
    </row>
    <row r="91">
      <c r="A91" s="12" t="s">
        <v>97</v>
      </c>
      <c r="B91" s="12" t="s">
        <v>40</v>
      </c>
      <c r="C91" s="267"/>
      <c r="D91" s="191"/>
      <c r="E91" s="247"/>
      <c r="F91" s="235" t="s">
        <v>35</v>
      </c>
      <c r="G91" s="235"/>
      <c r="H91" s="268"/>
      <c r="I91" s="281">
        <v>1.0</v>
      </c>
      <c r="J91" s="284"/>
      <c r="K91" s="283">
        <v>1.0</v>
      </c>
      <c r="L91" s="235" t="s">
        <v>35</v>
      </c>
      <c r="M91" s="274">
        <f>IF(AND(H91&lt;&gt;"", J91&lt;&gt;""), H91-J91, IF(H91&lt;&gt;"", H91-I91*VLOOKUP(A91, BACKEND1!$A:$G,6,FALSE), IF(J91&lt;&gt;"", -J91+K91*VLOOKUP(A91, BACKEND1!$A:$G,6,FALSE),0)))+ (C91+D91-E91)*VLOOKUP(A91, BACKEND1!$A:$G,5,FALSE)+G91
</f>
        <v>0</v>
      </c>
      <c r="N91" s="191"/>
      <c r="O91" s="247"/>
    </row>
    <row r="92">
      <c r="A92" s="12" t="s">
        <v>99</v>
      </c>
      <c r="B92" s="12" t="s">
        <v>40</v>
      </c>
      <c r="C92" s="267"/>
      <c r="D92" s="191"/>
      <c r="E92" s="247"/>
      <c r="F92" s="235" t="s">
        <v>35</v>
      </c>
      <c r="G92" s="235"/>
      <c r="H92" s="272">
        <v>0.724</v>
      </c>
      <c r="I92" s="281">
        <v>1.0</v>
      </c>
      <c r="J92" s="282">
        <v>0.724</v>
      </c>
      <c r="K92" s="283">
        <v>1.0</v>
      </c>
      <c r="L92" s="235" t="s">
        <v>35</v>
      </c>
      <c r="M92" s="274">
        <f>IF(AND(H92&lt;&gt;"", J92&lt;&gt;""), H92-J92, IF(H92&lt;&gt;"", H92-I92*VLOOKUP(A92, BACKEND1!$A:$G,6,FALSE), IF(J92&lt;&gt;"", -J92+K92*VLOOKUP(A92, BACKEND1!$A:$G,6,FALSE),0)))+ (C92+D92-E92)*VLOOKUP(A92, BACKEND1!$A:$G,5,FALSE)+G92
</f>
        <v>0</v>
      </c>
      <c r="N92" s="191"/>
      <c r="O92" s="247"/>
    </row>
    <row r="93">
      <c r="A93" s="12" t="s">
        <v>100</v>
      </c>
      <c r="B93" s="12" t="s">
        <v>40</v>
      </c>
      <c r="C93" s="267"/>
      <c r="D93" s="191"/>
      <c r="E93" s="247"/>
      <c r="F93" s="235" t="s">
        <v>35</v>
      </c>
      <c r="G93" s="235"/>
      <c r="H93" s="272">
        <v>0.174</v>
      </c>
      <c r="I93" s="281">
        <v>1.0</v>
      </c>
      <c r="J93" s="282">
        <v>0.148</v>
      </c>
      <c r="K93" s="283">
        <v>1.0</v>
      </c>
      <c r="L93" s="235" t="s">
        <v>35</v>
      </c>
      <c r="M93" s="274">
        <f>IF(AND(H93&lt;&gt;"", J93&lt;&gt;""), H93-J93, IF(H93&lt;&gt;"", H93-I93*VLOOKUP(A93, BACKEND1!$A:$G,6,FALSE), IF(J93&lt;&gt;"", -J93+K93*VLOOKUP(A93, BACKEND1!$A:$G,6,FALSE),0)))+ (C93+D93-E93)*VLOOKUP(A93, BACKEND1!$A:$G,5,FALSE)+G93
</f>
        <v>0.026</v>
      </c>
      <c r="N93" s="191"/>
      <c r="O93" s="247"/>
    </row>
    <row r="94">
      <c r="A94" s="12" t="s">
        <v>101</v>
      </c>
      <c r="B94" s="12" t="s">
        <v>40</v>
      </c>
      <c r="C94" s="267"/>
      <c r="D94" s="191"/>
      <c r="E94" s="247"/>
      <c r="F94" s="235" t="s">
        <v>35</v>
      </c>
      <c r="G94" s="235"/>
      <c r="H94" s="272">
        <v>0.027</v>
      </c>
      <c r="I94" s="281">
        <v>1.0</v>
      </c>
      <c r="J94" s="284"/>
      <c r="K94" s="283">
        <v>1.0</v>
      </c>
      <c r="L94" s="235" t="s">
        <v>35</v>
      </c>
      <c r="M94" s="274">
        <f>IF(AND(H94&lt;&gt;"", J94&lt;&gt;""), H94-J94, IF(H94&lt;&gt;"", H94-I94*VLOOKUP(A94, BACKEND1!$A:$G,6,FALSE), IF(J94&lt;&gt;"", -J94+K94*VLOOKUP(A94, BACKEND1!$A:$G,6,FALSE),0)))+ (C94+D94-E94)*VLOOKUP(A94, BACKEND1!$A:$G,5,FALSE)+G94
</f>
        <v>0.023</v>
      </c>
      <c r="N94" s="191"/>
      <c r="O94" s="247"/>
    </row>
    <row r="95">
      <c r="A95" s="12" t="s">
        <v>102</v>
      </c>
      <c r="B95" s="12" t="s">
        <v>40</v>
      </c>
      <c r="C95" s="267"/>
      <c r="D95" s="191"/>
      <c r="E95" s="247"/>
      <c r="F95" s="235" t="s">
        <v>35</v>
      </c>
      <c r="G95" s="235"/>
      <c r="H95" s="272">
        <v>0.348</v>
      </c>
      <c r="I95" s="281">
        <v>1.0</v>
      </c>
      <c r="J95" s="282">
        <v>0.3</v>
      </c>
      <c r="K95" s="283">
        <v>1.0</v>
      </c>
      <c r="L95" s="235" t="s">
        <v>35</v>
      </c>
      <c r="M95" s="274">
        <f>IF(AND(H95&lt;&gt;"", J95&lt;&gt;""), H95-J95, IF(H95&lt;&gt;"", H95-I95*VLOOKUP(A95, BACKEND1!$A:$G,6,FALSE), IF(J95&lt;&gt;"", -J95+K95*VLOOKUP(A95, BACKEND1!$A:$G,6,FALSE),0)))+ (C95+D95-E95)*VLOOKUP(A95, BACKEND1!$A:$G,5,FALSE)+G95
</f>
        <v>0.048</v>
      </c>
      <c r="N95" s="191"/>
      <c r="O95" s="247"/>
    </row>
    <row r="96">
      <c r="A96" s="12" t="s">
        <v>103</v>
      </c>
      <c r="B96" s="12" t="s">
        <v>40</v>
      </c>
      <c r="C96" s="267"/>
      <c r="D96" s="191"/>
      <c r="E96" s="247"/>
      <c r="F96" s="235" t="s">
        <v>35</v>
      </c>
      <c r="G96" s="235"/>
      <c r="H96" s="272">
        <v>0.5</v>
      </c>
      <c r="I96" s="281">
        <v>1.0</v>
      </c>
      <c r="J96" s="282">
        <v>0.5</v>
      </c>
      <c r="K96" s="283">
        <v>1.0</v>
      </c>
      <c r="L96" s="235" t="s">
        <v>35</v>
      </c>
      <c r="M96" s="274">
        <f>IF(AND(H96&lt;&gt;"", J96&lt;&gt;""), H96-J96, IF(H96&lt;&gt;"", H96-I96*VLOOKUP(A96, BACKEND1!$A:$G,6,FALSE), IF(J96&lt;&gt;"", -J96+K96*VLOOKUP(A96, BACKEND1!$A:$G,6,FALSE),0)))+ (C96+D96-E96)*VLOOKUP(A96, BACKEND1!$A:$G,5,FALSE)+G96
</f>
        <v>0</v>
      </c>
      <c r="N96" s="191"/>
      <c r="O96" s="247"/>
    </row>
    <row r="97">
      <c r="A97" s="12" t="s">
        <v>104</v>
      </c>
      <c r="B97" s="12" t="s">
        <v>40</v>
      </c>
      <c r="C97" s="267"/>
      <c r="D97" s="191"/>
      <c r="E97" s="247"/>
      <c r="F97" s="235" t="s">
        <v>35</v>
      </c>
      <c r="G97" s="235"/>
      <c r="H97" s="272">
        <v>0.06</v>
      </c>
      <c r="I97" s="281">
        <v>1.0</v>
      </c>
      <c r="J97" s="284"/>
      <c r="K97" s="283">
        <v>1.0</v>
      </c>
      <c r="L97" s="235" t="s">
        <v>35</v>
      </c>
      <c r="M97" s="274">
        <f>IF(AND(H97&lt;&gt;"", J97&lt;&gt;""), H97-J97, IF(H97&lt;&gt;"", H97-I97*VLOOKUP(A97, BACKEND1!$A:$G,6,FALSE), IF(J97&lt;&gt;"", -J97+K97*VLOOKUP(A97, BACKEND1!$A:$G,6,FALSE),0)))+ (C97+D97-E97)*VLOOKUP(A97, BACKEND1!$A:$G,5,FALSE)+G97
</f>
        <v>0.043</v>
      </c>
      <c r="N97" s="191"/>
      <c r="O97" s="247"/>
    </row>
    <row r="98">
      <c r="A98" s="12" t="s">
        <v>105</v>
      </c>
      <c r="B98" s="12" t="s">
        <v>106</v>
      </c>
      <c r="C98" s="267"/>
      <c r="D98" s="191"/>
      <c r="E98" s="247"/>
      <c r="F98" s="235" t="s">
        <v>35</v>
      </c>
      <c r="G98" s="235"/>
      <c r="H98" s="272">
        <v>0.532</v>
      </c>
      <c r="I98" s="281">
        <v>1.0</v>
      </c>
      <c r="J98" s="282">
        <v>0.505</v>
      </c>
      <c r="K98" s="283">
        <v>1.0</v>
      </c>
      <c r="L98" s="235" t="s">
        <v>35</v>
      </c>
      <c r="M98" s="274">
        <f>IF(AND(H98&lt;&gt;"", J98&lt;&gt;""), H98-J98, IF(H98&lt;&gt;"", H98-I98*VLOOKUP(A98, BACKEND1!$A:$G,6,FALSE), IF(J98&lt;&gt;"", -J98+K98*VLOOKUP(A98, BACKEND1!$A:$G,6,FALSE),0)))+ (C98+D98-E98)*VLOOKUP(A98, BACKEND1!$A:$G,5,FALSE)+G98
</f>
        <v>0.027</v>
      </c>
      <c r="N98" s="191"/>
      <c r="O98" s="247"/>
    </row>
    <row r="99">
      <c r="A99" s="12" t="s">
        <v>108</v>
      </c>
      <c r="B99" s="12" t="s">
        <v>40</v>
      </c>
      <c r="C99" s="267"/>
      <c r="D99" s="191"/>
      <c r="E99" s="247"/>
      <c r="F99" s="235" t="s">
        <v>35</v>
      </c>
      <c r="G99" s="235"/>
      <c r="H99" s="272"/>
      <c r="I99" s="281">
        <v>1.0</v>
      </c>
      <c r="J99" s="284"/>
      <c r="K99" s="283">
        <v>1.0</v>
      </c>
      <c r="L99" s="235" t="s">
        <v>35</v>
      </c>
      <c r="M99" s="274">
        <f>IF(AND(H99&lt;&gt;"", J99&lt;&gt;""), H99-J99, IF(H99&lt;&gt;"", H99-I99*VLOOKUP(A99, BACKEND1!$A:$G,6,FALSE), IF(J99&lt;&gt;"", -J99+K99*VLOOKUP(A99, BACKEND1!$A:$G,6,FALSE),0)))+ (C99+D99-E99)*VLOOKUP(A99, BACKEND1!$A:$G,5,FALSE)+G99
</f>
        <v>0</v>
      </c>
      <c r="N99" s="191"/>
      <c r="O99" s="247"/>
    </row>
    <row r="100">
      <c r="A100" s="12" t="s">
        <v>109</v>
      </c>
      <c r="B100" s="12" t="s">
        <v>40</v>
      </c>
      <c r="C100" s="267"/>
      <c r="D100" s="191"/>
      <c r="E100" s="247"/>
      <c r="F100" s="235" t="s">
        <v>35</v>
      </c>
      <c r="G100" s="235"/>
      <c r="H100" s="272">
        <v>0.083</v>
      </c>
      <c r="I100" s="281">
        <v>1.0</v>
      </c>
      <c r="J100" s="282">
        <v>0.06</v>
      </c>
      <c r="K100" s="283">
        <v>1.0</v>
      </c>
      <c r="L100" s="235" t="s">
        <v>35</v>
      </c>
      <c r="M100" s="274">
        <f>IF(AND(H100&lt;&gt;"", J100&lt;&gt;""), H100-J100, IF(H100&lt;&gt;"", H100-I100*VLOOKUP(A100, BACKEND1!$A:$G,6,FALSE), IF(J100&lt;&gt;"", -J100+K100*VLOOKUP(A100, BACKEND1!$A:$G,6,FALSE),0)))+ (C100+D100-E100)*VLOOKUP(A100, BACKEND1!$A:$G,5,FALSE)+G100
</f>
        <v>0.023</v>
      </c>
      <c r="N100" s="191"/>
      <c r="O100" s="247"/>
    </row>
    <row r="101">
      <c r="A101" s="12" t="s">
        <v>110</v>
      </c>
      <c r="B101" s="12" t="s">
        <v>40</v>
      </c>
      <c r="C101" s="267"/>
      <c r="D101" s="191"/>
      <c r="E101" s="247"/>
      <c r="F101" s="235" t="s">
        <v>35</v>
      </c>
      <c r="G101" s="235"/>
      <c r="H101" s="272">
        <v>0.426</v>
      </c>
      <c r="I101" s="281">
        <v>1.0</v>
      </c>
      <c r="J101" s="282">
        <v>0.405</v>
      </c>
      <c r="K101" s="283">
        <v>1.0</v>
      </c>
      <c r="L101" s="235" t="s">
        <v>35</v>
      </c>
      <c r="M101" s="274">
        <f>IF(AND(H101&lt;&gt;"", J101&lt;&gt;""), H101-J101, IF(H101&lt;&gt;"", H101-I101*VLOOKUP(A101, BACKEND1!$A:$G,6,FALSE), IF(J101&lt;&gt;"", -J101+K101*VLOOKUP(A101, BACKEND1!$A:$G,6,FALSE),0)))+ (C101+D101-E101)*VLOOKUP(A101, BACKEND1!$A:$G,5,FALSE)+G101
</f>
        <v>0.021</v>
      </c>
      <c r="N101" s="191"/>
      <c r="O101" s="247"/>
    </row>
    <row r="102">
      <c r="A102" s="12" t="s">
        <v>111</v>
      </c>
      <c r="B102" s="12" t="s">
        <v>40</v>
      </c>
      <c r="C102" s="267"/>
      <c r="D102" s="191"/>
      <c r="E102" s="247"/>
      <c r="F102" s="235" t="s">
        <v>35</v>
      </c>
      <c r="G102" s="235"/>
      <c r="H102" s="268"/>
      <c r="I102" s="281">
        <v>1.0</v>
      </c>
      <c r="J102" s="284"/>
      <c r="K102" s="283">
        <v>1.0</v>
      </c>
      <c r="L102" s="235" t="s">
        <v>35</v>
      </c>
      <c r="M102" s="274">
        <f>IF(AND(H102&lt;&gt;"", J102&lt;&gt;""), H102-J102, IF(H102&lt;&gt;"", H102-I102*VLOOKUP(A102, BACKEND1!$A:$G,6,FALSE), IF(J102&lt;&gt;"", -J102+K102*VLOOKUP(A102, BACKEND1!$A:$G,6,FALSE),0)))+ (C102+D102-E102)*VLOOKUP(A102, BACKEND1!$A:$G,5,FALSE)+G102
</f>
        <v>0</v>
      </c>
      <c r="N102" s="191"/>
      <c r="O102" s="247"/>
    </row>
    <row r="103">
      <c r="A103" s="12" t="s">
        <v>112</v>
      </c>
      <c r="B103" s="12" t="s">
        <v>40</v>
      </c>
      <c r="C103" s="267"/>
      <c r="D103" s="191"/>
      <c r="E103" s="247"/>
      <c r="F103" s="235" t="s">
        <v>35</v>
      </c>
      <c r="G103" s="235"/>
      <c r="H103" s="272">
        <v>0.256</v>
      </c>
      <c r="I103" s="281">
        <v>1.0</v>
      </c>
      <c r="J103" s="282">
        <v>0.168</v>
      </c>
      <c r="K103" s="283">
        <v>1.0</v>
      </c>
      <c r="L103" s="235" t="s">
        <v>35</v>
      </c>
      <c r="M103" s="274">
        <f>IF(AND(H103&lt;&gt;"", J103&lt;&gt;""), H103-J103, IF(H103&lt;&gt;"", H103-I103*VLOOKUP(A103, BACKEND1!$A:$G,6,FALSE), IF(J103&lt;&gt;"", -J103+K103*VLOOKUP(A103, BACKEND1!$A:$G,6,FALSE),0)))+ (C103+D103-E103)*VLOOKUP(A103, BACKEND1!$A:$G,5,FALSE)+G103
</f>
        <v>0.088</v>
      </c>
      <c r="N103" s="191"/>
      <c r="O103" s="247"/>
    </row>
    <row r="104">
      <c r="A104" s="12" t="s">
        <v>114</v>
      </c>
      <c r="B104" s="12" t="s">
        <v>40</v>
      </c>
      <c r="C104" s="267"/>
      <c r="D104" s="191"/>
      <c r="E104" s="247"/>
      <c r="F104" s="235" t="s">
        <v>35</v>
      </c>
      <c r="G104" s="285">
        <v>0.014</v>
      </c>
      <c r="H104" s="272">
        <v>0.054</v>
      </c>
      <c r="I104" s="281">
        <v>1.0</v>
      </c>
      <c r="J104" s="282">
        <v>0.068</v>
      </c>
      <c r="K104" s="283">
        <v>1.0</v>
      </c>
      <c r="L104" s="235" t="s">
        <v>35</v>
      </c>
      <c r="M104" s="274">
        <f>IF(AND(H104&lt;&gt;"", J104&lt;&gt;""), H104-J104, IF(H104&lt;&gt;"", H104-I104*VLOOKUP(A104, BACKEND1!$A:$G,6,FALSE), IF(J104&lt;&gt;"", -J104+K104*VLOOKUP(A104, BACKEND1!$A:$G,6,FALSE),0)))+ (C104+D104-E104)*VLOOKUP(A104, BACKEND1!$A:$G,5,FALSE)+G104
</f>
        <v>0</v>
      </c>
      <c r="N104" s="191"/>
      <c r="O104" s="247"/>
    </row>
    <row r="105">
      <c r="A105" s="12" t="s">
        <v>116</v>
      </c>
      <c r="B105" s="12" t="s">
        <v>40</v>
      </c>
      <c r="C105" s="267"/>
      <c r="D105" s="191"/>
      <c r="E105" s="247"/>
      <c r="F105" s="235" t="s">
        <v>35</v>
      </c>
      <c r="G105" s="235"/>
      <c r="H105" s="268"/>
      <c r="I105" s="281">
        <v>1.0</v>
      </c>
      <c r="J105" s="284"/>
      <c r="K105" s="283">
        <v>1.0</v>
      </c>
      <c r="L105" s="235" t="s">
        <v>35</v>
      </c>
      <c r="M105" s="274">
        <f>IF(AND(H105&lt;&gt;"", J105&lt;&gt;""), H105-J105, IF(H105&lt;&gt;"", H105-I105*VLOOKUP(A105, BACKEND1!$A:$G,6,FALSE), IF(J105&lt;&gt;"", -J105+K105*VLOOKUP(A105, BACKEND1!$A:$G,6,FALSE),0)))+ (C105+D105-E105)*VLOOKUP(A105, BACKEND1!$A:$G,5,FALSE)+G105
</f>
        <v>0</v>
      </c>
      <c r="N105" s="191"/>
      <c r="O105" s="247"/>
    </row>
    <row r="106">
      <c r="A106" s="12" t="s">
        <v>117</v>
      </c>
      <c r="B106" s="12" t="s">
        <v>40</v>
      </c>
      <c r="C106" s="267"/>
      <c r="D106" s="191"/>
      <c r="E106" s="247"/>
      <c r="F106" s="235" t="s">
        <v>35</v>
      </c>
      <c r="G106" s="285">
        <v>0.041</v>
      </c>
      <c r="H106" s="272">
        <v>0.221</v>
      </c>
      <c r="I106" s="281">
        <v>1.0</v>
      </c>
      <c r="J106" s="282">
        <v>0.262</v>
      </c>
      <c r="K106" s="283">
        <v>1.0</v>
      </c>
      <c r="L106" s="235" t="s">
        <v>35</v>
      </c>
      <c r="M106" s="274">
        <f>IF(AND(H106&lt;&gt;"", J106&lt;&gt;""), H106-J106, IF(H106&lt;&gt;"", H106-I106*VLOOKUP(A106, BACKEND1!$A:$G,6,FALSE), IF(J106&lt;&gt;"", -J106+K106*VLOOKUP(A106, BACKEND1!$A:$G,6,FALSE),0)))+ (C106+D106-E106)*VLOOKUP(A106, BACKEND1!$A:$G,5,FALSE)+G106
</f>
        <v>0</v>
      </c>
      <c r="N106" s="191"/>
      <c r="O106" s="247"/>
    </row>
    <row r="107">
      <c r="A107" s="12" t="s">
        <v>118</v>
      </c>
      <c r="B107" s="12" t="s">
        <v>40</v>
      </c>
      <c r="C107" s="267"/>
      <c r="D107" s="191"/>
      <c r="E107" s="247"/>
      <c r="F107" s="235" t="s">
        <v>35</v>
      </c>
      <c r="G107" s="235"/>
      <c r="H107" s="272"/>
      <c r="I107" s="281">
        <v>1.0</v>
      </c>
      <c r="J107" s="284"/>
      <c r="K107" s="283">
        <v>1.0</v>
      </c>
      <c r="L107" s="235" t="s">
        <v>35</v>
      </c>
      <c r="M107" s="274">
        <f>IF(AND(H107&lt;&gt;"", J107&lt;&gt;""), H107-J107, IF(H107&lt;&gt;"", H107-I107*VLOOKUP(A107, BACKEND1!$A:$G,6,FALSE), IF(J107&lt;&gt;"", -J107+K107*VLOOKUP(A107, BACKEND1!$A:$G,6,FALSE),0)))+ (C107+D107-E107)*VLOOKUP(A107, BACKEND1!$A:$G,5,FALSE)+G107
</f>
        <v>0</v>
      </c>
      <c r="N107" s="191"/>
      <c r="O107" s="247"/>
    </row>
    <row r="108">
      <c r="A108" s="12" t="s">
        <v>119</v>
      </c>
      <c r="B108" s="12" t="s">
        <v>40</v>
      </c>
      <c r="C108" s="267"/>
      <c r="D108" s="191"/>
      <c r="E108" s="247"/>
      <c r="F108" s="235" t="s">
        <v>35</v>
      </c>
      <c r="G108" s="235"/>
      <c r="H108" s="272">
        <v>0.877</v>
      </c>
      <c r="I108" s="281">
        <v>1.0</v>
      </c>
      <c r="J108" s="284">
        <f>0.371+0.5</f>
        <v>0.871</v>
      </c>
      <c r="K108" s="283">
        <v>1.0</v>
      </c>
      <c r="L108" s="235" t="s">
        <v>35</v>
      </c>
      <c r="M108" s="274">
        <f>IF(AND(H108&lt;&gt;"", J108&lt;&gt;""), H108-J108, IF(H108&lt;&gt;"", H108-I108*VLOOKUP(A108, BACKEND1!$A:$G,6,FALSE), IF(J108&lt;&gt;"", -J108+K108*VLOOKUP(A108, BACKEND1!$A:$G,6,FALSE),0)))+ (C108+D108-E108)*VLOOKUP(A108, BACKEND1!$A:$G,5,FALSE)+G108
</f>
        <v>0.006</v>
      </c>
      <c r="N108" s="191"/>
      <c r="O108" s="247"/>
    </row>
    <row r="109">
      <c r="A109" s="12" t="s">
        <v>120</v>
      </c>
      <c r="B109" s="12" t="s">
        <v>40</v>
      </c>
      <c r="C109" s="267"/>
      <c r="D109" s="191"/>
      <c r="E109" s="247"/>
      <c r="F109" s="235" t="s">
        <v>35</v>
      </c>
      <c r="G109" s="235"/>
      <c r="H109" s="272">
        <v>0.069</v>
      </c>
      <c r="I109" s="281">
        <v>1.0</v>
      </c>
      <c r="J109" s="282">
        <v>0.067</v>
      </c>
      <c r="K109" s="283">
        <v>1.0</v>
      </c>
      <c r="L109" s="235" t="s">
        <v>35</v>
      </c>
      <c r="M109" s="274">
        <f>IF(AND(H109&lt;&gt;"", J109&lt;&gt;""), H109-J109, IF(H109&lt;&gt;"", H109-I109*VLOOKUP(A109, BACKEND1!$A:$G,6,FALSE), IF(J109&lt;&gt;"", -J109+K109*VLOOKUP(A109, BACKEND1!$A:$G,6,FALSE),0)))+ (C109+D109-E109)*VLOOKUP(A109, BACKEND1!$A:$G,5,FALSE)+G109
</f>
        <v>0.002</v>
      </c>
      <c r="N109" s="191"/>
      <c r="O109" s="247"/>
    </row>
    <row r="110">
      <c r="A110" s="12" t="s">
        <v>121</v>
      </c>
      <c r="B110" s="12" t="s">
        <v>40</v>
      </c>
      <c r="C110" s="267"/>
      <c r="D110" s="191"/>
      <c r="E110" s="247"/>
      <c r="F110" s="235" t="s">
        <v>35</v>
      </c>
      <c r="G110" s="235"/>
      <c r="H110" s="272">
        <v>0.725</v>
      </c>
      <c r="I110" s="281">
        <v>1.0</v>
      </c>
      <c r="J110" s="284">
        <f>0.125+0.6</f>
        <v>0.725</v>
      </c>
      <c r="K110" s="283">
        <v>1.0</v>
      </c>
      <c r="L110" s="235" t="s">
        <v>35</v>
      </c>
      <c r="M110" s="274">
        <f>IF(AND(H110&lt;&gt;"", J110&lt;&gt;""), H110-J110, IF(H110&lt;&gt;"", H110-I110*VLOOKUP(A110, BACKEND1!$A:$G,6,FALSE), IF(J110&lt;&gt;"", -J110+K110*VLOOKUP(A110, BACKEND1!$A:$G,6,FALSE),0)))+ (C110+D110-E110)*VLOOKUP(A110, BACKEND1!$A:$G,5,FALSE)+G110
</f>
        <v>0</v>
      </c>
      <c r="N110" s="191"/>
      <c r="O110" s="247"/>
    </row>
    <row r="111">
      <c r="A111" s="12" t="s">
        <v>122</v>
      </c>
      <c r="B111" s="12" t="s">
        <v>40</v>
      </c>
      <c r="C111" s="267"/>
      <c r="D111" s="191"/>
      <c r="E111" s="247"/>
      <c r="F111" s="235" t="s">
        <v>35</v>
      </c>
      <c r="G111" s="235"/>
      <c r="H111" s="268"/>
      <c r="I111" s="281">
        <v>1.0</v>
      </c>
      <c r="J111" s="284"/>
      <c r="K111" s="283">
        <v>1.0</v>
      </c>
      <c r="L111" s="235" t="s">
        <v>35</v>
      </c>
      <c r="M111" s="274">
        <f>IF(AND(H111&lt;&gt;"", J111&lt;&gt;""), H111-J111, IF(H111&lt;&gt;"", H111-I111*VLOOKUP(A111, BACKEND1!$A:$G,6,FALSE), IF(J111&lt;&gt;"", -J111+K111*VLOOKUP(A111, BACKEND1!$A:$G,6,FALSE),0)))+ (C111+D111-E111)*VLOOKUP(A111, BACKEND1!$A:$G,5,FALSE)+G111
</f>
        <v>0</v>
      </c>
      <c r="N111" s="191"/>
      <c r="O111" s="247"/>
    </row>
    <row r="112">
      <c r="A112" s="12" t="s">
        <v>123</v>
      </c>
      <c r="B112" s="12" t="s">
        <v>40</v>
      </c>
      <c r="C112" s="267"/>
      <c r="D112" s="191"/>
      <c r="E112" s="247"/>
      <c r="F112" s="235" t="s">
        <v>35</v>
      </c>
      <c r="G112" s="235"/>
      <c r="H112" s="272">
        <v>0.123</v>
      </c>
      <c r="I112" s="281">
        <v>1.0</v>
      </c>
      <c r="J112" s="282">
        <v>0.121</v>
      </c>
      <c r="K112" s="283">
        <v>1.0</v>
      </c>
      <c r="L112" s="235" t="s">
        <v>35</v>
      </c>
      <c r="M112" s="274">
        <f>IF(AND(H112&lt;&gt;"", J112&lt;&gt;""), H112-J112, IF(H112&lt;&gt;"", H112-I112*VLOOKUP(A112, BACKEND1!$A:$G,6,FALSE), IF(J112&lt;&gt;"", -J112+K112*VLOOKUP(A112, BACKEND1!$A:$G,6,FALSE),0)))+ (C112+D112-E112)*VLOOKUP(A112, BACKEND1!$A:$G,5,FALSE)+G112
</f>
        <v>0.002</v>
      </c>
      <c r="N112" s="191"/>
      <c r="O112" s="247"/>
    </row>
    <row r="113">
      <c r="A113" s="12" t="s">
        <v>124</v>
      </c>
      <c r="B113" s="12" t="s">
        <v>40</v>
      </c>
      <c r="C113" s="267"/>
      <c r="D113" s="191"/>
      <c r="E113" s="247"/>
      <c r="F113" s="235" t="s">
        <v>35</v>
      </c>
      <c r="G113" s="235"/>
      <c r="H113" s="272">
        <v>0.225</v>
      </c>
      <c r="I113" s="281">
        <v>1.0</v>
      </c>
      <c r="J113" s="282">
        <v>0.2</v>
      </c>
      <c r="K113" s="283">
        <v>1.0</v>
      </c>
      <c r="L113" s="235" t="s">
        <v>35</v>
      </c>
      <c r="M113" s="274">
        <f>IF(AND(H113&lt;&gt;"", J113&lt;&gt;""), H113-J113, IF(H113&lt;&gt;"", H113-I113*VLOOKUP(A113, BACKEND1!$A:$G,6,FALSE), IF(J113&lt;&gt;"", -J113+K113*VLOOKUP(A113, BACKEND1!$A:$G,6,FALSE),0)))+ (C113+D113-E113)*VLOOKUP(A113, BACKEND1!$A:$G,5,FALSE)+G113
</f>
        <v>0.025</v>
      </c>
      <c r="N113" s="191"/>
      <c r="O113" s="247"/>
    </row>
    <row r="114">
      <c r="A114" s="12" t="s">
        <v>125</v>
      </c>
      <c r="B114" s="12" t="s">
        <v>40</v>
      </c>
      <c r="C114" s="267"/>
      <c r="D114" s="191"/>
      <c r="E114" s="247"/>
      <c r="F114" s="235" t="s">
        <v>35</v>
      </c>
      <c r="G114" s="235"/>
      <c r="H114" s="268"/>
      <c r="I114" s="281">
        <v>1.0</v>
      </c>
      <c r="J114" s="284"/>
      <c r="K114" s="283">
        <v>1.0</v>
      </c>
      <c r="L114" s="235" t="s">
        <v>35</v>
      </c>
      <c r="M114" s="274">
        <f>IF(AND(H114&lt;&gt;"", J114&lt;&gt;""), H114-J114, IF(H114&lt;&gt;"", H114-I114*VLOOKUP(A114, BACKEND1!$A:$G,6,FALSE), IF(J114&lt;&gt;"", -J114+K114*VLOOKUP(A114, BACKEND1!$A:$G,6,FALSE),0)))+ (C114+D114-E114)*VLOOKUP(A114, BACKEND1!$A:$G,5,FALSE)+G114
</f>
        <v>0</v>
      </c>
      <c r="N114" s="191"/>
      <c r="O114" s="247"/>
    </row>
    <row r="115">
      <c r="A115" s="12" t="s">
        <v>126</v>
      </c>
      <c r="B115" s="12" t="s">
        <v>40</v>
      </c>
      <c r="C115" s="267"/>
      <c r="D115" s="191"/>
      <c r="E115" s="247"/>
      <c r="F115" s="235" t="s">
        <v>35</v>
      </c>
      <c r="G115" s="235"/>
      <c r="H115" s="272">
        <v>0.172</v>
      </c>
      <c r="I115" s="281">
        <v>1.0</v>
      </c>
      <c r="J115" s="282">
        <v>0.172</v>
      </c>
      <c r="K115" s="283">
        <v>1.0</v>
      </c>
      <c r="L115" s="235" t="s">
        <v>35</v>
      </c>
      <c r="M115" s="274">
        <f>IF(AND(H115&lt;&gt;"", J115&lt;&gt;""), H115-J115, IF(H115&lt;&gt;"", H115-I115*VLOOKUP(A115, BACKEND1!$A:$G,6,FALSE), IF(J115&lt;&gt;"", -J115+K115*VLOOKUP(A115, BACKEND1!$A:$G,6,FALSE),0)))+ (C115+D115-E115)*VLOOKUP(A115, BACKEND1!$A:$G,5,FALSE)+G115
</f>
        <v>0</v>
      </c>
      <c r="N115" s="191"/>
      <c r="O115" s="247"/>
    </row>
    <row r="116">
      <c r="A116" s="12" t="s">
        <v>127</v>
      </c>
      <c r="B116" s="12" t="s">
        <v>40</v>
      </c>
      <c r="C116" s="271">
        <v>1.0</v>
      </c>
      <c r="D116" s="191"/>
      <c r="E116" s="247"/>
      <c r="F116" s="235" t="s">
        <v>35</v>
      </c>
      <c r="G116" s="235"/>
      <c r="H116" s="272"/>
      <c r="I116" s="281">
        <v>1.0</v>
      </c>
      <c r="J116" s="282">
        <v>0.1</v>
      </c>
      <c r="K116" s="283">
        <v>1.0</v>
      </c>
      <c r="L116" s="235" t="s">
        <v>35</v>
      </c>
      <c r="M116" s="274">
        <f>IF(AND(H116&lt;&gt;"", J116&lt;&gt;""), H116-J116, IF(H116&lt;&gt;"", H116-I116*VLOOKUP(A116, BACKEND1!$A:$G,6,FALSE), IF(J116&lt;&gt;"", -J116+K116*VLOOKUP(A116, BACKEND1!$A:$G,6,FALSE),0)))+ (C116+D116-E116)*VLOOKUP(A116, BACKEND1!$A:$G,5,FALSE)+G116
</f>
        <v>0.413</v>
      </c>
      <c r="N116" s="191"/>
      <c r="O116" s="247"/>
    </row>
    <row r="117">
      <c r="A117" s="12" t="s">
        <v>128</v>
      </c>
      <c r="B117" s="12" t="s">
        <v>40</v>
      </c>
      <c r="C117" s="271">
        <v>1.0</v>
      </c>
      <c r="D117" s="191"/>
      <c r="E117" s="247"/>
      <c r="F117" s="235" t="s">
        <v>35</v>
      </c>
      <c r="G117" s="235"/>
      <c r="H117" s="272">
        <v>0.002</v>
      </c>
      <c r="I117" s="281">
        <v>1.0</v>
      </c>
      <c r="J117" s="282">
        <v>0.044</v>
      </c>
      <c r="K117" s="283">
        <v>1.0</v>
      </c>
      <c r="L117" s="235" t="s">
        <v>35</v>
      </c>
      <c r="M117" s="274">
        <f>IF(AND(H117&lt;&gt;"", J117&lt;&gt;""), H117-J117, IF(H117&lt;&gt;"", H117-I117*VLOOKUP(A117, BACKEND1!$A:$G,6,FALSE), IF(J117&lt;&gt;"", -J117+K117*VLOOKUP(A117, BACKEND1!$A:$G,6,FALSE),0)))+ (C117+D117-E117)*VLOOKUP(A117, BACKEND1!$A:$G,5,FALSE)+G117
</f>
        <v>0.008</v>
      </c>
      <c r="N117" s="191"/>
      <c r="O117" s="247"/>
    </row>
    <row r="118">
      <c r="A118" s="12" t="s">
        <v>129</v>
      </c>
      <c r="B118" s="12" t="s">
        <v>40</v>
      </c>
      <c r="C118" s="267"/>
      <c r="D118" s="191"/>
      <c r="E118" s="247"/>
      <c r="F118" s="235" t="s">
        <v>35</v>
      </c>
      <c r="G118" s="235"/>
      <c r="H118" s="272">
        <v>0.266</v>
      </c>
      <c r="I118" s="281">
        <v>1.0</v>
      </c>
      <c r="J118" s="282">
        <v>0.266</v>
      </c>
      <c r="K118" s="283">
        <v>1.0</v>
      </c>
      <c r="L118" s="235" t="s">
        <v>35</v>
      </c>
      <c r="M118" s="274">
        <f>IF(AND(H118&lt;&gt;"", J118&lt;&gt;""), H118-J118, IF(H118&lt;&gt;"", H118-I118*VLOOKUP(A118, BACKEND1!$A:$G,6,FALSE), IF(J118&lt;&gt;"", -J118+K118*VLOOKUP(A118, BACKEND1!$A:$G,6,FALSE),0)))+ (C118+D118-E118)*VLOOKUP(A118, BACKEND1!$A:$G,5,FALSE)+G118
</f>
        <v>0</v>
      </c>
      <c r="N118" s="191"/>
      <c r="O118" s="247"/>
    </row>
    <row r="119">
      <c r="A119" s="12" t="s">
        <v>130</v>
      </c>
      <c r="B119" s="12" t="s">
        <v>40</v>
      </c>
      <c r="C119" s="267"/>
      <c r="D119" s="191"/>
      <c r="E119" s="247"/>
      <c r="F119" s="235" t="s">
        <v>35</v>
      </c>
      <c r="G119" s="235"/>
      <c r="H119" s="272">
        <v>0.481</v>
      </c>
      <c r="I119" s="281">
        <v>1.0</v>
      </c>
      <c r="J119" s="282">
        <v>0.481</v>
      </c>
      <c r="K119" s="283">
        <v>1.0</v>
      </c>
      <c r="L119" s="235" t="s">
        <v>35</v>
      </c>
      <c r="M119" s="274">
        <f>IF(AND(H119&lt;&gt;"", J119&lt;&gt;""), H119-J119, IF(H119&lt;&gt;"", H119-I119*VLOOKUP(A119, BACKEND1!$A:$G,6,FALSE), IF(J119&lt;&gt;"", -J119+K119*VLOOKUP(A119, BACKEND1!$A:$G,6,FALSE),0)))+ (C119+D119-E119)*VLOOKUP(A119, BACKEND1!$A:$G,5,FALSE)+G119
</f>
        <v>0</v>
      </c>
      <c r="N119" s="191"/>
      <c r="O119" s="247"/>
    </row>
    <row r="120">
      <c r="A120" s="12" t="s">
        <v>131</v>
      </c>
      <c r="B120" s="12" t="s">
        <v>40</v>
      </c>
      <c r="C120" s="267"/>
      <c r="D120" s="191"/>
      <c r="E120" s="247"/>
      <c r="F120" s="235" t="s">
        <v>35</v>
      </c>
      <c r="G120" s="235"/>
      <c r="H120" s="272">
        <v>0.123</v>
      </c>
      <c r="I120" s="281">
        <v>1.0</v>
      </c>
      <c r="J120" s="282">
        <v>0.1</v>
      </c>
      <c r="K120" s="283">
        <v>1.0</v>
      </c>
      <c r="L120" s="235" t="s">
        <v>35</v>
      </c>
      <c r="M120" s="274">
        <f>IF(AND(H120&lt;&gt;"", J120&lt;&gt;""), H120-J120, IF(H120&lt;&gt;"", H120-I120*VLOOKUP(A120, BACKEND1!$A:$G,6,FALSE), IF(J120&lt;&gt;"", -J120+K120*VLOOKUP(A120, BACKEND1!$A:$G,6,FALSE),0)))+ (C120+D120-E120)*VLOOKUP(A120, BACKEND1!$A:$G,5,FALSE)+G120
</f>
        <v>0.023</v>
      </c>
      <c r="N120" s="191"/>
      <c r="O120" s="247"/>
    </row>
    <row r="121">
      <c r="A121" s="12" t="s">
        <v>132</v>
      </c>
      <c r="B121" s="12" t="s">
        <v>40</v>
      </c>
      <c r="C121" s="267"/>
      <c r="D121" s="191"/>
      <c r="E121" s="247"/>
      <c r="F121" s="235" t="s">
        <v>35</v>
      </c>
      <c r="G121" s="235"/>
      <c r="H121" s="272">
        <v>0.247</v>
      </c>
      <c r="I121" s="281">
        <v>1.0</v>
      </c>
      <c r="J121" s="282">
        <v>0.245</v>
      </c>
      <c r="K121" s="283">
        <v>1.0</v>
      </c>
      <c r="L121" s="235" t="s">
        <v>35</v>
      </c>
      <c r="M121" s="274">
        <f>IF(AND(H121&lt;&gt;"", J121&lt;&gt;""), H121-J121, IF(H121&lt;&gt;"", H121-I121*VLOOKUP(A121, BACKEND1!$A:$G,6,FALSE), IF(J121&lt;&gt;"", -J121+K121*VLOOKUP(A121, BACKEND1!$A:$G,6,FALSE),0)))+ (C121+D121-E121)*VLOOKUP(A121, BACKEND1!$A:$G,5,FALSE)+G121
</f>
        <v>0.002</v>
      </c>
      <c r="N121" s="191"/>
      <c r="O121" s="247"/>
    </row>
    <row r="122">
      <c r="A122" s="12" t="s">
        <v>133</v>
      </c>
      <c r="B122" s="12" t="s">
        <v>40</v>
      </c>
      <c r="C122" s="267"/>
      <c r="D122" s="191"/>
      <c r="E122" s="247"/>
      <c r="F122" s="235" t="s">
        <v>35</v>
      </c>
      <c r="G122" s="235"/>
      <c r="H122" s="272">
        <v>0.034</v>
      </c>
      <c r="I122" s="281">
        <v>1.0</v>
      </c>
      <c r="J122" s="282">
        <v>0.033</v>
      </c>
      <c r="K122" s="283">
        <v>1.0</v>
      </c>
      <c r="L122" s="235" t="s">
        <v>35</v>
      </c>
      <c r="M122" s="274">
        <f>IF(AND(H122&lt;&gt;"", J122&lt;&gt;""), H122-J122, IF(H122&lt;&gt;"", H122-I122*VLOOKUP(A122, BACKEND1!$A:$G,6,FALSE), IF(J122&lt;&gt;"", -J122+K122*VLOOKUP(A122, BACKEND1!$A:$G,6,FALSE),0)))+ (C122+D122-E122)*VLOOKUP(A122, BACKEND1!$A:$G,5,FALSE)+G122
</f>
        <v>0.001</v>
      </c>
      <c r="N122" s="191"/>
      <c r="O122" s="247"/>
    </row>
    <row r="123">
      <c r="A123" s="12" t="s">
        <v>134</v>
      </c>
      <c r="B123" s="12" t="s">
        <v>40</v>
      </c>
      <c r="C123" s="267"/>
      <c r="D123" s="191"/>
      <c r="E123" s="247"/>
      <c r="F123" s="235" t="s">
        <v>35</v>
      </c>
      <c r="G123" s="235"/>
      <c r="H123" s="268"/>
      <c r="I123" s="281">
        <v>1.0</v>
      </c>
      <c r="J123" s="284"/>
      <c r="K123" s="283">
        <v>1.0</v>
      </c>
      <c r="L123" s="235" t="s">
        <v>35</v>
      </c>
      <c r="M123" s="274">
        <f>IF(AND(H123&lt;&gt;"", J123&lt;&gt;""), H123-J123, IF(H123&lt;&gt;"", H123-I123*VLOOKUP(A123, BACKEND1!$A:$G,6,FALSE), IF(J123&lt;&gt;"", -J123+K123*VLOOKUP(A123, BACKEND1!$A:$G,6,FALSE),0)))+ (C123+D123-E123)*VLOOKUP(A123, BACKEND1!$A:$G,5,FALSE)+G123
</f>
        <v>0</v>
      </c>
      <c r="N123" s="191"/>
      <c r="O123" s="247"/>
    </row>
    <row r="124">
      <c r="A124" s="12" t="s">
        <v>135</v>
      </c>
      <c r="B124" s="12" t="s">
        <v>136</v>
      </c>
      <c r="C124" s="267"/>
      <c r="D124" s="191"/>
      <c r="E124" s="247"/>
      <c r="F124" s="235" t="s">
        <v>35</v>
      </c>
      <c r="G124" s="235"/>
      <c r="H124" s="268"/>
      <c r="I124" s="281">
        <v>1.0</v>
      </c>
      <c r="J124" s="284"/>
      <c r="K124" s="283">
        <v>1.0</v>
      </c>
      <c r="L124" s="235" t="s">
        <v>35</v>
      </c>
      <c r="M124" s="274">
        <f>IF(AND(H124&lt;&gt;"", J124&lt;&gt;""), H124-J124, IF(H124&lt;&gt;"", H124-I124*VLOOKUP(A124, BACKEND1!$A:$G,6,FALSE), IF(J124&lt;&gt;"", -J124+K124*VLOOKUP(A124, BACKEND1!$A:$G,6,FALSE),0)))+ (C124+D124-E124)*VLOOKUP(A124, BACKEND1!$A:$G,5,FALSE)+G124
</f>
        <v>0</v>
      </c>
      <c r="N124" s="191"/>
      <c r="O124" s="247"/>
    </row>
    <row r="125">
      <c r="A125" s="15" t="s">
        <v>138</v>
      </c>
      <c r="B125" s="15" t="s">
        <v>139</v>
      </c>
      <c r="C125" s="267"/>
      <c r="D125" s="191"/>
      <c r="E125" s="247"/>
      <c r="F125" s="285" t="s">
        <v>35</v>
      </c>
      <c r="G125" s="235"/>
      <c r="H125" s="268"/>
      <c r="I125" s="281">
        <v>1.0</v>
      </c>
      <c r="J125" s="284"/>
      <c r="K125" s="283">
        <v>1.0</v>
      </c>
      <c r="L125" s="285" t="s">
        <v>35</v>
      </c>
      <c r="M125" s="274">
        <f>IF(AND(H125&lt;&gt;"", J125&lt;&gt;""), H125-J125, IF(H125&lt;&gt;"", H125-I125*VLOOKUP(A125, BACKEND1!$A:$G,6,FALSE), IF(J125&lt;&gt;"", -J125+K125*VLOOKUP(A125, BACKEND1!$A:$G,6,FALSE),0)))+ (C125+D125-E125)*VLOOKUP(A125, BACKEND1!$A:$G,5,FALSE)+G125
</f>
        <v>0</v>
      </c>
      <c r="N125" s="191"/>
      <c r="O125" s="247"/>
    </row>
    <row r="126">
      <c r="A126" s="21" t="s">
        <v>143</v>
      </c>
      <c r="B126" s="15" t="s">
        <v>40</v>
      </c>
      <c r="C126" s="267"/>
      <c r="D126" s="191"/>
      <c r="E126" s="247"/>
      <c r="F126" s="285" t="s">
        <v>35</v>
      </c>
      <c r="G126" s="235"/>
      <c r="H126" s="268"/>
      <c r="I126" s="281">
        <v>1.0</v>
      </c>
      <c r="J126" s="284"/>
      <c r="K126" s="283">
        <v>1.0</v>
      </c>
      <c r="L126" s="285" t="s">
        <v>35</v>
      </c>
      <c r="M126" s="274">
        <f>IF(AND(H126&lt;&gt;"", J126&lt;&gt;""), H126-J126, IF(H126&lt;&gt;"", H126-I126*VLOOKUP(A126, BACKEND1!$A:$G,6,FALSE), IF(J126&lt;&gt;"", -J126+K126*VLOOKUP(A126, BACKEND1!$A:$G,6,FALSE),0)))+ (C126+D126-E126)*VLOOKUP(A126, BACKEND1!$A:$G,5,FALSE)+G126
</f>
        <v>0</v>
      </c>
      <c r="N126" s="191"/>
      <c r="O126" s="247"/>
    </row>
    <row r="127">
      <c r="A127" s="10" t="s">
        <v>146</v>
      </c>
      <c r="B127" s="11"/>
      <c r="C127" s="267"/>
      <c r="D127" s="191"/>
      <c r="E127" s="247"/>
      <c r="F127" s="235"/>
      <c r="G127" s="235"/>
      <c r="H127" s="268"/>
      <c r="I127" s="281">
        <v>1.0</v>
      </c>
      <c r="J127" s="284"/>
      <c r="K127" s="283">
        <v>1.0</v>
      </c>
      <c r="L127" s="235"/>
      <c r="M127" s="274">
        <f>IF(AND(H127&lt;&gt;"", J127&lt;&gt;""), H127-J127, IF(H127&lt;&gt;"", H127-I127*VLOOKUP(A127, BACKEND1!$A:$G,6,FALSE), IF(J127&lt;&gt;"", -J127+K127*VLOOKUP(A127, BACKEND1!$A:$G,6,FALSE),0)))+ (C127+D127-E127)*VLOOKUP(A127, BACKEND1!$A:$G,5,FALSE)+G127
</f>
        <v>0</v>
      </c>
      <c r="N127" s="191"/>
      <c r="O127" s="247"/>
    </row>
    <row r="128">
      <c r="A128" s="12" t="s">
        <v>147</v>
      </c>
      <c r="B128" s="12" t="s">
        <v>40</v>
      </c>
      <c r="C128" s="267"/>
      <c r="D128" s="191"/>
      <c r="E128" s="247"/>
      <c r="F128" s="235" t="s">
        <v>35</v>
      </c>
      <c r="G128" s="235"/>
      <c r="H128" s="268"/>
      <c r="I128" s="281">
        <v>1.0</v>
      </c>
      <c r="J128" s="284"/>
      <c r="K128" s="283">
        <v>1.0</v>
      </c>
      <c r="L128" s="235" t="s">
        <v>35</v>
      </c>
      <c r="M128" s="274">
        <f>IF(AND(H128&lt;&gt;"", J128&lt;&gt;""), H128-J128, IF(H128&lt;&gt;"", H128-I128*VLOOKUP(A128, BACKEND1!$A:$G,6,FALSE), IF(J128&lt;&gt;"", -J128+K128*VLOOKUP(A128, BACKEND1!$A:$G,6,FALSE),0)))+ (C128+D128-E128)*VLOOKUP(A128, BACKEND1!$A:$G,5,FALSE)+G128
</f>
        <v>0</v>
      </c>
      <c r="N128" s="191"/>
      <c r="O128" s="247"/>
    </row>
    <row r="129">
      <c r="A129" s="12" t="s">
        <v>148</v>
      </c>
      <c r="B129" s="12" t="s">
        <v>35</v>
      </c>
      <c r="C129" s="267"/>
      <c r="D129" s="191"/>
      <c r="E129" s="247"/>
      <c r="F129" s="235" t="s">
        <v>35</v>
      </c>
      <c r="G129" s="235"/>
      <c r="H129" s="272">
        <v>1.0</v>
      </c>
      <c r="I129" s="281">
        <v>1.0</v>
      </c>
      <c r="J129" s="282">
        <v>1.0</v>
      </c>
      <c r="K129" s="283">
        <v>1.0</v>
      </c>
      <c r="L129" s="235" t="s">
        <v>35</v>
      </c>
      <c r="M129" s="274">
        <f>IF(AND(H129&lt;&gt;"", J129&lt;&gt;""), H129-J129, IF(H129&lt;&gt;"", H129-I129*VLOOKUP(A129, BACKEND1!$A:$G,6,FALSE), IF(J129&lt;&gt;"", -J129+K129*VLOOKUP(A129, BACKEND1!$A:$G,6,FALSE),0)))+ (C129+D129-E129)*VLOOKUP(A129, BACKEND1!$A:$G,5,FALSE)+G129
</f>
        <v>0</v>
      </c>
      <c r="N129" s="191"/>
      <c r="O129" s="247"/>
    </row>
    <row r="130">
      <c r="A130" s="12" t="s">
        <v>149</v>
      </c>
      <c r="B130" s="12" t="s">
        <v>40</v>
      </c>
      <c r="C130" s="267"/>
      <c r="D130" s="191"/>
      <c r="E130" s="247"/>
      <c r="F130" s="235" t="s">
        <v>35</v>
      </c>
      <c r="G130" s="235"/>
      <c r="H130" s="272">
        <v>0.435</v>
      </c>
      <c r="I130" s="281">
        <v>1.0</v>
      </c>
      <c r="J130" s="282">
        <v>0.435</v>
      </c>
      <c r="K130" s="283">
        <v>1.0</v>
      </c>
      <c r="L130" s="235" t="s">
        <v>35</v>
      </c>
      <c r="M130" s="274">
        <f>IF(AND(H130&lt;&gt;"", J130&lt;&gt;""), H130-J130, IF(H130&lt;&gt;"", H130-I130*VLOOKUP(A130, BACKEND1!$A:$G,6,FALSE), IF(J130&lt;&gt;"", -J130+K130*VLOOKUP(A130, BACKEND1!$A:$G,6,FALSE),0)))+ (C130+D130-E130)*VLOOKUP(A130, BACKEND1!$A:$G,5,FALSE)+G130
</f>
        <v>0</v>
      </c>
      <c r="N130" s="191"/>
      <c r="O130" s="247"/>
    </row>
    <row r="131">
      <c r="A131" s="12" t="s">
        <v>150</v>
      </c>
      <c r="B131" s="12" t="s">
        <v>24</v>
      </c>
      <c r="C131" s="267"/>
      <c r="D131" s="191"/>
      <c r="E131" s="247"/>
      <c r="F131" s="235" t="s">
        <v>25</v>
      </c>
      <c r="G131" s="235"/>
      <c r="H131" s="268"/>
      <c r="I131" s="281">
        <v>1.0</v>
      </c>
      <c r="J131" s="284"/>
      <c r="K131" s="283">
        <v>1.0</v>
      </c>
      <c r="L131" s="235" t="s">
        <v>25</v>
      </c>
      <c r="M131" s="274">
        <f>IF(AND(H131&lt;&gt;"", J131&lt;&gt;""), H131-J131, IF(H131&lt;&gt;"", H131-I131*VLOOKUP(A131, BACKEND1!$A:$G,6,FALSE), IF(J131&lt;&gt;"", -J131+K131*VLOOKUP(A131, BACKEND1!$A:$G,6,FALSE),0)))+ (C131+D131-E131)*VLOOKUP(A131, BACKEND1!$A:$G,5,FALSE)+G131
</f>
        <v>0</v>
      </c>
      <c r="N131" s="191"/>
      <c r="O131" s="247"/>
    </row>
    <row r="132">
      <c r="A132" s="10" t="s">
        <v>151</v>
      </c>
      <c r="B132" s="11"/>
      <c r="C132" s="267"/>
      <c r="D132" s="191"/>
      <c r="E132" s="247"/>
      <c r="F132" s="235"/>
      <c r="G132" s="235"/>
      <c r="H132" s="268"/>
      <c r="I132" s="281">
        <v>1.0</v>
      </c>
      <c r="J132" s="284"/>
      <c r="K132" s="283">
        <v>1.0</v>
      </c>
      <c r="L132" s="235"/>
      <c r="M132" s="274">
        <f>IF(AND(H132&lt;&gt;"", J132&lt;&gt;""), H132-J132, IF(H132&lt;&gt;"", H132-I132*VLOOKUP(A132, BACKEND1!$A:$G,6,FALSE), IF(J132&lt;&gt;"", -J132+K132*VLOOKUP(A132, BACKEND1!$A:$G,6,FALSE),0)))+ (C132+D132-E132)*VLOOKUP(A132, BACKEND1!$A:$G,5,FALSE)+G132
</f>
        <v>0</v>
      </c>
      <c r="N132" s="191"/>
      <c r="O132" s="247"/>
    </row>
    <row r="133">
      <c r="A133" s="12" t="s">
        <v>152</v>
      </c>
      <c r="B133" s="12" t="s">
        <v>106</v>
      </c>
      <c r="C133" s="267"/>
      <c r="D133" s="227">
        <v>1.0</v>
      </c>
      <c r="E133" s="247"/>
      <c r="F133" s="235" t="s">
        <v>35</v>
      </c>
      <c r="G133" s="235"/>
      <c r="H133" s="272"/>
      <c r="I133" s="281">
        <v>1.0</v>
      </c>
      <c r="J133" s="284"/>
      <c r="K133" s="283">
        <v>1.0</v>
      </c>
      <c r="L133" s="235" t="s">
        <v>35</v>
      </c>
      <c r="M133" s="274">
        <f>IF(AND(H133&lt;&gt;"", J133&lt;&gt;""), H133-J133, IF(H133&lt;&gt;"", H133-I133*VLOOKUP(A133, BACKEND1!$A:$G,6,FALSE), IF(J133&lt;&gt;"", -J133+K133*VLOOKUP(A133, BACKEND1!$A:$G,6,FALSE),0)))+ (C133+D133-E133)*VLOOKUP(A133, BACKEND1!$A:$G,5,FALSE)+G133
</f>
        <v>0.2</v>
      </c>
      <c r="N133" s="191"/>
      <c r="O133" s="247"/>
    </row>
    <row r="134">
      <c r="A134" s="12" t="s">
        <v>154</v>
      </c>
      <c r="B134" s="12" t="s">
        <v>155</v>
      </c>
      <c r="C134" s="267"/>
      <c r="D134" s="191"/>
      <c r="E134" s="247"/>
      <c r="F134" s="235" t="s">
        <v>35</v>
      </c>
      <c r="G134" s="235"/>
      <c r="H134" s="268"/>
      <c r="I134" s="281">
        <v>1.0</v>
      </c>
      <c r="J134" s="284"/>
      <c r="K134" s="283">
        <v>1.0</v>
      </c>
      <c r="L134" s="235" t="s">
        <v>35</v>
      </c>
      <c r="M134" s="274">
        <f>IF(AND(H134&lt;&gt;"", J134&lt;&gt;""), H134-J134, IF(H134&lt;&gt;"", H134-I134*VLOOKUP(A134, BACKEND1!$A:$G,6,FALSE), IF(J134&lt;&gt;"", -J134+K134*VLOOKUP(A134, BACKEND1!$A:$G,6,FALSE),0)))+ (C134+D134-E134)*VLOOKUP(A134, BACKEND1!$A:$G,5,FALSE)+G134
</f>
        <v>0</v>
      </c>
      <c r="N134" s="191"/>
      <c r="O134" s="247"/>
    </row>
    <row r="135">
      <c r="A135" s="12" t="s">
        <v>157</v>
      </c>
      <c r="B135" s="12" t="s">
        <v>34</v>
      </c>
      <c r="C135" s="271"/>
      <c r="D135" s="227">
        <v>1.0</v>
      </c>
      <c r="E135" s="280">
        <v>1.0</v>
      </c>
      <c r="F135" s="235" t="s">
        <v>35</v>
      </c>
      <c r="G135" s="235"/>
      <c r="H135" s="272">
        <v>0.372</v>
      </c>
      <c r="I135" s="281">
        <v>1.0</v>
      </c>
      <c r="J135" s="282">
        <v>0.26</v>
      </c>
      <c r="K135" s="283">
        <v>1.0</v>
      </c>
      <c r="L135" s="235" t="s">
        <v>35</v>
      </c>
      <c r="M135" s="274">
        <f>IF(AND(H135&lt;&gt;"", J135&lt;&gt;""), H135-J135, IF(H135&lt;&gt;"", H135-I135*VLOOKUP(A135, BACKEND1!$A:$G,6,FALSE), IF(J135&lt;&gt;"", -J135+K135*VLOOKUP(A135, BACKEND1!$A:$G,6,FALSE),0)))+ (C135+D135-E135)*VLOOKUP(A135, BACKEND1!$A:$G,5,FALSE)+G135
</f>
        <v>0.112</v>
      </c>
      <c r="N135" s="191"/>
      <c r="O135" s="247"/>
    </row>
    <row r="136">
      <c r="A136" s="12" t="s">
        <v>158</v>
      </c>
      <c r="B136" s="12" t="s">
        <v>34</v>
      </c>
      <c r="C136" s="271"/>
      <c r="D136" s="191"/>
      <c r="E136" s="247"/>
      <c r="F136" s="235" t="s">
        <v>35</v>
      </c>
      <c r="G136" s="235"/>
      <c r="H136" s="272">
        <v>0.285</v>
      </c>
      <c r="I136" s="281">
        <v>1.0</v>
      </c>
      <c r="J136" s="284"/>
      <c r="K136" s="283">
        <v>1.0</v>
      </c>
      <c r="L136" s="235" t="s">
        <v>35</v>
      </c>
      <c r="M136" s="274">
        <f>IF(AND(H136&lt;&gt;"", J136&lt;&gt;""), H136-J136, IF(H136&lt;&gt;"", H136-I136*VLOOKUP(A136, BACKEND1!$A:$G,6,FALSE), IF(J136&lt;&gt;"", -J136+K136*VLOOKUP(A136, BACKEND1!$A:$G,6,FALSE),0)))+ (C136+D136-E136)*VLOOKUP(A136, BACKEND1!$A:$G,5,FALSE)+G136
</f>
        <v>0.229</v>
      </c>
      <c r="N136" s="191"/>
      <c r="O136" s="247"/>
    </row>
    <row r="137">
      <c r="A137" s="12" t="s">
        <v>159</v>
      </c>
      <c r="B137" s="12" t="s">
        <v>34</v>
      </c>
      <c r="C137" s="267"/>
      <c r="D137" s="191"/>
      <c r="E137" s="247"/>
      <c r="F137" s="235" t="s">
        <v>35</v>
      </c>
      <c r="G137" s="235"/>
      <c r="H137" s="268"/>
      <c r="I137" s="281">
        <v>1.0</v>
      </c>
      <c r="J137" s="284"/>
      <c r="K137" s="283">
        <v>1.0</v>
      </c>
      <c r="L137" s="235" t="s">
        <v>35</v>
      </c>
      <c r="M137" s="274">
        <f>IF(AND(H137&lt;&gt;"", J137&lt;&gt;""), H137-J137, IF(H137&lt;&gt;"", H137-I137*VLOOKUP(A137, BACKEND1!$A:$G,6,FALSE), IF(J137&lt;&gt;"", -J137+K137*VLOOKUP(A137, BACKEND1!$A:$G,6,FALSE),0)))+ (C137+D137-E137)*VLOOKUP(A137, BACKEND1!$A:$G,5,FALSE)+G137
</f>
        <v>0</v>
      </c>
      <c r="N137" s="191"/>
      <c r="O137" s="247"/>
    </row>
    <row r="138">
      <c r="A138" s="12" t="s">
        <v>160</v>
      </c>
      <c r="B138" s="12" t="s">
        <v>34</v>
      </c>
      <c r="C138" s="267"/>
      <c r="D138" s="191"/>
      <c r="E138" s="247"/>
      <c r="F138" s="235" t="s">
        <v>35</v>
      </c>
      <c r="G138" s="235"/>
      <c r="H138" s="272">
        <v>0.506</v>
      </c>
      <c r="I138" s="281">
        <v>1.0</v>
      </c>
      <c r="J138" s="282">
        <v>0.5</v>
      </c>
      <c r="K138" s="283">
        <v>1.0</v>
      </c>
      <c r="L138" s="235" t="s">
        <v>35</v>
      </c>
      <c r="M138" s="274">
        <f>IF(AND(H138&lt;&gt;"", J138&lt;&gt;""), H138-J138, IF(H138&lt;&gt;"", H138-I138*VLOOKUP(A138, BACKEND1!$A:$G,6,FALSE), IF(J138&lt;&gt;"", -J138+K138*VLOOKUP(A138, BACKEND1!$A:$G,6,FALSE),0)))+ (C138+D138-E138)*VLOOKUP(A138, BACKEND1!$A:$G,5,FALSE)+G138
</f>
        <v>0.006</v>
      </c>
      <c r="N138" s="191"/>
      <c r="O138" s="247"/>
    </row>
    <row r="139">
      <c r="A139" s="12" t="s">
        <v>161</v>
      </c>
      <c r="B139" s="12" t="s">
        <v>34</v>
      </c>
      <c r="C139" s="267"/>
      <c r="D139" s="191"/>
      <c r="E139" s="247"/>
      <c r="F139" s="235" t="s">
        <v>35</v>
      </c>
      <c r="G139" s="235"/>
      <c r="H139" s="272">
        <v>0.433</v>
      </c>
      <c r="I139" s="281">
        <v>1.0</v>
      </c>
      <c r="J139" s="282">
        <v>0.429</v>
      </c>
      <c r="K139" s="283">
        <v>1.0</v>
      </c>
      <c r="L139" s="235" t="s">
        <v>35</v>
      </c>
      <c r="M139" s="274">
        <f>IF(AND(H139&lt;&gt;"", J139&lt;&gt;""), H139-J139, IF(H139&lt;&gt;"", H139-I139*VLOOKUP(A139, BACKEND1!$A:$G,6,FALSE), IF(J139&lt;&gt;"", -J139+K139*VLOOKUP(A139, BACKEND1!$A:$G,6,FALSE),0)))+ (C139+D139-E139)*VLOOKUP(A139, BACKEND1!$A:$G,5,FALSE)+G139
</f>
        <v>0.004</v>
      </c>
      <c r="N139" s="191"/>
      <c r="O139" s="247"/>
    </row>
    <row r="140">
      <c r="A140" s="12" t="s">
        <v>162</v>
      </c>
      <c r="B140" s="12" t="s">
        <v>34</v>
      </c>
      <c r="C140" s="267"/>
      <c r="D140" s="191"/>
      <c r="E140" s="247"/>
      <c r="F140" s="235" t="s">
        <v>35</v>
      </c>
      <c r="G140" s="235"/>
      <c r="H140" s="272">
        <v>0.392</v>
      </c>
      <c r="I140" s="281">
        <v>1.0</v>
      </c>
      <c r="J140" s="282">
        <v>0.391</v>
      </c>
      <c r="K140" s="283">
        <v>1.0</v>
      </c>
      <c r="L140" s="235" t="s">
        <v>35</v>
      </c>
      <c r="M140" s="274">
        <f>IF(AND(H140&lt;&gt;"", J140&lt;&gt;""), H140-J140, IF(H140&lt;&gt;"", H140-I140*VLOOKUP(A140, BACKEND1!$A:$G,6,FALSE), IF(J140&lt;&gt;"", -J140+K140*VLOOKUP(A140, BACKEND1!$A:$G,6,FALSE),0)))+ (C140+D140-E140)*VLOOKUP(A140, BACKEND1!$A:$G,5,FALSE)+G140
</f>
        <v>0.001</v>
      </c>
      <c r="N140" s="191"/>
      <c r="O140" s="247"/>
    </row>
    <row r="141">
      <c r="A141" s="12" t="s">
        <v>163</v>
      </c>
      <c r="B141" s="12" t="s">
        <v>34</v>
      </c>
      <c r="C141" s="267"/>
      <c r="D141" s="191"/>
      <c r="E141" s="247"/>
      <c r="F141" s="235" t="s">
        <v>35</v>
      </c>
      <c r="G141" s="235"/>
      <c r="H141" s="272">
        <v>0.663</v>
      </c>
      <c r="I141" s="281">
        <v>1.0</v>
      </c>
      <c r="J141" s="282">
        <v>0.647</v>
      </c>
      <c r="K141" s="283">
        <v>1.0</v>
      </c>
      <c r="L141" s="235" t="s">
        <v>35</v>
      </c>
      <c r="M141" s="274">
        <f>IF(AND(H141&lt;&gt;"", J141&lt;&gt;""), H141-J141, IF(H141&lt;&gt;"", H141-I141*VLOOKUP(A141, BACKEND1!$A:$G,6,FALSE), IF(J141&lt;&gt;"", -J141+K141*VLOOKUP(A141, BACKEND1!$A:$G,6,FALSE),0)))+ (C141+D141-E141)*VLOOKUP(A141, BACKEND1!$A:$G,5,FALSE)+G141
</f>
        <v>0.016</v>
      </c>
      <c r="N141" s="191"/>
      <c r="O141" s="247"/>
    </row>
    <row r="142">
      <c r="A142" s="12" t="s">
        <v>164</v>
      </c>
      <c r="B142" s="12" t="s">
        <v>155</v>
      </c>
      <c r="C142" s="271"/>
      <c r="D142" s="191"/>
      <c r="E142" s="247"/>
      <c r="F142" s="235" t="s">
        <v>35</v>
      </c>
      <c r="G142" s="235"/>
      <c r="H142" s="272">
        <v>0.306</v>
      </c>
      <c r="I142" s="281">
        <v>1.0</v>
      </c>
      <c r="J142" s="282">
        <v>0.171</v>
      </c>
      <c r="K142" s="283">
        <v>1.0</v>
      </c>
      <c r="L142" s="235" t="s">
        <v>35</v>
      </c>
      <c r="M142" s="274">
        <f>IF(AND(H142&lt;&gt;"", J142&lt;&gt;""), H142-J142, IF(H142&lt;&gt;"", H142-I142*VLOOKUP(A142, BACKEND1!$A:$G,6,FALSE), IF(J142&lt;&gt;"", -J142+K142*VLOOKUP(A142, BACKEND1!$A:$G,6,FALSE),0)))+ (C142+D142-E142)*VLOOKUP(A142, BACKEND1!$A:$G,5,FALSE)+G142
</f>
        <v>0.135</v>
      </c>
      <c r="N142" s="191"/>
      <c r="O142" s="247"/>
    </row>
    <row r="143">
      <c r="A143" s="12" t="s">
        <v>165</v>
      </c>
      <c r="B143" s="12" t="s">
        <v>155</v>
      </c>
      <c r="C143" s="267"/>
      <c r="D143" s="191"/>
      <c r="E143" s="247"/>
      <c r="F143" s="235" t="s">
        <v>35</v>
      </c>
      <c r="G143" s="235"/>
      <c r="H143" s="268"/>
      <c r="I143" s="281">
        <v>1.0</v>
      </c>
      <c r="J143" s="284"/>
      <c r="K143" s="283">
        <v>1.0</v>
      </c>
      <c r="L143" s="235" t="s">
        <v>35</v>
      </c>
      <c r="M143" s="274">
        <f>IF(AND(H143&lt;&gt;"", J143&lt;&gt;""), H143-J143, IF(H143&lt;&gt;"", H143-I143*VLOOKUP(A143, BACKEND1!$A:$G,6,FALSE), IF(J143&lt;&gt;"", -J143+K143*VLOOKUP(A143, BACKEND1!$A:$G,6,FALSE),0)))+ (C143+D143-E143)*VLOOKUP(A143, BACKEND1!$A:$G,5,FALSE)+G143
</f>
        <v>0</v>
      </c>
      <c r="N143" s="191"/>
      <c r="O143" s="247"/>
    </row>
    <row r="144">
      <c r="A144" s="12" t="s">
        <v>166</v>
      </c>
      <c r="B144" s="12" t="s">
        <v>106</v>
      </c>
      <c r="C144" s="267"/>
      <c r="D144" s="191"/>
      <c r="E144" s="247"/>
      <c r="F144" s="235" t="s">
        <v>35</v>
      </c>
      <c r="G144" s="235"/>
      <c r="H144" s="272"/>
      <c r="I144" s="281">
        <v>1.0</v>
      </c>
      <c r="J144" s="284"/>
      <c r="K144" s="283">
        <v>1.0</v>
      </c>
      <c r="L144" s="235" t="s">
        <v>35</v>
      </c>
      <c r="M144" s="274">
        <f>IF(AND(H144&lt;&gt;"", J144&lt;&gt;""), H144-J144, IF(H144&lt;&gt;"", H144-I144*VLOOKUP(A144, BACKEND1!$A:$G,6,FALSE), IF(J144&lt;&gt;"", -J144+K144*VLOOKUP(A144, BACKEND1!$A:$G,6,FALSE),0)))+ (C144+D144-E144)*VLOOKUP(A144, BACKEND1!$A:$G,5,FALSE)+G144
</f>
        <v>0</v>
      </c>
      <c r="N144" s="191"/>
      <c r="O144" s="247"/>
    </row>
    <row r="145">
      <c r="A145" s="12" t="s">
        <v>167</v>
      </c>
      <c r="B145" s="12" t="s">
        <v>106</v>
      </c>
      <c r="C145" s="267"/>
      <c r="D145" s="191"/>
      <c r="E145" s="247"/>
      <c r="F145" s="235" t="s">
        <v>35</v>
      </c>
      <c r="G145" s="235"/>
      <c r="H145" s="272">
        <v>0.64</v>
      </c>
      <c r="I145" s="281">
        <v>1.0</v>
      </c>
      <c r="J145" s="282">
        <v>0.64</v>
      </c>
      <c r="K145" s="283">
        <v>1.0</v>
      </c>
      <c r="L145" s="235" t="s">
        <v>35</v>
      </c>
      <c r="M145" s="274">
        <f>IF(AND(H145&lt;&gt;"", J145&lt;&gt;""), H145-J145, IF(H145&lt;&gt;"", H145-I145*VLOOKUP(A145, BACKEND1!$A:$G,6,FALSE), IF(J145&lt;&gt;"", -J145+K145*VLOOKUP(A145, BACKEND1!$A:$G,6,FALSE),0)))+ (C145+D145-E145)*VLOOKUP(A145, BACKEND1!$A:$G,5,FALSE)+G145
</f>
        <v>0</v>
      </c>
      <c r="N145" s="191"/>
      <c r="O145" s="247"/>
    </row>
    <row r="146">
      <c r="A146" s="12" t="s">
        <v>168</v>
      </c>
      <c r="B146" s="12" t="s">
        <v>17</v>
      </c>
      <c r="C146" s="267"/>
      <c r="D146" s="227">
        <v>1.0</v>
      </c>
      <c r="E146" s="247"/>
      <c r="F146" s="235" t="s">
        <v>35</v>
      </c>
      <c r="G146" s="235"/>
      <c r="H146" s="272">
        <v>0.185</v>
      </c>
      <c r="I146" s="281">
        <v>1.0</v>
      </c>
      <c r="J146" s="284"/>
      <c r="K146" s="283">
        <v>1.0</v>
      </c>
      <c r="L146" s="235" t="s">
        <v>35</v>
      </c>
      <c r="M146" s="274">
        <f>IF(AND(H146&lt;&gt;"", J146&lt;&gt;""), H146-J146, IF(H146&lt;&gt;"", H146-I146*VLOOKUP(A146, BACKEND1!$A:$G,6,FALSE), IF(J146&lt;&gt;"", -J146+K146*VLOOKUP(A146, BACKEND1!$A:$G,6,FALSE),0)))+ (C146+D146-E146)*VLOOKUP(A146, BACKEND1!$A:$G,5,FALSE)+G146
</f>
        <v>0.67</v>
      </c>
      <c r="N146" s="191"/>
      <c r="O146" s="247"/>
    </row>
    <row r="147">
      <c r="A147" s="12" t="s">
        <v>169</v>
      </c>
      <c r="B147" s="12" t="s">
        <v>106</v>
      </c>
      <c r="C147" s="267"/>
      <c r="D147" s="191"/>
      <c r="E147" s="247"/>
      <c r="F147" s="235" t="s">
        <v>35</v>
      </c>
      <c r="G147" s="235"/>
      <c r="H147" s="268"/>
      <c r="I147" s="281">
        <v>1.0</v>
      </c>
      <c r="J147" s="284"/>
      <c r="K147" s="283">
        <v>1.0</v>
      </c>
      <c r="L147" s="235" t="s">
        <v>35</v>
      </c>
      <c r="M147" s="274">
        <f>IF(AND(H147&lt;&gt;"", J147&lt;&gt;""), H147-J147, IF(H147&lt;&gt;"", H147-I147*VLOOKUP(A147, BACKEND1!$A:$G,6,FALSE), IF(J147&lt;&gt;"", -J147+K147*VLOOKUP(A147, BACKEND1!$A:$G,6,FALSE),0)))+ (C147+D147-E147)*VLOOKUP(A147, BACKEND1!$A:$G,5,FALSE)+G147
</f>
        <v>0</v>
      </c>
      <c r="N147" s="191"/>
      <c r="O147" s="247"/>
    </row>
    <row r="148">
      <c r="A148" s="12" t="s">
        <v>170</v>
      </c>
      <c r="B148" s="12" t="s">
        <v>106</v>
      </c>
      <c r="C148" s="267"/>
      <c r="D148" s="191"/>
      <c r="E148" s="247"/>
      <c r="F148" s="235" t="s">
        <v>35</v>
      </c>
      <c r="G148" s="235"/>
      <c r="H148" s="268"/>
      <c r="I148" s="281">
        <v>1.0</v>
      </c>
      <c r="J148" s="284"/>
      <c r="K148" s="283">
        <v>1.0</v>
      </c>
      <c r="L148" s="235" t="s">
        <v>35</v>
      </c>
      <c r="M148" s="274">
        <f>IF(AND(H148&lt;&gt;"", J148&lt;&gt;""), H148-J148, IF(H148&lt;&gt;"", H148-I148*VLOOKUP(A148, BACKEND1!$A:$G,6,FALSE), IF(J148&lt;&gt;"", -J148+K148*VLOOKUP(A148, BACKEND1!$A:$G,6,FALSE),0)))+ (C148+D148-E148)*VLOOKUP(A148, BACKEND1!$A:$G,5,FALSE)+G148
</f>
        <v>0</v>
      </c>
      <c r="N148" s="191"/>
      <c r="O148" s="247"/>
    </row>
    <row r="149">
      <c r="A149" s="12" t="s">
        <v>171</v>
      </c>
      <c r="B149" s="12" t="s">
        <v>155</v>
      </c>
      <c r="C149" s="267"/>
      <c r="D149" s="191"/>
      <c r="E149" s="247"/>
      <c r="F149" s="235" t="s">
        <v>14</v>
      </c>
      <c r="G149" s="235"/>
      <c r="H149" s="272">
        <v>0.073</v>
      </c>
      <c r="I149" s="281">
        <v>1.0</v>
      </c>
      <c r="J149" s="282">
        <v>0.073</v>
      </c>
      <c r="K149" s="283">
        <v>1.0</v>
      </c>
      <c r="L149" s="235" t="s">
        <v>14</v>
      </c>
      <c r="M149" s="274">
        <f>IF(AND(H149&lt;&gt;"", J149&lt;&gt;""), H149-J149, IF(H149&lt;&gt;"", H149-I149*VLOOKUP(A149, BACKEND1!$A:$G,6,FALSE), IF(J149&lt;&gt;"", -J149+K149*VLOOKUP(A149, BACKEND1!$A:$G,6,FALSE),0)))+ (C149+D149-E149)*VLOOKUP(A149, BACKEND1!$A:$G,5,FALSE)+G149
</f>
        <v>0</v>
      </c>
      <c r="N149" s="191"/>
      <c r="O149" s="247"/>
    </row>
    <row r="150">
      <c r="A150" s="11" t="s">
        <v>173</v>
      </c>
      <c r="B150" s="11" t="s">
        <v>106</v>
      </c>
      <c r="C150" s="267"/>
      <c r="D150" s="287">
        <v>1.0</v>
      </c>
      <c r="E150" s="288">
        <v>1.0</v>
      </c>
      <c r="F150" s="235" t="s">
        <v>14</v>
      </c>
      <c r="G150" s="289"/>
      <c r="H150" s="290">
        <v>0.539</v>
      </c>
      <c r="I150" s="281">
        <v>1.0</v>
      </c>
      <c r="J150" s="291"/>
      <c r="K150" s="283">
        <v>1.0</v>
      </c>
      <c r="L150" s="235" t="s">
        <v>14</v>
      </c>
      <c r="M150" s="274">
        <f>IF(AND(H150&lt;&gt;"", J150&lt;&gt;""), H150-J150, IF(H150&lt;&gt;"", H150-I150*VLOOKUP(A150, BACKEND1!$A:$G,6,FALSE), IF(J150&lt;&gt;"", -J150+K150*VLOOKUP(A150, BACKEND1!$A:$G,6,FALSE),0)))+ (C150+D150-E150)*VLOOKUP(A150, BACKEND1!$A:$G,5,FALSE)+G150
</f>
        <v>0.524</v>
      </c>
      <c r="N150" s="216"/>
      <c r="O150" s="292"/>
    </row>
    <row r="151">
      <c r="A151" s="22" t="s">
        <v>174</v>
      </c>
      <c r="B151" s="23" t="s">
        <v>106</v>
      </c>
      <c r="C151" s="267"/>
      <c r="D151" s="216"/>
      <c r="E151" s="288"/>
      <c r="F151" s="235" t="s">
        <v>14</v>
      </c>
      <c r="G151" s="289"/>
      <c r="H151" s="290"/>
      <c r="I151" s="281">
        <v>1.0</v>
      </c>
      <c r="J151" s="291"/>
      <c r="K151" s="283">
        <v>1.0</v>
      </c>
      <c r="L151" s="285" t="s">
        <v>14</v>
      </c>
      <c r="M151" s="274">
        <f>IF(AND(H151&lt;&gt;"", J151&lt;&gt;""), H151-J151, IF(H151&lt;&gt;"", H151-I151*VLOOKUP(A151, BACKEND1!$A:$G,6,FALSE), IF(J151&lt;&gt;"", -J151+K151*VLOOKUP(A151, BACKEND1!$A:$G,6,FALSE),0)))+ (C151+D151-E151)*VLOOKUP(A151, BACKEND1!$A:$G,5,FALSE)+G151
</f>
        <v>0</v>
      </c>
      <c r="N151" s="216"/>
      <c r="O151" s="292"/>
    </row>
    <row r="152">
      <c r="A152" s="10" t="s">
        <v>175</v>
      </c>
      <c r="B152" s="11"/>
      <c r="C152" s="267"/>
      <c r="D152" s="191"/>
      <c r="E152" s="247"/>
      <c r="F152" s="235"/>
      <c r="G152" s="235"/>
      <c r="H152" s="268"/>
      <c r="I152" s="281">
        <v>1.0</v>
      </c>
      <c r="J152" s="284"/>
      <c r="K152" s="283">
        <v>1.0</v>
      </c>
      <c r="L152" s="235"/>
      <c r="M152" s="274">
        <f>IF(AND(H152&lt;&gt;"", J152&lt;&gt;""), H152-J152, IF(H152&lt;&gt;"", H152-I152*VLOOKUP(A152, BACKEND1!$A:$G,6,FALSE), IF(J152&lt;&gt;"", -J152+K152*VLOOKUP(A152, BACKEND1!$A:$G,6,FALSE),0)))+ (C152+D152-E152)*VLOOKUP(A152, BACKEND1!$A:$G,5,FALSE)+G152
</f>
        <v>0</v>
      </c>
      <c r="N152" s="191"/>
      <c r="O152" s="247"/>
    </row>
    <row r="153">
      <c r="A153" s="12" t="s">
        <v>176</v>
      </c>
      <c r="B153" s="12" t="s">
        <v>25</v>
      </c>
      <c r="C153" s="267"/>
      <c r="D153" s="227">
        <v>4.0</v>
      </c>
      <c r="E153" s="247"/>
      <c r="F153" s="235" t="s">
        <v>25</v>
      </c>
      <c r="G153" s="235"/>
      <c r="H153" s="272"/>
      <c r="I153" s="281">
        <v>1.0</v>
      </c>
      <c r="J153" s="284"/>
      <c r="K153" s="283">
        <v>1.0</v>
      </c>
      <c r="L153" s="235" t="s">
        <v>25</v>
      </c>
      <c r="M153" s="274">
        <f>IF(AND(H153&lt;&gt;"", J153&lt;&gt;""), H153-J153, IF(H153&lt;&gt;"", H153-I153*VLOOKUP(A153, BACKEND1!$A:$G,6,FALSE), IF(J153&lt;&gt;"", -J153+K153*VLOOKUP(A153, BACKEND1!$A:$G,6,FALSE),0)))+ (C153+D153-E153)*VLOOKUP(A153, BACKEND1!$A:$G,5,FALSE)+G153
</f>
        <v>4</v>
      </c>
      <c r="N153" s="191"/>
      <c r="O153" s="247"/>
    </row>
    <row r="154">
      <c r="A154" s="12" t="s">
        <v>178</v>
      </c>
      <c r="B154" s="12" t="s">
        <v>35</v>
      </c>
      <c r="C154" s="271">
        <v>4.0</v>
      </c>
      <c r="D154" s="227">
        <v>4.0</v>
      </c>
      <c r="E154" s="280">
        <v>2.0</v>
      </c>
      <c r="F154" s="235" t="s">
        <v>35</v>
      </c>
      <c r="G154" s="235"/>
      <c r="H154" s="272">
        <v>0.922</v>
      </c>
      <c r="I154" s="281">
        <v>1.0</v>
      </c>
      <c r="J154" s="284"/>
      <c r="K154" s="283">
        <v>1.0</v>
      </c>
      <c r="L154" s="235" t="s">
        <v>35</v>
      </c>
      <c r="M154" s="274">
        <f>IF(AND(H154&lt;&gt;"", J154&lt;&gt;""), H154-J154, IF(H154&lt;&gt;"", H154-I154*VLOOKUP(A154, BACKEND1!$A:$G,6,FALSE), IF(J154&lt;&gt;"", -J154+K154*VLOOKUP(A154, BACKEND1!$A:$G,6,FALSE),0)))+ (C154+D154-E154)*VLOOKUP(A154, BACKEND1!$A:$G,5,FALSE)+G154
</f>
        <v>3.91</v>
      </c>
      <c r="N154" s="191"/>
      <c r="O154" s="247"/>
    </row>
    <row r="155">
      <c r="A155" s="12" t="s">
        <v>180</v>
      </c>
      <c r="B155" s="12" t="s">
        <v>35</v>
      </c>
      <c r="C155" s="267"/>
      <c r="D155" s="191"/>
      <c r="E155" s="247"/>
      <c r="F155" s="235" t="s">
        <v>35</v>
      </c>
      <c r="G155" s="235"/>
      <c r="H155" s="272">
        <v>0.277</v>
      </c>
      <c r="I155" s="281">
        <v>1.0</v>
      </c>
      <c r="J155" s="284"/>
      <c r="K155" s="283">
        <v>1.0</v>
      </c>
      <c r="L155" s="235" t="s">
        <v>35</v>
      </c>
      <c r="M155" s="274">
        <f>IF(AND(H155&lt;&gt;"", J155&lt;&gt;""), H155-J155, IF(H155&lt;&gt;"", H155-I155*VLOOKUP(A155, BACKEND1!$A:$G,6,FALSE), IF(J155&lt;&gt;"", -J155+K155*VLOOKUP(A155, BACKEND1!$A:$G,6,FALSE),0)))+ (C155+D155-E155)*VLOOKUP(A155, BACKEND1!$A:$G,5,FALSE)+G155
</f>
        <v>0.265</v>
      </c>
      <c r="N155" s="191"/>
      <c r="O155" s="247"/>
    </row>
    <row r="156">
      <c r="A156" s="12" t="s">
        <v>181</v>
      </c>
      <c r="B156" s="12" t="s">
        <v>35</v>
      </c>
      <c r="C156" s="267"/>
      <c r="D156" s="191"/>
      <c r="E156" s="280">
        <v>1.0</v>
      </c>
      <c r="F156" s="235" t="s">
        <v>35</v>
      </c>
      <c r="G156" s="235"/>
      <c r="H156" s="272">
        <v>1.442</v>
      </c>
      <c r="I156" s="281">
        <v>1.0</v>
      </c>
      <c r="J156" s="282">
        <v>0.254</v>
      </c>
      <c r="K156" s="283">
        <v>1.0</v>
      </c>
      <c r="L156" s="235" t="s">
        <v>35</v>
      </c>
      <c r="M156" s="274">
        <f>IF(AND(H156&lt;&gt;"", J156&lt;&gt;""), H156-J156, IF(H156&lt;&gt;"", H156-I156*VLOOKUP(A156, BACKEND1!$A:$G,6,FALSE), IF(J156&lt;&gt;"", -J156+K156*VLOOKUP(A156, BACKEND1!$A:$G,6,FALSE),0)))+ (C156+D156-E156)*VLOOKUP(A156, BACKEND1!$A:$G,5,FALSE)+G156
</f>
        <v>0</v>
      </c>
      <c r="N156" s="191"/>
      <c r="O156" s="247"/>
    </row>
    <row r="157">
      <c r="A157" s="12" t="s">
        <v>182</v>
      </c>
      <c r="B157" s="12" t="s">
        <v>35</v>
      </c>
      <c r="C157" s="271"/>
      <c r="D157" s="191"/>
      <c r="E157" s="247"/>
      <c r="F157" s="235" t="s">
        <v>35</v>
      </c>
      <c r="G157" s="285">
        <v>0.65</v>
      </c>
      <c r="H157" s="272"/>
      <c r="I157" s="281">
        <v>1.0</v>
      </c>
      <c r="J157" s="282">
        <v>0.65</v>
      </c>
      <c r="K157" s="283">
        <v>1.0</v>
      </c>
      <c r="L157" s="235" t="s">
        <v>35</v>
      </c>
      <c r="M157" s="274">
        <f>IF(AND(H157&lt;&gt;"", J157&lt;&gt;""), H157-J157, IF(H157&lt;&gt;"", H157-I157*VLOOKUP(A157, BACKEND1!$A:$G,6,FALSE), IF(J157&lt;&gt;"", -J157+K157*VLOOKUP(A157, BACKEND1!$A:$G,6,FALSE),0)))+ (C157+D157-E157)*VLOOKUP(A157, BACKEND1!$A:$G,5,FALSE)+G157
</f>
        <v>0.02</v>
      </c>
      <c r="N157" s="191"/>
      <c r="O157" s="247"/>
    </row>
    <row r="158">
      <c r="A158" s="12" t="s">
        <v>183</v>
      </c>
      <c r="B158" s="12" t="s">
        <v>35</v>
      </c>
      <c r="C158" s="267"/>
      <c r="D158" s="191"/>
      <c r="E158" s="247"/>
      <c r="F158" s="235" t="s">
        <v>14</v>
      </c>
      <c r="G158" s="235"/>
      <c r="H158" s="268"/>
      <c r="I158" s="281">
        <v>1.0</v>
      </c>
      <c r="J158" s="284"/>
      <c r="K158" s="283">
        <v>1.0</v>
      </c>
      <c r="L158" s="235" t="s">
        <v>14</v>
      </c>
      <c r="M158" s="274">
        <f>IF(AND(H158&lt;&gt;"", J158&lt;&gt;""), H158-J158, IF(H158&lt;&gt;"", H158-I158*VLOOKUP(A158, BACKEND1!$A:$G,6,FALSE), IF(J158&lt;&gt;"", -J158+K158*VLOOKUP(A158, BACKEND1!$A:$G,6,FALSE),0)))+ (C158+D158-E158)*VLOOKUP(A158, BACKEND1!$A:$G,5,FALSE)+G158
</f>
        <v>0</v>
      </c>
      <c r="N158" s="191"/>
      <c r="O158" s="247"/>
    </row>
    <row r="159">
      <c r="A159" s="10" t="s">
        <v>184</v>
      </c>
      <c r="B159" s="11"/>
      <c r="C159" s="267"/>
      <c r="D159" s="191"/>
      <c r="E159" s="247"/>
      <c r="F159" s="235"/>
      <c r="G159" s="235"/>
      <c r="H159" s="268"/>
      <c r="I159" s="281">
        <v>1.0</v>
      </c>
      <c r="J159" s="284"/>
      <c r="K159" s="283">
        <v>1.0</v>
      </c>
      <c r="L159" s="235"/>
      <c r="M159" s="274">
        <f>IF(AND(H159&lt;&gt;"", J159&lt;&gt;""), H159-J159, IF(H159&lt;&gt;"", H159-I159*VLOOKUP(A159, BACKEND1!$A:$G,6,FALSE), IF(J159&lt;&gt;"", -J159+K159*VLOOKUP(A159, BACKEND1!$A:$G,6,FALSE),0)))+ (C159+D159-E159)*VLOOKUP(A159, BACKEND1!$A:$G,5,FALSE)+G159
</f>
        <v>0</v>
      </c>
      <c r="N159" s="191"/>
      <c r="O159" s="247"/>
    </row>
    <row r="160">
      <c r="A160" s="12" t="s">
        <v>185</v>
      </c>
      <c r="B160" s="12" t="s">
        <v>17</v>
      </c>
      <c r="C160" s="267"/>
      <c r="D160" s="191"/>
      <c r="E160" s="247"/>
      <c r="F160" s="235" t="s">
        <v>17</v>
      </c>
      <c r="G160" s="235"/>
      <c r="H160" s="272">
        <v>0.5</v>
      </c>
      <c r="I160" s="281">
        <v>1.0</v>
      </c>
      <c r="J160" s="284"/>
      <c r="K160" s="283">
        <v>1.0</v>
      </c>
      <c r="L160" s="235" t="s">
        <v>17</v>
      </c>
      <c r="M160" s="274">
        <f>IF(AND(H160&lt;&gt;"", J160&lt;&gt;""), H160-J160, IF(H160&lt;&gt;"", H160-I160*VLOOKUP(A160, BACKEND1!$A:$G,6,FALSE), IF(J160&lt;&gt;"", -J160+K160*VLOOKUP(A160, BACKEND1!$A:$G,6,FALSE),0)))+ (C160+D160-E160)*VLOOKUP(A160, BACKEND1!$A:$G,5,FALSE)+G160
</f>
        <v>0.5</v>
      </c>
      <c r="N160" s="191"/>
      <c r="O160" s="247"/>
    </row>
    <row r="161">
      <c r="A161" s="12" t="s">
        <v>187</v>
      </c>
      <c r="B161" s="12" t="s">
        <v>17</v>
      </c>
      <c r="C161" s="267"/>
      <c r="D161" s="227">
        <v>5.0</v>
      </c>
      <c r="E161" s="247"/>
      <c r="F161" s="235" t="s">
        <v>17</v>
      </c>
      <c r="G161" s="235"/>
      <c r="H161" s="272">
        <v>1.0</v>
      </c>
      <c r="I161" s="281">
        <v>1.0</v>
      </c>
      <c r="J161" s="282">
        <v>2.0</v>
      </c>
      <c r="K161" s="283">
        <v>1.0</v>
      </c>
      <c r="L161" s="235" t="s">
        <v>17</v>
      </c>
      <c r="M161" s="274">
        <f>IF(AND(H161&lt;&gt;"", J161&lt;&gt;""), H161-J161, IF(H161&lt;&gt;"", H161-I161*VLOOKUP(A161, BACKEND1!$A:$G,6,FALSE), IF(J161&lt;&gt;"", -J161+K161*VLOOKUP(A161, BACKEND1!$A:$G,6,FALSE),0)))+ (C161+D161-E161)*VLOOKUP(A161, BACKEND1!$A:$G,5,FALSE)+G161
</f>
        <v>4</v>
      </c>
      <c r="N161" s="191"/>
      <c r="O161" s="247"/>
    </row>
    <row r="162">
      <c r="A162" s="12" t="s">
        <v>188</v>
      </c>
      <c r="B162" s="12" t="s">
        <v>35</v>
      </c>
      <c r="C162" s="267"/>
      <c r="D162" s="227">
        <v>1.9</v>
      </c>
      <c r="E162" s="247"/>
      <c r="F162" s="235" t="s">
        <v>35</v>
      </c>
      <c r="G162" s="235"/>
      <c r="H162" s="272">
        <v>3.0</v>
      </c>
      <c r="I162" s="281">
        <v>1.0</v>
      </c>
      <c r="J162" s="284"/>
      <c r="K162" s="283">
        <v>1.0</v>
      </c>
      <c r="L162" s="235" t="s">
        <v>35</v>
      </c>
      <c r="M162" s="274">
        <f>IF(AND(H162&lt;&gt;"", J162&lt;&gt;""), H162-J162, IF(H162&lt;&gt;"", H162-I162*VLOOKUP(A162, BACKEND1!$A:$G,6,FALSE), IF(J162&lt;&gt;"", -J162+K162*VLOOKUP(A162, BACKEND1!$A:$G,6,FALSE),0)))+ (C162+D162-E162)*VLOOKUP(A162, BACKEND1!$A:$G,5,FALSE)+G162
</f>
        <v>4.9</v>
      </c>
      <c r="N162" s="191"/>
      <c r="O162" s="247"/>
    </row>
    <row r="163">
      <c r="A163" s="12" t="s">
        <v>189</v>
      </c>
      <c r="B163" s="12" t="s">
        <v>17</v>
      </c>
      <c r="C163" s="267"/>
      <c r="D163" s="227">
        <v>2.0</v>
      </c>
      <c r="E163" s="280">
        <v>1.0</v>
      </c>
      <c r="F163" s="235" t="s">
        <v>17</v>
      </c>
      <c r="G163" s="235"/>
      <c r="H163" s="272">
        <v>0.25</v>
      </c>
      <c r="I163" s="281">
        <v>1.0</v>
      </c>
      <c r="J163" s="282">
        <v>0.25</v>
      </c>
      <c r="K163" s="283">
        <v>1.0</v>
      </c>
      <c r="L163" s="235" t="s">
        <v>17</v>
      </c>
      <c r="M163" s="274">
        <f>IF(AND(H163&lt;&gt;"", J163&lt;&gt;""), H163-J163, IF(H163&lt;&gt;"", H163-I163*VLOOKUP(A163, BACKEND1!$A:$G,6,FALSE), IF(J163&lt;&gt;"", -J163+K163*VLOOKUP(A163, BACKEND1!$A:$G,6,FALSE),0)))+ (C163+D163-E163)*VLOOKUP(A163, BACKEND1!$A:$G,5,FALSE)+G163
</f>
        <v>1</v>
      </c>
      <c r="N163" s="191"/>
      <c r="O163" s="247"/>
    </row>
    <row r="164">
      <c r="A164" s="12" t="s">
        <v>190</v>
      </c>
      <c r="B164" s="12" t="s">
        <v>17</v>
      </c>
      <c r="C164" s="267"/>
      <c r="D164" s="191"/>
      <c r="E164" s="247"/>
      <c r="F164" s="235" t="s">
        <v>17</v>
      </c>
      <c r="G164" s="235"/>
      <c r="H164" s="268"/>
      <c r="I164" s="281">
        <v>1.0</v>
      </c>
      <c r="J164" s="284"/>
      <c r="K164" s="283">
        <v>1.0</v>
      </c>
      <c r="L164" s="235" t="s">
        <v>17</v>
      </c>
      <c r="M164" s="274">
        <f>IF(AND(H164&lt;&gt;"", J164&lt;&gt;""), H164-J164, IF(H164&lt;&gt;"", H164-I164*VLOOKUP(A164, BACKEND1!$A:$G,6,FALSE), IF(J164&lt;&gt;"", -J164+K164*VLOOKUP(A164, BACKEND1!$A:$G,6,FALSE),0)))+ (C164+D164-E164)*VLOOKUP(A164, BACKEND1!$A:$G,5,FALSE)+G164
</f>
        <v>0</v>
      </c>
      <c r="N164" s="191"/>
      <c r="O164" s="247"/>
    </row>
    <row r="165">
      <c r="A165" s="12" t="s">
        <v>191</v>
      </c>
      <c r="B165" s="12" t="s">
        <v>35</v>
      </c>
      <c r="C165" s="267"/>
      <c r="D165" s="227">
        <v>0.2</v>
      </c>
      <c r="E165" s="247"/>
      <c r="F165" s="235" t="s">
        <v>35</v>
      </c>
      <c r="G165" s="235"/>
      <c r="H165" s="272"/>
      <c r="I165" s="281">
        <v>1.0</v>
      </c>
      <c r="J165" s="284"/>
      <c r="K165" s="283">
        <v>1.0</v>
      </c>
      <c r="L165" s="235" t="s">
        <v>35</v>
      </c>
      <c r="M165" s="274">
        <f>IF(AND(H165&lt;&gt;"", J165&lt;&gt;""), H165-J165, IF(H165&lt;&gt;"", H165-I165*VLOOKUP(A165, BACKEND1!$A:$G,6,FALSE), IF(J165&lt;&gt;"", -J165+K165*VLOOKUP(A165, BACKEND1!$A:$G,6,FALSE),0)))+ (C165+D165-E165)*VLOOKUP(A165, BACKEND1!$A:$G,5,FALSE)+G165
</f>
        <v>0.2</v>
      </c>
      <c r="N165" s="191"/>
      <c r="O165" s="247"/>
    </row>
    <row r="166">
      <c r="A166" s="12" t="s">
        <v>192</v>
      </c>
      <c r="B166" s="12" t="s">
        <v>35</v>
      </c>
      <c r="C166" s="267"/>
      <c r="D166" s="191"/>
      <c r="E166" s="247"/>
      <c r="F166" s="235" t="s">
        <v>35</v>
      </c>
      <c r="G166" s="285">
        <v>0.699</v>
      </c>
      <c r="H166" s="272"/>
      <c r="I166" s="281">
        <v>1.0</v>
      </c>
      <c r="J166" s="282">
        <v>0.699</v>
      </c>
      <c r="K166" s="283">
        <v>1.0</v>
      </c>
      <c r="L166" s="235" t="s">
        <v>35</v>
      </c>
      <c r="M166" s="274">
        <f>IF(AND(H166&lt;&gt;"", J166&lt;&gt;""), H166-J166, IF(H166&lt;&gt;"", H166-I166*VLOOKUP(A166, BACKEND1!$A:$G,6,FALSE), IF(J166&lt;&gt;"", -J166+K166*VLOOKUP(A166, BACKEND1!$A:$G,6,FALSE),0)))+ (C166+D166-E166)*VLOOKUP(A166, BACKEND1!$A:$G,5,FALSE)+G166
</f>
        <v>0</v>
      </c>
      <c r="N166" s="191"/>
      <c r="O166" s="247"/>
    </row>
    <row r="167">
      <c r="A167" s="12" t="s">
        <v>193</v>
      </c>
      <c r="B167" s="12" t="s">
        <v>35</v>
      </c>
      <c r="C167" s="267"/>
      <c r="D167" s="227">
        <v>5.0</v>
      </c>
      <c r="E167" s="247"/>
      <c r="F167" s="235" t="s">
        <v>35</v>
      </c>
      <c r="G167" s="235"/>
      <c r="H167" s="272">
        <v>1.954</v>
      </c>
      <c r="I167" s="281">
        <v>1.0</v>
      </c>
      <c r="J167" s="282">
        <v>3.636</v>
      </c>
      <c r="K167" s="283">
        <v>1.0</v>
      </c>
      <c r="L167" s="235" t="s">
        <v>35</v>
      </c>
      <c r="M167" s="274">
        <f>IF(AND(H167&lt;&gt;"", J167&lt;&gt;""), H167-J167, IF(H167&lt;&gt;"", H167-I167*VLOOKUP(A167, BACKEND1!$A:$G,6,FALSE), IF(J167&lt;&gt;"", -J167+K167*VLOOKUP(A167, BACKEND1!$A:$G,6,FALSE),0)))+ (C167+D167-E167)*VLOOKUP(A167, BACKEND1!$A:$G,5,FALSE)+G167
</f>
        <v>3.318</v>
      </c>
      <c r="N167" s="191"/>
      <c r="O167" s="247"/>
    </row>
    <row r="168">
      <c r="A168" s="12" t="s">
        <v>194</v>
      </c>
      <c r="B168" s="12" t="s">
        <v>17</v>
      </c>
      <c r="C168" s="267"/>
      <c r="D168" s="227">
        <v>2.0</v>
      </c>
      <c r="E168" s="247"/>
      <c r="F168" s="235" t="s">
        <v>17</v>
      </c>
      <c r="G168" s="235"/>
      <c r="H168" s="268"/>
      <c r="I168" s="281">
        <v>1.0</v>
      </c>
      <c r="J168" s="284"/>
      <c r="K168" s="283">
        <v>1.0</v>
      </c>
      <c r="L168" s="235" t="s">
        <v>17</v>
      </c>
      <c r="M168" s="274">
        <f>IF(AND(H168&lt;&gt;"", J168&lt;&gt;""), H168-J168, IF(H168&lt;&gt;"", H168-I168*VLOOKUP(A168, BACKEND1!$A:$G,6,FALSE), IF(J168&lt;&gt;"", -J168+K168*VLOOKUP(A168, BACKEND1!$A:$G,6,FALSE),0)))+ (C168+D168-E168)*VLOOKUP(A168, BACKEND1!$A:$G,5,FALSE)+G168
</f>
        <v>2</v>
      </c>
      <c r="N168" s="191"/>
      <c r="O168" s="247"/>
    </row>
    <row r="169">
      <c r="A169" s="12" t="s">
        <v>195</v>
      </c>
      <c r="B169" s="12" t="s">
        <v>35</v>
      </c>
      <c r="C169" s="267"/>
      <c r="D169" s="191"/>
      <c r="E169" s="247"/>
      <c r="F169" s="235" t="s">
        <v>35</v>
      </c>
      <c r="G169" s="235"/>
      <c r="H169" s="272">
        <v>1.559</v>
      </c>
      <c r="I169" s="281">
        <v>1.0</v>
      </c>
      <c r="J169" s="282">
        <v>0.467</v>
      </c>
      <c r="K169" s="283">
        <v>1.0</v>
      </c>
      <c r="L169" s="235" t="s">
        <v>35</v>
      </c>
      <c r="M169" s="274">
        <f>IF(AND(H169&lt;&gt;"", J169&lt;&gt;""), H169-J169, IF(H169&lt;&gt;"", H169-I169*VLOOKUP(A169, BACKEND1!$A:$G,6,FALSE), IF(J169&lt;&gt;"", -J169+K169*VLOOKUP(A169, BACKEND1!$A:$G,6,FALSE),0)))+ (C169+D169-E169)*VLOOKUP(A169, BACKEND1!$A:$G,5,FALSE)+G169
</f>
        <v>1.092</v>
      </c>
      <c r="N169" s="191"/>
      <c r="O169" s="247"/>
    </row>
    <row r="170">
      <c r="A170" s="12" t="s">
        <v>196</v>
      </c>
      <c r="B170" s="12" t="s">
        <v>35</v>
      </c>
      <c r="C170" s="267"/>
      <c r="D170" s="191"/>
      <c r="E170" s="247"/>
      <c r="F170" s="235" t="s">
        <v>35</v>
      </c>
      <c r="G170" s="235"/>
      <c r="H170" s="272">
        <v>0.14</v>
      </c>
      <c r="I170" s="281">
        <v>1.0</v>
      </c>
      <c r="J170" s="282">
        <v>0.14</v>
      </c>
      <c r="K170" s="283">
        <v>1.0</v>
      </c>
      <c r="L170" s="235" t="s">
        <v>35</v>
      </c>
      <c r="M170" s="274">
        <f>IF(AND(H170&lt;&gt;"", J170&lt;&gt;""), H170-J170, IF(H170&lt;&gt;"", H170-I170*VLOOKUP(A170, BACKEND1!$A:$G,6,FALSE), IF(J170&lt;&gt;"", -J170+K170*VLOOKUP(A170, BACKEND1!$A:$G,6,FALSE),0)))+ (C170+D170-E170)*VLOOKUP(A170, BACKEND1!$A:$G,5,FALSE)+G170
</f>
        <v>0</v>
      </c>
      <c r="N170" s="191"/>
      <c r="O170" s="247"/>
    </row>
    <row r="171">
      <c r="A171" s="12" t="s">
        <v>197</v>
      </c>
      <c r="B171" s="12" t="s">
        <v>35</v>
      </c>
      <c r="C171" s="267"/>
      <c r="D171" s="191"/>
      <c r="E171" s="247"/>
      <c r="F171" s="235" t="s">
        <v>35</v>
      </c>
      <c r="G171" s="285">
        <v>0.5</v>
      </c>
      <c r="H171" s="272">
        <v>1.0</v>
      </c>
      <c r="I171" s="281">
        <v>1.0</v>
      </c>
      <c r="J171" s="282">
        <v>1.5</v>
      </c>
      <c r="K171" s="283">
        <v>1.0</v>
      </c>
      <c r="L171" s="235" t="s">
        <v>35</v>
      </c>
      <c r="M171" s="274">
        <f>IF(AND(H171&lt;&gt;"", J171&lt;&gt;""), H171-J171, IF(H171&lt;&gt;"", H171-I171*VLOOKUP(A171, BACKEND1!$A:$G,6,FALSE), IF(J171&lt;&gt;"", -J171+K171*VLOOKUP(A171, BACKEND1!$A:$G,6,FALSE),0)))+ (C171+D171-E171)*VLOOKUP(A171, BACKEND1!$A:$G,5,FALSE)+G171
</f>
        <v>0</v>
      </c>
      <c r="N171" s="191"/>
      <c r="O171" s="247"/>
    </row>
    <row r="172">
      <c r="A172" s="12" t="s">
        <v>198</v>
      </c>
      <c r="B172" s="12" t="s">
        <v>35</v>
      </c>
      <c r="C172" s="267"/>
      <c r="D172" s="227">
        <v>1.8</v>
      </c>
      <c r="E172" s="247"/>
      <c r="F172" s="235" t="s">
        <v>35</v>
      </c>
      <c r="G172" s="235"/>
      <c r="H172" s="272">
        <v>0.324</v>
      </c>
      <c r="I172" s="281">
        <v>1.0</v>
      </c>
      <c r="J172" s="282">
        <v>0.425</v>
      </c>
      <c r="K172" s="283">
        <v>1.0</v>
      </c>
      <c r="L172" s="235" t="s">
        <v>35</v>
      </c>
      <c r="M172" s="274">
        <f>IF(AND(H172&lt;&gt;"", J172&lt;&gt;""), H172-J172, IF(H172&lt;&gt;"", H172-I172*VLOOKUP(A172, BACKEND1!$A:$G,6,FALSE), IF(J172&lt;&gt;"", -J172+K172*VLOOKUP(A172, BACKEND1!$A:$G,6,FALSE),0)))+ (C172+D172-E172)*VLOOKUP(A172, BACKEND1!$A:$G,5,FALSE)+G172
</f>
        <v>1.699</v>
      </c>
      <c r="N172" s="191"/>
      <c r="O172" s="247"/>
    </row>
    <row r="173">
      <c r="A173" s="12" t="s">
        <v>199</v>
      </c>
      <c r="B173" s="12" t="s">
        <v>35</v>
      </c>
      <c r="C173" s="267"/>
      <c r="D173" s="191"/>
      <c r="E173" s="247"/>
      <c r="F173" s="235" t="s">
        <v>35</v>
      </c>
      <c r="G173" s="235"/>
      <c r="H173" s="272">
        <v>0.592</v>
      </c>
      <c r="I173" s="281">
        <v>1.0</v>
      </c>
      <c r="J173" s="284"/>
      <c r="K173" s="283">
        <v>1.0</v>
      </c>
      <c r="L173" s="235" t="s">
        <v>35</v>
      </c>
      <c r="M173" s="274">
        <f>IF(AND(H173&lt;&gt;"", J173&lt;&gt;""), H173-J173, IF(H173&lt;&gt;"", H173-I173*VLOOKUP(A173, BACKEND1!$A:$G,6,FALSE), IF(J173&lt;&gt;"", -J173+K173*VLOOKUP(A173, BACKEND1!$A:$G,6,FALSE),0)))+ (C173+D173-E173)*VLOOKUP(A173, BACKEND1!$A:$G,5,FALSE)+G173
</f>
        <v>0.592</v>
      </c>
      <c r="N173" s="191"/>
      <c r="O173" s="247"/>
    </row>
    <row r="174">
      <c r="A174" s="12" t="s">
        <v>200</v>
      </c>
      <c r="B174" s="12" t="s">
        <v>35</v>
      </c>
      <c r="C174" s="267"/>
      <c r="D174" s="191"/>
      <c r="E174" s="247"/>
      <c r="F174" s="235" t="s">
        <v>35</v>
      </c>
      <c r="G174" s="235"/>
      <c r="H174" s="272">
        <v>0.938</v>
      </c>
      <c r="I174" s="281">
        <v>1.0</v>
      </c>
      <c r="J174" s="284"/>
      <c r="K174" s="283">
        <v>1.0</v>
      </c>
      <c r="L174" s="235" t="s">
        <v>35</v>
      </c>
      <c r="M174" s="274">
        <f>IF(AND(H174&lt;&gt;"", J174&lt;&gt;""), H174-J174, IF(H174&lt;&gt;"", H174-I174*VLOOKUP(A174, BACKEND1!$A:$G,6,FALSE), IF(J174&lt;&gt;"", -J174+K174*VLOOKUP(A174, BACKEND1!$A:$G,6,FALSE),0)))+ (C174+D174-E174)*VLOOKUP(A174, BACKEND1!$A:$G,5,FALSE)+G174
</f>
        <v>0.938</v>
      </c>
      <c r="N174" s="191"/>
      <c r="O174" s="247"/>
    </row>
    <row r="175">
      <c r="A175" s="12" t="s">
        <v>201</v>
      </c>
      <c r="B175" s="12" t="s">
        <v>202</v>
      </c>
      <c r="C175" s="267"/>
      <c r="D175" s="191"/>
      <c r="E175" s="247"/>
      <c r="F175" s="235" t="s">
        <v>202</v>
      </c>
      <c r="G175" s="235"/>
      <c r="H175" s="268"/>
      <c r="I175" s="281">
        <v>1.0</v>
      </c>
      <c r="J175" s="284"/>
      <c r="K175" s="283">
        <v>1.0</v>
      </c>
      <c r="L175" s="235" t="s">
        <v>202</v>
      </c>
      <c r="M175" s="274">
        <f>IF(AND(H175&lt;&gt;"", J175&lt;&gt;""), H175-J175, IF(H175&lt;&gt;"", H175-I175*VLOOKUP(A175, BACKEND1!$A:$G,6,FALSE), IF(J175&lt;&gt;"", -J175+K175*VLOOKUP(A175, BACKEND1!$A:$G,6,FALSE),0)))+ (C175+D175-E175)*VLOOKUP(A175, BACKEND1!$A:$G,5,FALSE)+G175
</f>
        <v>0</v>
      </c>
      <c r="N175" s="191"/>
      <c r="O175" s="247"/>
    </row>
    <row r="176">
      <c r="A176" s="12" t="s">
        <v>204</v>
      </c>
      <c r="B176" s="12" t="s">
        <v>202</v>
      </c>
      <c r="C176" s="267"/>
      <c r="D176" s="191"/>
      <c r="E176" s="247"/>
      <c r="F176" s="235" t="s">
        <v>202</v>
      </c>
      <c r="G176" s="235"/>
      <c r="H176" s="272">
        <v>1.0</v>
      </c>
      <c r="I176" s="281">
        <v>1.0</v>
      </c>
      <c r="J176" s="282">
        <v>1.0</v>
      </c>
      <c r="K176" s="283">
        <v>1.0</v>
      </c>
      <c r="L176" s="235" t="s">
        <v>202</v>
      </c>
      <c r="M176" s="274">
        <f>IF(AND(H176&lt;&gt;"", J176&lt;&gt;""), H176-J176, IF(H176&lt;&gt;"", H176-I176*VLOOKUP(A176, BACKEND1!$A:$G,6,FALSE), IF(J176&lt;&gt;"", -J176+K176*VLOOKUP(A176, BACKEND1!$A:$G,6,FALSE),0)))+ (C176+D176-E176)*VLOOKUP(A176, BACKEND1!$A:$G,5,FALSE)+G176
</f>
        <v>0</v>
      </c>
      <c r="N176" s="191"/>
      <c r="O176" s="247"/>
    </row>
    <row r="177">
      <c r="A177" s="12" t="s">
        <v>205</v>
      </c>
      <c r="B177" s="12" t="s">
        <v>202</v>
      </c>
      <c r="C177" s="267"/>
      <c r="D177" s="191"/>
      <c r="E177" s="247"/>
      <c r="F177" s="235" t="s">
        <v>202</v>
      </c>
      <c r="G177" s="235"/>
      <c r="H177" s="268"/>
      <c r="I177" s="281">
        <v>1.0</v>
      </c>
      <c r="J177" s="284"/>
      <c r="K177" s="283">
        <v>1.0</v>
      </c>
      <c r="L177" s="235" t="s">
        <v>202</v>
      </c>
      <c r="M177" s="274">
        <f>IF(AND(H177&lt;&gt;"", J177&lt;&gt;""), H177-J177, IF(H177&lt;&gt;"", H177-I177*VLOOKUP(A177, BACKEND1!$A:$G,6,FALSE), IF(J177&lt;&gt;"", -J177+K177*VLOOKUP(A177, BACKEND1!$A:$G,6,FALSE),0)))+ (C177+D177-E177)*VLOOKUP(A177, BACKEND1!$A:$G,5,FALSE)+G177
</f>
        <v>0</v>
      </c>
      <c r="N177" s="191"/>
      <c r="O177" s="247"/>
    </row>
    <row r="178">
      <c r="A178" s="12" t="s">
        <v>206</v>
      </c>
      <c r="B178" s="12" t="s">
        <v>207</v>
      </c>
      <c r="C178" s="267"/>
      <c r="D178" s="227">
        <v>1.0</v>
      </c>
      <c r="E178" s="247"/>
      <c r="F178" s="235" t="s">
        <v>17</v>
      </c>
      <c r="G178" s="235"/>
      <c r="H178" s="272">
        <v>25.0</v>
      </c>
      <c r="I178" s="281">
        <v>1.0</v>
      </c>
      <c r="J178" s="282">
        <v>28.0</v>
      </c>
      <c r="K178" s="283">
        <v>1.0</v>
      </c>
      <c r="L178" s="235" t="s">
        <v>17</v>
      </c>
      <c r="M178" s="274">
        <f>IF(AND(H178&lt;&gt;"", J178&lt;&gt;""), H178-J178, IF(H178&lt;&gt;"", H178-I178*VLOOKUP(A178, BACKEND1!$A:$G,6,FALSE), IF(J178&lt;&gt;"", -J178+K178*VLOOKUP(A178, BACKEND1!$A:$G,6,FALSE),0)))+ (C178+D178-E178)*VLOOKUP(A178, BACKEND1!$A:$G,5,FALSE)+G178
</f>
        <v>27</v>
      </c>
      <c r="N178" s="191"/>
      <c r="O178" s="247"/>
    </row>
    <row r="179">
      <c r="A179" s="12" t="s">
        <v>209</v>
      </c>
      <c r="B179" s="12" t="s">
        <v>17</v>
      </c>
      <c r="C179" s="267"/>
      <c r="D179" s="191"/>
      <c r="E179" s="247"/>
      <c r="F179" s="235" t="s">
        <v>17</v>
      </c>
      <c r="G179" s="235"/>
      <c r="H179" s="268"/>
      <c r="I179" s="281">
        <v>1.0</v>
      </c>
      <c r="J179" s="284"/>
      <c r="K179" s="283">
        <v>1.0</v>
      </c>
      <c r="L179" s="235" t="s">
        <v>17</v>
      </c>
      <c r="M179" s="274">
        <f>IF(AND(H179&lt;&gt;"", J179&lt;&gt;""), H179-J179, IF(H179&lt;&gt;"", H179-I179*VLOOKUP(A179, BACKEND1!$A:$G,6,FALSE), IF(J179&lt;&gt;"", -J179+K179*VLOOKUP(A179, BACKEND1!$A:$G,6,FALSE),0)))+ (C179+D179-E179)*VLOOKUP(A179, BACKEND1!$A:$G,5,FALSE)+G179
</f>
        <v>0</v>
      </c>
      <c r="N179" s="191"/>
      <c r="O179" s="247"/>
    </row>
    <row r="180">
      <c r="A180" s="12" t="s">
        <v>210</v>
      </c>
      <c r="B180" s="12" t="s">
        <v>202</v>
      </c>
      <c r="C180" s="267"/>
      <c r="D180" s="191"/>
      <c r="E180" s="247"/>
      <c r="F180" s="235" t="s">
        <v>202</v>
      </c>
      <c r="G180" s="285">
        <v>1.0</v>
      </c>
      <c r="H180" s="268"/>
      <c r="I180" s="281">
        <v>1.0</v>
      </c>
      <c r="J180" s="282">
        <v>1.0</v>
      </c>
      <c r="K180" s="283">
        <v>1.0</v>
      </c>
      <c r="L180" s="235" t="s">
        <v>202</v>
      </c>
      <c r="M180" s="274">
        <f>IF(AND(H180&lt;&gt;"", J180&lt;&gt;""), H180-J180, IF(H180&lt;&gt;"", H180-I180*VLOOKUP(A180, BACKEND1!$A:$G,6,FALSE), IF(J180&lt;&gt;"", -J180+K180*VLOOKUP(A180, BACKEND1!$A:$G,6,FALSE),0)))+ (C180+D180-E180)*VLOOKUP(A180, BACKEND1!$A:$G,5,FALSE)+G180
</f>
        <v>0</v>
      </c>
      <c r="N180" s="191"/>
      <c r="O180" s="247"/>
    </row>
    <row r="181">
      <c r="A181" s="12" t="s">
        <v>211</v>
      </c>
      <c r="B181" s="12" t="s">
        <v>202</v>
      </c>
      <c r="C181" s="267"/>
      <c r="D181" s="227">
        <v>1.0</v>
      </c>
      <c r="E181" s="247"/>
      <c r="F181" s="235" t="s">
        <v>202</v>
      </c>
      <c r="G181" s="235"/>
      <c r="H181" s="272"/>
      <c r="I181" s="281">
        <v>1.0</v>
      </c>
      <c r="J181" s="282">
        <v>1.0</v>
      </c>
      <c r="K181" s="283">
        <v>1.0</v>
      </c>
      <c r="L181" s="235" t="s">
        <v>202</v>
      </c>
      <c r="M181" s="274">
        <f>IF(AND(H181&lt;&gt;"", J181&lt;&gt;""), H181-J181, IF(H181&lt;&gt;"", H181-I181*VLOOKUP(A181, BACKEND1!$A:$G,6,FALSE), IF(J181&lt;&gt;"", -J181+K181*VLOOKUP(A181, BACKEND1!$A:$G,6,FALSE),0)))+ (C181+D181-E181)*VLOOKUP(A181, BACKEND1!$A:$G,5,FALSE)+G181
</f>
        <v>0</v>
      </c>
      <c r="N181" s="191"/>
      <c r="O181" s="247"/>
    </row>
    <row r="182">
      <c r="A182" s="12" t="s">
        <v>212</v>
      </c>
      <c r="B182" s="12" t="s">
        <v>202</v>
      </c>
      <c r="C182" s="267"/>
      <c r="D182" s="191"/>
      <c r="E182" s="247"/>
      <c r="F182" s="235" t="s">
        <v>202</v>
      </c>
      <c r="G182" s="235"/>
      <c r="H182" s="272">
        <v>0.021</v>
      </c>
      <c r="I182" s="281">
        <v>1.0</v>
      </c>
      <c r="J182" s="284"/>
      <c r="K182" s="283">
        <v>1.0</v>
      </c>
      <c r="L182" s="235" t="s">
        <v>202</v>
      </c>
      <c r="M182" s="274">
        <f>IF(AND(H182&lt;&gt;"", J182&lt;&gt;""), H182-J182, IF(H182&lt;&gt;"", H182-I182*VLOOKUP(A182, BACKEND1!$A:$G,6,FALSE), IF(J182&lt;&gt;"", -J182+K182*VLOOKUP(A182, BACKEND1!$A:$G,6,FALSE),0)))+ (C182+D182-E182)*VLOOKUP(A182, BACKEND1!$A:$G,5,FALSE)+G182
</f>
        <v>0.021</v>
      </c>
      <c r="N182" s="191"/>
      <c r="O182" s="247"/>
    </row>
    <row r="183">
      <c r="A183" s="12" t="s">
        <v>213</v>
      </c>
      <c r="B183" s="12" t="s">
        <v>35</v>
      </c>
      <c r="C183" s="267"/>
      <c r="D183" s="191"/>
      <c r="E183" s="247"/>
      <c r="F183" s="235" t="s">
        <v>35</v>
      </c>
      <c r="G183" s="235"/>
      <c r="H183" s="268"/>
      <c r="I183" s="281">
        <v>1.0</v>
      </c>
      <c r="J183" s="284"/>
      <c r="K183" s="283">
        <v>1.0</v>
      </c>
      <c r="L183" s="235" t="s">
        <v>35</v>
      </c>
      <c r="M183" s="274">
        <f>IF(AND(H183&lt;&gt;"", J183&lt;&gt;""), H183-J183, IF(H183&lt;&gt;"", H183-I183*VLOOKUP(A183, BACKEND1!$A:$G,6,FALSE), IF(J183&lt;&gt;"", -J183+K183*VLOOKUP(A183, BACKEND1!$A:$G,6,FALSE),0)))+ (C183+D183-E183)*VLOOKUP(A183, BACKEND1!$A:$G,5,FALSE)+G183
</f>
        <v>0</v>
      </c>
      <c r="N183" s="191"/>
      <c r="O183" s="247"/>
    </row>
    <row r="184">
      <c r="A184" s="12" t="s">
        <v>214</v>
      </c>
      <c r="B184" s="12" t="s">
        <v>40</v>
      </c>
      <c r="C184" s="267"/>
      <c r="D184" s="191"/>
      <c r="E184" s="247"/>
      <c r="F184" s="235" t="s">
        <v>35</v>
      </c>
      <c r="G184" s="235"/>
      <c r="H184" s="272">
        <v>0.228</v>
      </c>
      <c r="I184" s="281">
        <v>1.0</v>
      </c>
      <c r="J184" s="282">
        <v>0.187</v>
      </c>
      <c r="K184" s="283">
        <v>1.0</v>
      </c>
      <c r="L184" s="235" t="s">
        <v>35</v>
      </c>
      <c r="M184" s="274">
        <f>IF(AND(H184&lt;&gt;"", J184&lt;&gt;""), H184-J184, IF(H184&lt;&gt;"", H184-I184*VLOOKUP(A184, BACKEND1!$A:$G,6,FALSE), IF(J184&lt;&gt;"", -J184+K184*VLOOKUP(A184, BACKEND1!$A:$G,6,FALSE),0)))+ (C184+D184-E184)*VLOOKUP(A184, BACKEND1!$A:$G,5,FALSE)+G184
</f>
        <v>0.041</v>
      </c>
      <c r="N184" s="191"/>
      <c r="O184" s="247"/>
    </row>
    <row r="185">
      <c r="A185" s="12" t="s">
        <v>215</v>
      </c>
      <c r="B185" s="12" t="s">
        <v>35</v>
      </c>
      <c r="C185" s="267"/>
      <c r="D185" s="191"/>
      <c r="E185" s="247"/>
      <c r="F185" s="235" t="s">
        <v>35</v>
      </c>
      <c r="G185" s="235"/>
      <c r="H185" s="268"/>
      <c r="I185" s="281">
        <v>1.0</v>
      </c>
      <c r="J185" s="284"/>
      <c r="K185" s="283">
        <v>1.0</v>
      </c>
      <c r="L185" s="235" t="s">
        <v>35</v>
      </c>
      <c r="M185" s="274">
        <f>IF(AND(H185&lt;&gt;"", J185&lt;&gt;""), H185-J185, IF(H185&lt;&gt;"", H185-I185*VLOOKUP(A185, BACKEND1!$A:$G,6,FALSE), IF(J185&lt;&gt;"", -J185+K185*VLOOKUP(A185, BACKEND1!$A:$G,6,FALSE),0)))+ (C185+D185-E185)*VLOOKUP(A185, BACKEND1!$A:$G,5,FALSE)+G185
</f>
        <v>0</v>
      </c>
      <c r="N185" s="191"/>
      <c r="O185" s="247"/>
    </row>
    <row r="186">
      <c r="A186" s="12" t="s">
        <v>216</v>
      </c>
      <c r="B186" s="12" t="s">
        <v>17</v>
      </c>
      <c r="C186" s="267"/>
      <c r="D186" s="191"/>
      <c r="E186" s="247"/>
      <c r="F186" s="235" t="s">
        <v>17</v>
      </c>
      <c r="G186" s="235"/>
      <c r="H186" s="272">
        <v>1.5</v>
      </c>
      <c r="I186" s="281">
        <v>1.0</v>
      </c>
      <c r="J186" s="282">
        <v>1.025</v>
      </c>
      <c r="K186" s="283">
        <v>1.0</v>
      </c>
      <c r="L186" s="235" t="s">
        <v>17</v>
      </c>
      <c r="M186" s="274">
        <f>IF(AND(H186&lt;&gt;"", J186&lt;&gt;""), H186-J186, IF(H186&lt;&gt;"", H186-I186*VLOOKUP(A186, BACKEND1!$A:$G,6,FALSE), IF(J186&lt;&gt;"", -J186+K186*VLOOKUP(A186, BACKEND1!$A:$G,6,FALSE),0)))+ (C186+D186-E186)*VLOOKUP(A186, BACKEND1!$A:$G,5,FALSE)+G186
</f>
        <v>0.475</v>
      </c>
      <c r="N186" s="191"/>
      <c r="O186" s="247"/>
    </row>
    <row r="187">
      <c r="A187" s="12" t="s">
        <v>217</v>
      </c>
      <c r="B187" s="12" t="s">
        <v>35</v>
      </c>
      <c r="C187" s="267"/>
      <c r="D187" s="191"/>
      <c r="E187" s="247"/>
      <c r="F187" s="235" t="s">
        <v>35</v>
      </c>
      <c r="G187" s="235"/>
      <c r="H187" s="272">
        <v>0.609</v>
      </c>
      <c r="I187" s="281">
        <v>1.0</v>
      </c>
      <c r="J187" s="282">
        <v>0.287</v>
      </c>
      <c r="K187" s="283">
        <v>1.0</v>
      </c>
      <c r="L187" s="235" t="s">
        <v>35</v>
      </c>
      <c r="M187" s="274">
        <f>IF(AND(H187&lt;&gt;"", J187&lt;&gt;""), H187-J187, IF(H187&lt;&gt;"", H187-I187*VLOOKUP(A187, BACKEND1!$A:$G,6,FALSE), IF(J187&lt;&gt;"", -J187+K187*VLOOKUP(A187, BACKEND1!$A:$G,6,FALSE),0)))+ (C187+D187-E187)*VLOOKUP(A187, BACKEND1!$A:$G,5,FALSE)+G187
</f>
        <v>0.322</v>
      </c>
      <c r="N187" s="191"/>
      <c r="O187" s="247"/>
    </row>
    <row r="188">
      <c r="A188" s="12" t="s">
        <v>218</v>
      </c>
      <c r="B188" s="12" t="s">
        <v>17</v>
      </c>
      <c r="C188" s="267"/>
      <c r="D188" s="227">
        <v>2.0</v>
      </c>
      <c r="E188" s="247"/>
      <c r="F188" s="235" t="s">
        <v>17</v>
      </c>
      <c r="G188" s="235"/>
      <c r="H188" s="272">
        <v>1.5</v>
      </c>
      <c r="I188" s="281">
        <v>1.0</v>
      </c>
      <c r="J188" s="282">
        <v>1.025</v>
      </c>
      <c r="K188" s="283">
        <v>1.0</v>
      </c>
      <c r="L188" s="235" t="s">
        <v>17</v>
      </c>
      <c r="M188" s="274">
        <f>IF(AND(H188&lt;&gt;"", J188&lt;&gt;""), H188-J188, IF(H188&lt;&gt;"", H188-I188*VLOOKUP(A188, BACKEND1!$A:$G,6,FALSE), IF(J188&lt;&gt;"", -J188+K188*VLOOKUP(A188, BACKEND1!$A:$G,6,FALSE),0)))+ (C188+D188-E188)*VLOOKUP(A188, BACKEND1!$A:$G,5,FALSE)+G188
</f>
        <v>2.475</v>
      </c>
      <c r="N188" s="191"/>
      <c r="O188" s="247"/>
    </row>
    <row r="189">
      <c r="A189" s="12" t="s">
        <v>220</v>
      </c>
      <c r="B189" s="12" t="s">
        <v>35</v>
      </c>
      <c r="C189" s="267"/>
      <c r="D189" s="191"/>
      <c r="E189" s="247"/>
      <c r="F189" s="235" t="s">
        <v>35</v>
      </c>
      <c r="G189" s="235"/>
      <c r="H189" s="272"/>
      <c r="I189" s="281">
        <v>1.0</v>
      </c>
      <c r="J189" s="284"/>
      <c r="K189" s="283">
        <v>1.0</v>
      </c>
      <c r="L189" s="235" t="s">
        <v>35</v>
      </c>
      <c r="M189" s="274">
        <f>IF(AND(H189&lt;&gt;"", J189&lt;&gt;""), H189-J189, IF(H189&lt;&gt;"", H189-I189*VLOOKUP(A189, BACKEND1!$A:$G,6,FALSE), IF(J189&lt;&gt;"", -J189+K189*VLOOKUP(A189, BACKEND1!$A:$G,6,FALSE),0)))+ (C189+D189-E189)*VLOOKUP(A189, BACKEND1!$A:$G,5,FALSE)+G189
</f>
        <v>0</v>
      </c>
      <c r="N189" s="191"/>
      <c r="O189" s="247"/>
    </row>
    <row r="190">
      <c r="A190" s="12" t="s">
        <v>221</v>
      </c>
      <c r="B190" s="12" t="s">
        <v>17</v>
      </c>
      <c r="C190" s="267"/>
      <c r="D190" s="227">
        <v>4.0</v>
      </c>
      <c r="E190" s="247"/>
      <c r="F190" s="235" t="s">
        <v>17</v>
      </c>
      <c r="G190" s="235"/>
      <c r="H190" s="272">
        <v>4.5</v>
      </c>
      <c r="I190" s="281">
        <v>1.0</v>
      </c>
      <c r="J190" s="282">
        <v>1.0</v>
      </c>
      <c r="K190" s="283">
        <v>1.0</v>
      </c>
      <c r="L190" s="235" t="s">
        <v>17</v>
      </c>
      <c r="M190" s="274">
        <f>IF(AND(H190&lt;&gt;"", J190&lt;&gt;""), H190-J190, IF(H190&lt;&gt;"", H190-I190*VLOOKUP(A190, BACKEND1!$A:$G,6,FALSE), IF(J190&lt;&gt;"", -J190+K190*VLOOKUP(A190, BACKEND1!$A:$G,6,FALSE),0)))+ (C190+D190-E190)*VLOOKUP(A190, BACKEND1!$A:$G,5,FALSE)+G190
</f>
        <v>7.5</v>
      </c>
      <c r="N190" s="191"/>
      <c r="O190" s="247"/>
    </row>
    <row r="191">
      <c r="A191" s="12" t="s">
        <v>222</v>
      </c>
      <c r="B191" s="12" t="s">
        <v>17</v>
      </c>
      <c r="C191" s="267"/>
      <c r="D191" s="191"/>
      <c r="E191" s="247"/>
      <c r="F191" s="235" t="s">
        <v>17</v>
      </c>
      <c r="G191" s="235"/>
      <c r="H191" s="268"/>
      <c r="I191" s="281">
        <v>1.0</v>
      </c>
      <c r="J191" s="284"/>
      <c r="K191" s="283">
        <v>1.0</v>
      </c>
      <c r="L191" s="235" t="s">
        <v>17</v>
      </c>
      <c r="M191" s="274">
        <f>IF(AND(H191&lt;&gt;"", J191&lt;&gt;""), H191-J191, IF(H191&lt;&gt;"", H191-I191*VLOOKUP(A191, BACKEND1!$A:$G,6,FALSE), IF(J191&lt;&gt;"", -J191+K191*VLOOKUP(A191, BACKEND1!$A:$G,6,FALSE),0)))+ (C191+D191-E191)*VLOOKUP(A191, BACKEND1!$A:$G,5,FALSE)+G191
</f>
        <v>0</v>
      </c>
      <c r="N191" s="191"/>
      <c r="O191" s="247"/>
    </row>
    <row r="192">
      <c r="A192" s="12" t="s">
        <v>223</v>
      </c>
      <c r="B192" s="12" t="s">
        <v>17</v>
      </c>
      <c r="C192" s="267"/>
      <c r="D192" s="227">
        <v>2.0</v>
      </c>
      <c r="E192" s="247"/>
      <c r="F192" s="235" t="s">
        <v>17</v>
      </c>
      <c r="G192" s="235"/>
      <c r="H192" s="272"/>
      <c r="I192" s="281">
        <v>1.0</v>
      </c>
      <c r="J192" s="284"/>
      <c r="K192" s="283">
        <v>1.0</v>
      </c>
      <c r="L192" s="235" t="s">
        <v>17</v>
      </c>
      <c r="M192" s="274">
        <f>IF(AND(H192&lt;&gt;"", J192&lt;&gt;""), H192-J192, IF(H192&lt;&gt;"", H192-I192*VLOOKUP(A192, BACKEND1!$A:$G,6,FALSE), IF(J192&lt;&gt;"", -J192+K192*VLOOKUP(A192, BACKEND1!$A:$G,6,FALSE),0)))+ (C192+D192-E192)*VLOOKUP(A192, BACKEND1!$A:$G,5,FALSE)+G192
</f>
        <v>2</v>
      </c>
      <c r="N192" s="191"/>
      <c r="O192" s="247"/>
    </row>
    <row r="193">
      <c r="A193" s="12" t="s">
        <v>224</v>
      </c>
      <c r="B193" s="12" t="s">
        <v>202</v>
      </c>
      <c r="C193" s="267"/>
      <c r="D193" s="227">
        <v>1.0</v>
      </c>
      <c r="E193" s="247"/>
      <c r="F193" s="235" t="s">
        <v>202</v>
      </c>
      <c r="G193" s="235"/>
      <c r="H193" s="272"/>
      <c r="I193" s="281">
        <v>1.0</v>
      </c>
      <c r="J193" s="282">
        <v>1.0</v>
      </c>
      <c r="K193" s="283">
        <v>1.0</v>
      </c>
      <c r="L193" s="235" t="s">
        <v>202</v>
      </c>
      <c r="M193" s="274">
        <f>IF(AND(H193&lt;&gt;"", J193&lt;&gt;""), H193-J193, IF(H193&lt;&gt;"", H193-I193*VLOOKUP(A193, BACKEND1!$A:$G,6,FALSE), IF(J193&lt;&gt;"", -J193+K193*VLOOKUP(A193, BACKEND1!$A:$G,6,FALSE),0)))+ (C193+D193-E193)*VLOOKUP(A193, BACKEND1!$A:$G,5,FALSE)+G193
</f>
        <v>0</v>
      </c>
      <c r="N193" s="191"/>
      <c r="O193" s="247"/>
    </row>
    <row r="194">
      <c r="A194" s="12" t="s">
        <v>225</v>
      </c>
      <c r="B194" s="12" t="s">
        <v>35</v>
      </c>
      <c r="C194" s="267"/>
      <c r="D194" s="191"/>
      <c r="E194" s="247"/>
      <c r="F194" s="235" t="s">
        <v>35</v>
      </c>
      <c r="G194" s="235"/>
      <c r="H194" s="272">
        <v>1.0</v>
      </c>
      <c r="I194" s="281">
        <v>1.0</v>
      </c>
      <c r="J194" s="282">
        <v>1.0</v>
      </c>
      <c r="K194" s="283">
        <v>1.0</v>
      </c>
      <c r="L194" s="235" t="s">
        <v>35</v>
      </c>
      <c r="M194" s="274">
        <f>IF(AND(H194&lt;&gt;"", J194&lt;&gt;""), H194-J194, IF(H194&lt;&gt;"", H194-I194*VLOOKUP(A194, BACKEND1!$A:$G,6,FALSE), IF(J194&lt;&gt;"", -J194+K194*VLOOKUP(A194, BACKEND1!$A:$G,6,FALSE),0)))+ (C194+D194-E194)*VLOOKUP(A194, BACKEND1!$A:$G,5,FALSE)+G194
</f>
        <v>0</v>
      </c>
      <c r="N194" s="191"/>
      <c r="O194" s="247"/>
    </row>
    <row r="195">
      <c r="A195" s="12" t="s">
        <v>227</v>
      </c>
      <c r="B195" s="12" t="s">
        <v>35</v>
      </c>
      <c r="C195" s="267"/>
      <c r="D195" s="191"/>
      <c r="E195" s="247"/>
      <c r="F195" s="235" t="s">
        <v>35</v>
      </c>
      <c r="G195" s="285">
        <v>1.3</v>
      </c>
      <c r="H195" s="272">
        <v>1.2</v>
      </c>
      <c r="I195" s="281">
        <v>1.0</v>
      </c>
      <c r="J195" s="282">
        <v>1.348</v>
      </c>
      <c r="K195" s="283">
        <v>1.0</v>
      </c>
      <c r="L195" s="235" t="s">
        <v>35</v>
      </c>
      <c r="M195" s="274">
        <f>IF(AND(H195&lt;&gt;"", J195&lt;&gt;""), H195-J195, IF(H195&lt;&gt;"", H195-I195*VLOOKUP(A195, BACKEND1!$A:$G,6,FALSE), IF(J195&lt;&gt;"", -J195+K195*VLOOKUP(A195, BACKEND1!$A:$G,6,FALSE),0)))+ (C195+D195-E195)*VLOOKUP(A195, BACKEND1!$A:$G,5,FALSE)+G195
</f>
        <v>1.152</v>
      </c>
      <c r="N195" s="191"/>
      <c r="O195" s="247"/>
    </row>
    <row r="196">
      <c r="A196" s="12" t="s">
        <v>228</v>
      </c>
      <c r="B196" s="12" t="s">
        <v>155</v>
      </c>
      <c r="C196" s="267"/>
      <c r="D196" s="191"/>
      <c r="E196" s="247"/>
      <c r="F196" s="235" t="s">
        <v>35</v>
      </c>
      <c r="G196" s="235"/>
      <c r="H196" s="272"/>
      <c r="I196" s="281">
        <v>1.0</v>
      </c>
      <c r="J196" s="284"/>
      <c r="K196" s="283">
        <v>1.0</v>
      </c>
      <c r="L196" s="235" t="s">
        <v>35</v>
      </c>
      <c r="M196" s="274">
        <f>IF(AND(H196&lt;&gt;"", J196&lt;&gt;""), H196-J196, IF(H196&lt;&gt;"", H196-I196*VLOOKUP(A196, BACKEND1!$A:$G,6,FALSE), IF(J196&lt;&gt;"", -J196+K196*VLOOKUP(A196, BACKEND1!$A:$G,6,FALSE),0)))+ (C196+D196-E196)*VLOOKUP(A196, BACKEND1!$A:$G,5,FALSE)+G196
</f>
        <v>0</v>
      </c>
      <c r="N196" s="191"/>
      <c r="O196" s="247"/>
    </row>
    <row r="197">
      <c r="A197" s="12" t="s">
        <v>229</v>
      </c>
      <c r="B197" s="12" t="s">
        <v>17</v>
      </c>
      <c r="C197" s="267"/>
      <c r="D197" s="191"/>
      <c r="E197" s="247"/>
      <c r="F197" s="235" t="s">
        <v>17</v>
      </c>
      <c r="G197" s="235"/>
      <c r="H197" s="272">
        <v>0.5</v>
      </c>
      <c r="I197" s="281">
        <v>1.0</v>
      </c>
      <c r="J197" s="282">
        <v>0.276</v>
      </c>
      <c r="K197" s="283">
        <v>1.0</v>
      </c>
      <c r="L197" s="235" t="s">
        <v>17</v>
      </c>
      <c r="M197" s="274">
        <f>IF(AND(H197&lt;&gt;"", J197&lt;&gt;""), H197-J197, IF(H197&lt;&gt;"", H197-I197*VLOOKUP(A197, BACKEND1!$A:$G,6,FALSE), IF(J197&lt;&gt;"", -J197+K197*VLOOKUP(A197, BACKEND1!$A:$G,6,FALSE),0)))+ (C197+D197-E197)*VLOOKUP(A197, BACKEND1!$A:$G,5,FALSE)+G197
</f>
        <v>0.224</v>
      </c>
      <c r="N197" s="191"/>
      <c r="O197" s="247"/>
    </row>
    <row r="198">
      <c r="A198" s="12" t="s">
        <v>231</v>
      </c>
      <c r="B198" s="12" t="s">
        <v>35</v>
      </c>
      <c r="C198" s="267"/>
      <c r="D198" s="191"/>
      <c r="E198" s="247"/>
      <c r="F198" s="235" t="s">
        <v>35</v>
      </c>
      <c r="G198" s="235"/>
      <c r="H198" s="272">
        <v>1.0</v>
      </c>
      <c r="I198" s="281">
        <v>1.0</v>
      </c>
      <c r="J198" s="282">
        <v>0.35</v>
      </c>
      <c r="K198" s="283">
        <v>1.0</v>
      </c>
      <c r="L198" s="235" t="s">
        <v>35</v>
      </c>
      <c r="M198" s="274">
        <f>IF(AND(H198&lt;&gt;"", J198&lt;&gt;""), H198-J198, IF(H198&lt;&gt;"", H198-I198*VLOOKUP(A198, BACKEND1!$A:$G,6,FALSE), IF(J198&lt;&gt;"", -J198+K198*VLOOKUP(A198, BACKEND1!$A:$G,6,FALSE),0)))+ (C198+D198-E198)*VLOOKUP(A198, BACKEND1!$A:$G,5,FALSE)+G198
</f>
        <v>0.65</v>
      </c>
      <c r="N198" s="191"/>
      <c r="O198" s="247"/>
    </row>
    <row r="199">
      <c r="A199" s="12" t="s">
        <v>232</v>
      </c>
      <c r="B199" s="12" t="s">
        <v>202</v>
      </c>
      <c r="C199" s="267"/>
      <c r="D199" s="191"/>
      <c r="E199" s="247"/>
      <c r="F199" s="235" t="s">
        <v>202</v>
      </c>
      <c r="G199" s="285">
        <v>0.025</v>
      </c>
      <c r="H199" s="272"/>
      <c r="I199" s="281">
        <v>1.0</v>
      </c>
      <c r="J199" s="282">
        <v>0.025</v>
      </c>
      <c r="K199" s="283">
        <v>1.0</v>
      </c>
      <c r="L199" s="235" t="s">
        <v>202</v>
      </c>
      <c r="M199" s="274">
        <f>IF(AND(H199&lt;&gt;"", J199&lt;&gt;""), H199-J199, IF(H199&lt;&gt;"", H199-I199*VLOOKUP(A199, BACKEND1!$A:$G,6,FALSE), IF(J199&lt;&gt;"", -J199+K199*VLOOKUP(A199, BACKEND1!$A:$G,6,FALSE),0)))+ (C199+D199-E199)*VLOOKUP(A199, BACKEND1!$A:$G,5,FALSE)+G199
</f>
        <v>0</v>
      </c>
      <c r="N199" s="191"/>
      <c r="O199" s="247"/>
    </row>
    <row r="200">
      <c r="A200" s="12" t="s">
        <v>233</v>
      </c>
      <c r="B200" s="12" t="s">
        <v>17</v>
      </c>
      <c r="C200" s="267"/>
      <c r="D200" s="227">
        <v>2.0</v>
      </c>
      <c r="E200" s="280">
        <v>2.0</v>
      </c>
      <c r="F200" s="235" t="s">
        <v>234</v>
      </c>
      <c r="G200" s="285"/>
      <c r="H200" s="272">
        <v>1.0</v>
      </c>
      <c r="I200" s="281">
        <v>1.0</v>
      </c>
      <c r="J200" s="282">
        <v>0.5</v>
      </c>
      <c r="K200" s="283">
        <v>1.0</v>
      </c>
      <c r="L200" s="235" t="s">
        <v>234</v>
      </c>
      <c r="M200" s="274">
        <f>IF(AND(H200&lt;&gt;"", J200&lt;&gt;""), H200-J200, IF(H200&lt;&gt;"", H200-I200*VLOOKUP(A200, BACKEND1!$A:$G,6,FALSE), IF(J200&lt;&gt;"", -J200+K200*VLOOKUP(A200, BACKEND1!$A:$G,6,FALSE),0)))+ (C200+D200-E200)*VLOOKUP(A200, BACKEND1!$A:$G,5,FALSE)+G200
</f>
        <v>0.5</v>
      </c>
      <c r="N200" s="191"/>
      <c r="O200" s="247"/>
    </row>
    <row r="201">
      <c r="A201" s="25" t="s">
        <v>235</v>
      </c>
      <c r="B201" s="26" t="s">
        <v>202</v>
      </c>
      <c r="C201" s="267"/>
      <c r="D201" s="227">
        <v>1.0</v>
      </c>
      <c r="E201" s="247"/>
      <c r="F201" s="235" t="s">
        <v>202</v>
      </c>
      <c r="G201" s="235"/>
      <c r="H201" s="272"/>
      <c r="I201" s="281">
        <v>1.0</v>
      </c>
      <c r="J201" s="284"/>
      <c r="K201" s="283">
        <v>1.0</v>
      </c>
      <c r="L201" s="235" t="s">
        <v>202</v>
      </c>
      <c r="M201" s="274">
        <f>IF(AND(H201&lt;&gt;"", J201&lt;&gt;""), H201-J201, IF(H201&lt;&gt;"", H201-I201*VLOOKUP(A201, BACKEND1!$A:$G,6,FALSE), IF(J201&lt;&gt;"", -J201+K201*VLOOKUP(A201, BACKEND1!$A:$G,6,FALSE),0)))+ (C201+D201-E201)*VLOOKUP(A201, BACKEND1!$A:$G,5,FALSE)+G201
</f>
        <v>1</v>
      </c>
      <c r="N201" s="191"/>
      <c r="O201" s="247"/>
    </row>
    <row r="202">
      <c r="A202" s="25" t="s">
        <v>236</v>
      </c>
      <c r="B202" s="26" t="s">
        <v>237</v>
      </c>
      <c r="C202" s="267"/>
      <c r="D202" s="191"/>
      <c r="E202" s="247"/>
      <c r="F202" s="235" t="s">
        <v>35</v>
      </c>
      <c r="G202" s="235"/>
      <c r="H202" s="272">
        <v>0.714</v>
      </c>
      <c r="I202" s="281">
        <v>1.0</v>
      </c>
      <c r="J202" s="282">
        <v>0.5</v>
      </c>
      <c r="K202" s="283">
        <v>1.0</v>
      </c>
      <c r="L202" s="235" t="s">
        <v>35</v>
      </c>
      <c r="M202" s="274">
        <f>IF(AND(H202&lt;&gt;"", J202&lt;&gt;""), H202-J202, IF(H202&lt;&gt;"", H202-I202*VLOOKUP(A202, BACKEND1!$A:$G,6,FALSE), IF(J202&lt;&gt;"", -J202+K202*VLOOKUP(A202, BACKEND1!$A:$G,6,FALSE),0)))+ (C202+D202-E202)*VLOOKUP(A202, BACKEND1!$A:$G,5,FALSE)+G202
</f>
        <v>0.214</v>
      </c>
      <c r="N202" s="191"/>
      <c r="O202" s="247"/>
    </row>
    <row r="203">
      <c r="A203" s="25" t="s">
        <v>238</v>
      </c>
      <c r="B203" s="26" t="s">
        <v>202</v>
      </c>
      <c r="C203" s="267"/>
      <c r="D203" s="227">
        <v>1.0</v>
      </c>
      <c r="E203" s="247"/>
      <c r="F203" s="235" t="s">
        <v>202</v>
      </c>
      <c r="G203" s="235"/>
      <c r="H203" s="268"/>
      <c r="I203" s="281">
        <v>1.0</v>
      </c>
      <c r="J203" s="282">
        <v>1.0</v>
      </c>
      <c r="K203" s="283">
        <v>1.0</v>
      </c>
      <c r="L203" s="235" t="s">
        <v>202</v>
      </c>
      <c r="M203" s="274">
        <f>IF(AND(H203&lt;&gt;"", J203&lt;&gt;""), H203-J203, IF(H203&lt;&gt;"", H203-I203*VLOOKUP(A203, BACKEND1!$A:$G,6,FALSE), IF(J203&lt;&gt;"", -J203+K203*VLOOKUP(A203, BACKEND1!$A:$G,6,FALSE),0)))+ (C203+D203-E203)*VLOOKUP(A203, BACKEND1!$A:$G,5,FALSE)+G203
</f>
        <v>0</v>
      </c>
      <c r="N203" s="191"/>
      <c r="O203" s="247"/>
    </row>
    <row r="204">
      <c r="A204" s="25" t="s">
        <v>239</v>
      </c>
      <c r="B204" s="26" t="s">
        <v>35</v>
      </c>
      <c r="C204" s="267"/>
      <c r="D204" s="191"/>
      <c r="E204" s="247"/>
      <c r="F204" s="235" t="s">
        <v>35</v>
      </c>
      <c r="G204" s="235"/>
      <c r="H204" s="268"/>
      <c r="I204" s="281">
        <v>1.0</v>
      </c>
      <c r="J204" s="284"/>
      <c r="K204" s="283">
        <v>1.0</v>
      </c>
      <c r="L204" s="293" t="s">
        <v>35</v>
      </c>
      <c r="M204" s="274">
        <f>IF(AND(H204&lt;&gt;"", J204&lt;&gt;""), H204-J204, IF(H204&lt;&gt;"", H204-I204*VLOOKUP(A204, BACKEND1!$A:$G,6,FALSE), IF(J204&lt;&gt;"", -J204+K204*VLOOKUP(A204, BACKEND1!$A:$G,6,FALSE),0)))+ (C204+D204-E204)*VLOOKUP(A204, BACKEND1!$A:$G,5,FALSE)+G204
</f>
        <v>0</v>
      </c>
      <c r="N204" s="191"/>
      <c r="O204" s="247"/>
    </row>
    <row r="205">
      <c r="A205" s="12" t="s">
        <v>240</v>
      </c>
      <c r="B205" s="12" t="s">
        <v>241</v>
      </c>
      <c r="C205" s="267"/>
      <c r="D205" s="227">
        <v>3.0</v>
      </c>
      <c r="E205" s="247"/>
      <c r="F205" s="235" t="s">
        <v>17</v>
      </c>
      <c r="G205" s="235"/>
      <c r="H205" s="272">
        <v>1.0</v>
      </c>
      <c r="I205" s="281">
        <v>1.0</v>
      </c>
      <c r="J205" s="282">
        <v>2.0</v>
      </c>
      <c r="K205" s="283">
        <v>1.0</v>
      </c>
      <c r="L205" s="293" t="s">
        <v>17</v>
      </c>
      <c r="M205" s="274">
        <f>IF(AND(H205&lt;&gt;"", J205&lt;&gt;""), H205-J205, IF(H205&lt;&gt;"", H205-I205*VLOOKUP(A205, BACKEND1!$A:$G,6,FALSE), IF(J205&lt;&gt;"", -J205+K205*VLOOKUP(A205, BACKEND1!$A:$G,6,FALSE),0)))+ (C205+D205-E205)*VLOOKUP(A205, BACKEND1!$A:$G,5,FALSE)+G205
</f>
        <v>2</v>
      </c>
      <c r="N205" s="191"/>
      <c r="O205" s="247"/>
    </row>
    <row r="206">
      <c r="A206" s="12" t="s">
        <v>242</v>
      </c>
      <c r="B206" s="12" t="s">
        <v>35</v>
      </c>
      <c r="C206" s="267"/>
      <c r="D206" s="227">
        <v>100.0</v>
      </c>
      <c r="E206" s="247"/>
      <c r="F206" s="235" t="s">
        <v>35</v>
      </c>
      <c r="G206" s="235"/>
      <c r="H206" s="272">
        <v>20.0</v>
      </c>
      <c r="I206" s="281">
        <v>1.0</v>
      </c>
      <c r="J206" s="282">
        <v>80.0</v>
      </c>
      <c r="K206" s="283">
        <v>1.0</v>
      </c>
      <c r="L206" s="293" t="s">
        <v>35</v>
      </c>
      <c r="M206" s="274">
        <f>IF(AND(H206&lt;&gt;"", J206&lt;&gt;""), H206-J206, IF(H206&lt;&gt;"", H206-I206*VLOOKUP(A206, BACKEND1!$A:$G,6,FALSE), IF(J206&lt;&gt;"", -J206+K206*VLOOKUP(A206, BACKEND1!$A:$G,6,FALSE),0)))+ (C206+D206-E206)*VLOOKUP(A206, BACKEND1!$A:$G,5,FALSE)+G206
</f>
        <v>40</v>
      </c>
      <c r="N206" s="191"/>
      <c r="O206" s="247"/>
    </row>
    <row r="207">
      <c r="A207" s="12" t="s">
        <v>243</v>
      </c>
      <c r="B207" s="12" t="s">
        <v>241</v>
      </c>
      <c r="C207" s="267"/>
      <c r="D207" s="191"/>
      <c r="E207" s="247"/>
      <c r="F207" s="235" t="s">
        <v>17</v>
      </c>
      <c r="G207" s="285">
        <v>6.0</v>
      </c>
      <c r="H207" s="272">
        <v>6.0</v>
      </c>
      <c r="I207" s="281">
        <v>1.0</v>
      </c>
      <c r="J207" s="282">
        <v>2.0</v>
      </c>
      <c r="K207" s="283">
        <v>1.0</v>
      </c>
      <c r="L207" s="293" t="s">
        <v>17</v>
      </c>
      <c r="M207" s="274">
        <f>IF(AND(H207&lt;&gt;"", J207&lt;&gt;""), H207-J207, IF(H207&lt;&gt;"", H207-I207*VLOOKUP(A207, BACKEND1!$A:$G,6,FALSE), IF(J207&lt;&gt;"", -J207+K207*VLOOKUP(A207, BACKEND1!$A:$G,6,FALSE),0)))+ (C207+D207-E207)*VLOOKUP(A207, BACKEND1!$A:$G,5,FALSE)+G207
</f>
        <v>10</v>
      </c>
      <c r="N207" s="191"/>
      <c r="O207" s="247"/>
    </row>
    <row r="208">
      <c r="A208" s="10" t="s">
        <v>245</v>
      </c>
      <c r="B208" s="11"/>
      <c r="C208" s="267"/>
      <c r="D208" s="191"/>
      <c r="E208" s="247"/>
      <c r="F208" s="235"/>
      <c r="G208" s="235"/>
      <c r="H208" s="268"/>
      <c r="I208" s="281">
        <v>1.0</v>
      </c>
      <c r="J208" s="284"/>
      <c r="K208" s="283">
        <v>1.0</v>
      </c>
      <c r="L208" s="293"/>
      <c r="M208" s="274">
        <f>IF(AND(H208&lt;&gt;"", J208&lt;&gt;""), H208-J208, IF(H208&lt;&gt;"", H208-I208*VLOOKUP(A208, BACKEND1!$A:$G,6,FALSE), IF(J208&lt;&gt;"", -J208+K208*VLOOKUP(A208, BACKEND1!$A:$G,6,FALSE),0)))+ (C208+D208-E208)*VLOOKUP(A208, BACKEND1!$A:$G,5,FALSE)+G208
</f>
        <v>0</v>
      </c>
      <c r="N208" s="191"/>
      <c r="O208" s="247"/>
    </row>
    <row r="209">
      <c r="A209" s="12" t="s">
        <v>154</v>
      </c>
      <c r="B209" s="12" t="s">
        <v>59</v>
      </c>
      <c r="C209" s="267"/>
      <c r="D209" s="227"/>
      <c r="E209" s="247"/>
      <c r="F209" s="235" t="s">
        <v>155</v>
      </c>
      <c r="G209" s="285">
        <v>1.0</v>
      </c>
      <c r="H209" s="272">
        <v>1.0</v>
      </c>
      <c r="I209" s="281">
        <v>1.0</v>
      </c>
      <c r="J209" s="282">
        <v>2.0</v>
      </c>
      <c r="K209" s="283">
        <v>1.0</v>
      </c>
      <c r="L209" s="293" t="s">
        <v>155</v>
      </c>
      <c r="M209" s="274">
        <f>IF(AND(H209&lt;&gt;"", J209&lt;&gt;""), H209-J209, IF(H209&lt;&gt;"", H209-I209*VLOOKUP(A209, BACKEND1!$A:$G,6,FALSE), IF(J209&lt;&gt;"", -J209+K209*VLOOKUP(A209, BACKEND1!$A:$G,6,FALSE),0)))+ (C209+D209-E209)*VLOOKUP(A209, BACKEND1!$A:$G,5,FALSE)+G209
</f>
        <v>0</v>
      </c>
      <c r="N209" s="191"/>
      <c r="O209" s="247"/>
    </row>
    <row r="210">
      <c r="A210" s="12" t="s">
        <v>247</v>
      </c>
      <c r="B210" s="13" t="s">
        <v>59</v>
      </c>
      <c r="C210" s="271">
        <v>1.0</v>
      </c>
      <c r="D210" s="191"/>
      <c r="E210" s="280">
        <v>1.0</v>
      </c>
      <c r="F210" s="235" t="s">
        <v>35</v>
      </c>
      <c r="G210" s="235"/>
      <c r="H210" s="272"/>
      <c r="I210" s="281">
        <v>1.0</v>
      </c>
      <c r="J210" s="282"/>
      <c r="K210" s="283">
        <v>1.0</v>
      </c>
      <c r="L210" s="293" t="s">
        <v>35</v>
      </c>
      <c r="M210" s="274">
        <f>IF(AND(H210&lt;&gt;"", J210&lt;&gt;""), H210-J210, IF(H210&lt;&gt;"", H210-I210*VLOOKUP(A210, BACKEND1!$A:$G,6,FALSE), IF(J210&lt;&gt;"", -J210+K210*VLOOKUP(A210, BACKEND1!$A:$G,6,FALSE),0)))+ (C210+D210-E210)*VLOOKUP(A210, BACKEND1!$A:$G,5,FALSE)+G210
</f>
        <v>0</v>
      </c>
      <c r="N210" s="191"/>
      <c r="O210" s="247"/>
    </row>
    <row r="211">
      <c r="A211" s="12" t="s">
        <v>248</v>
      </c>
      <c r="B211" s="13" t="s">
        <v>59</v>
      </c>
      <c r="C211" s="271">
        <v>2.0</v>
      </c>
      <c r="D211" s="191"/>
      <c r="E211" s="280">
        <v>2.0</v>
      </c>
      <c r="F211" s="235" t="s">
        <v>35</v>
      </c>
      <c r="G211" s="235"/>
      <c r="H211" s="272"/>
      <c r="I211" s="281">
        <v>1.0</v>
      </c>
      <c r="J211" s="284"/>
      <c r="K211" s="283">
        <v>1.0</v>
      </c>
      <c r="L211" s="293" t="s">
        <v>35</v>
      </c>
      <c r="M211" s="274">
        <f>IF(AND(H211&lt;&gt;"", J211&lt;&gt;""), H211-J211, IF(H211&lt;&gt;"", H211-I211*VLOOKUP(A211, BACKEND1!$A:$G,6,FALSE), IF(J211&lt;&gt;"", -J211+K211*VLOOKUP(A211, BACKEND1!$A:$G,6,FALSE),0)))+ (C211+D211-E211)*VLOOKUP(A211, BACKEND1!$A:$G,5,FALSE)+G211
</f>
        <v>0</v>
      </c>
      <c r="N211" s="191"/>
      <c r="O211" s="247"/>
    </row>
    <row r="212">
      <c r="A212" s="12" t="s">
        <v>250</v>
      </c>
      <c r="B212" s="13" t="s">
        <v>59</v>
      </c>
      <c r="C212" s="271">
        <v>1.0</v>
      </c>
      <c r="D212" s="191"/>
      <c r="E212" s="280">
        <v>0.425</v>
      </c>
      <c r="F212" s="235" t="s">
        <v>35</v>
      </c>
      <c r="G212" s="235"/>
      <c r="H212" s="272"/>
      <c r="I212" s="281">
        <v>1.0</v>
      </c>
      <c r="J212" s="284"/>
      <c r="K212" s="283">
        <v>1.0</v>
      </c>
      <c r="L212" s="293" t="s">
        <v>35</v>
      </c>
      <c r="M212" s="274">
        <f>IF(AND(H212&lt;&gt;"", J212&lt;&gt;""), H212-J212, IF(H212&lt;&gt;"", H212-I212*VLOOKUP(A212, BACKEND1!$A:$G,6,FALSE), IF(J212&lt;&gt;"", -J212+K212*VLOOKUP(A212, BACKEND1!$A:$G,6,FALSE),0)))+ (C212+D212-E212)*VLOOKUP(A212, BACKEND1!$A:$G,5,FALSE)+G212
</f>
        <v>0.25875</v>
      </c>
      <c r="N212" s="191"/>
      <c r="O212" s="247"/>
    </row>
    <row r="213">
      <c r="A213" s="12" t="s">
        <v>251</v>
      </c>
      <c r="B213" s="13" t="s">
        <v>34</v>
      </c>
      <c r="C213" s="267"/>
      <c r="D213" s="191"/>
      <c r="E213" s="247"/>
      <c r="F213" s="235" t="s">
        <v>35</v>
      </c>
      <c r="G213" s="235"/>
      <c r="H213" s="268"/>
      <c r="I213" s="281">
        <v>1.0</v>
      </c>
      <c r="J213" s="284"/>
      <c r="K213" s="283">
        <v>1.0</v>
      </c>
      <c r="L213" s="293" t="s">
        <v>35</v>
      </c>
      <c r="M213" s="274">
        <f>IF(AND(H213&lt;&gt;"", J213&lt;&gt;""), H213-J213, IF(H213&lt;&gt;"", H213-I213*VLOOKUP(A213, BACKEND1!$A:$G,6,FALSE), IF(J213&lt;&gt;"", -J213+K213*VLOOKUP(A213, BACKEND1!$A:$G,6,FALSE),0)))+ (C213+D213-E213)*VLOOKUP(A213, BACKEND1!$A:$G,5,FALSE)+G213
</f>
        <v>0</v>
      </c>
      <c r="N213" s="191"/>
      <c r="O213" s="247"/>
    </row>
    <row r="214">
      <c r="A214" s="10" t="s">
        <v>252</v>
      </c>
      <c r="B214" s="11"/>
      <c r="C214" s="267"/>
      <c r="D214" s="191"/>
      <c r="E214" s="247"/>
      <c r="F214" s="235"/>
      <c r="G214" s="235"/>
      <c r="H214" s="268"/>
      <c r="I214" s="281">
        <v>1.0</v>
      </c>
      <c r="J214" s="284"/>
      <c r="K214" s="283">
        <v>1.0</v>
      </c>
      <c r="L214" s="293"/>
      <c r="M214" s="274">
        <f>IF(AND(H214&lt;&gt;"", J214&lt;&gt;""), H214-J214, IF(H214&lt;&gt;"", H214-I214*VLOOKUP(A214, BACKEND1!$A:$G,6,FALSE), IF(J214&lt;&gt;"", -J214+K214*VLOOKUP(A214, BACKEND1!$A:$G,6,FALSE),0)))+ (C214+D214-E214)*VLOOKUP(A214, BACKEND1!$A:$G,5,FALSE)+G214
</f>
        <v>0</v>
      </c>
      <c r="N214" s="191"/>
      <c r="O214" s="247"/>
    </row>
    <row r="215">
      <c r="A215" s="12" t="s">
        <v>253</v>
      </c>
      <c r="B215" s="12" t="s">
        <v>40</v>
      </c>
      <c r="C215" s="267"/>
      <c r="D215" s="191"/>
      <c r="E215" s="247"/>
      <c r="F215" s="235" t="s">
        <v>254</v>
      </c>
      <c r="G215" s="235"/>
      <c r="H215" s="268"/>
      <c r="I215" s="281">
        <v>1.0</v>
      </c>
      <c r="J215" s="284"/>
      <c r="K215" s="283">
        <v>1.0</v>
      </c>
      <c r="L215" s="235" t="s">
        <v>254</v>
      </c>
      <c r="M215" s="274">
        <f>IF(AND(H215&lt;&gt;"", J215&lt;&gt;""), H215-J215, IF(H215&lt;&gt;"", H215-I215*VLOOKUP(A215, BACKEND1!$A:$G,6,FALSE), IF(J215&lt;&gt;"", -J215+K215*VLOOKUP(A215, BACKEND1!$A:$G,6,FALSE),0)))+ (C215+D215-E215)*VLOOKUP(A215, BACKEND1!$A:$G,5,FALSE)+G215
</f>
        <v>0</v>
      </c>
      <c r="N215" s="191"/>
      <c r="O215" s="247"/>
    </row>
    <row r="216">
      <c r="A216" s="12" t="s">
        <v>256</v>
      </c>
      <c r="B216" s="12" t="s">
        <v>40</v>
      </c>
      <c r="C216" s="267"/>
      <c r="D216" s="191"/>
      <c r="E216" s="247"/>
      <c r="F216" s="235" t="s">
        <v>234</v>
      </c>
      <c r="G216" s="235"/>
      <c r="H216" s="268"/>
      <c r="I216" s="281">
        <v>1.0</v>
      </c>
      <c r="J216" s="284"/>
      <c r="K216" s="283">
        <v>1.0</v>
      </c>
      <c r="L216" s="235" t="s">
        <v>234</v>
      </c>
      <c r="M216" s="274">
        <f>IF(AND(H216&lt;&gt;"", J216&lt;&gt;""), H216-J216, IF(H216&lt;&gt;"", H216-I216*VLOOKUP(A216, BACKEND1!$A:$G,6,FALSE), IF(J216&lt;&gt;"", -J216+K216*VLOOKUP(A216, BACKEND1!$A:$G,6,FALSE),0)))+ (C216+D216-E216)*VLOOKUP(A216, BACKEND1!$A:$G,5,FALSE)+G216
</f>
        <v>0</v>
      </c>
      <c r="N216" s="191"/>
      <c r="O216" s="247"/>
    </row>
    <row r="217">
      <c r="A217" s="12" t="s">
        <v>258</v>
      </c>
      <c r="B217" s="12" t="s">
        <v>259</v>
      </c>
      <c r="C217" s="267"/>
      <c r="D217" s="227">
        <v>10.0</v>
      </c>
      <c r="E217" s="247"/>
      <c r="F217" s="235" t="s">
        <v>17</v>
      </c>
      <c r="G217" s="235"/>
      <c r="H217" s="272">
        <v>8.0</v>
      </c>
      <c r="I217" s="281">
        <v>1.0</v>
      </c>
      <c r="J217" s="282">
        <v>12.0</v>
      </c>
      <c r="K217" s="283">
        <v>1.0</v>
      </c>
      <c r="L217" s="293" t="s">
        <v>17</v>
      </c>
      <c r="M217" s="274">
        <f>IF(AND(H217&lt;&gt;"", J217&lt;&gt;""), H217-J217, IF(H217&lt;&gt;"", H217-I217*VLOOKUP(A217, BACKEND1!$A:$G,6,FALSE), IF(J217&lt;&gt;"", -J217+K217*VLOOKUP(A217, BACKEND1!$A:$G,6,FALSE),0)))+ (C217+D217-E217)*VLOOKUP(A217, BACKEND1!$A:$G,5,FALSE)+G217
</f>
        <v>6</v>
      </c>
      <c r="N217" s="191"/>
      <c r="O217" s="247"/>
    </row>
    <row r="218">
      <c r="A218" s="12" t="s">
        <v>260</v>
      </c>
      <c r="B218" s="12" t="s">
        <v>261</v>
      </c>
      <c r="C218" s="267"/>
      <c r="D218" s="191"/>
      <c r="E218" s="247"/>
      <c r="F218" s="235" t="s">
        <v>35</v>
      </c>
      <c r="G218" s="235"/>
      <c r="H218" s="272">
        <v>1.641</v>
      </c>
      <c r="I218" s="281">
        <v>1.0</v>
      </c>
      <c r="J218" s="282">
        <v>0.982</v>
      </c>
      <c r="K218" s="283">
        <v>1.0</v>
      </c>
      <c r="L218" s="293" t="s">
        <v>35</v>
      </c>
      <c r="M218" s="274">
        <f>IF(AND(H218&lt;&gt;"", J218&lt;&gt;""), H218-J218, IF(H218&lt;&gt;"", H218-I218*VLOOKUP(A218, BACKEND1!$A:$G,6,FALSE), IF(J218&lt;&gt;"", -J218+K218*VLOOKUP(A218, BACKEND1!$A:$G,6,FALSE),0)))+ (C218+D218-E218)*VLOOKUP(A218, BACKEND1!$A:$G,5,FALSE)+G218
</f>
        <v>0.659</v>
      </c>
      <c r="N218" s="191"/>
      <c r="O218" s="247"/>
    </row>
    <row r="219">
      <c r="A219" s="12" t="s">
        <v>263</v>
      </c>
      <c r="B219" s="12" t="s">
        <v>17</v>
      </c>
      <c r="C219" s="267"/>
      <c r="D219" s="227">
        <v>65.0</v>
      </c>
      <c r="E219" s="247"/>
      <c r="F219" s="235" t="s">
        <v>17</v>
      </c>
      <c r="G219" s="235"/>
      <c r="H219" s="272">
        <v>13.0</v>
      </c>
      <c r="I219" s="281">
        <v>1.0</v>
      </c>
      <c r="J219" s="282">
        <v>35.0</v>
      </c>
      <c r="K219" s="283">
        <v>1.0</v>
      </c>
      <c r="L219" s="268" t="s">
        <v>17</v>
      </c>
      <c r="M219" s="274">
        <f>IF(AND(H219&lt;&gt;"", J219&lt;&gt;""), H219-J219, IF(H219&lt;&gt;"", H219-I219*VLOOKUP(A219, BACKEND1!$A:$G,6,FALSE), IF(J219&lt;&gt;"", -J219+K219*VLOOKUP(A219, BACKEND1!$A:$G,6,FALSE),0)))+ (C219+D219-E219)*VLOOKUP(A219, BACKEND1!$A:$G,5,FALSE)+G219
</f>
        <v>43</v>
      </c>
      <c r="N219" s="191"/>
      <c r="O219" s="247"/>
    </row>
    <row r="220">
      <c r="A220" s="12" t="s">
        <v>264</v>
      </c>
      <c r="B220" s="12" t="s">
        <v>261</v>
      </c>
      <c r="C220" s="267"/>
      <c r="D220" s="191"/>
      <c r="E220" s="247"/>
      <c r="F220" s="235" t="s">
        <v>35</v>
      </c>
      <c r="G220" s="235"/>
      <c r="H220" s="272"/>
      <c r="I220" s="281">
        <v>1.0</v>
      </c>
      <c r="J220" s="284"/>
      <c r="K220" s="283">
        <v>1.0</v>
      </c>
      <c r="L220" s="268" t="s">
        <v>35</v>
      </c>
      <c r="M220" s="274">
        <f>IF(AND(H220&lt;&gt;"", J220&lt;&gt;""), H220-J220, IF(H220&lt;&gt;"", H220-I220*VLOOKUP(A220, BACKEND1!$A:$G,6,FALSE), IF(J220&lt;&gt;"", -J220+K220*VLOOKUP(A220, BACKEND1!$A:$G,6,FALSE),0)))+ (C220+D220-E220)*VLOOKUP(A220, BACKEND1!$A:$G,5,FALSE)+G220
</f>
        <v>0</v>
      </c>
      <c r="N220" s="191"/>
      <c r="O220" s="247"/>
    </row>
    <row r="221">
      <c r="A221" s="12" t="s">
        <v>265</v>
      </c>
      <c r="B221" s="12" t="s">
        <v>40</v>
      </c>
      <c r="C221" s="271">
        <v>1.0</v>
      </c>
      <c r="D221" s="191"/>
      <c r="E221" s="247"/>
      <c r="F221" s="235" t="s">
        <v>17</v>
      </c>
      <c r="G221" s="235"/>
      <c r="H221" s="272">
        <v>48.0</v>
      </c>
      <c r="I221" s="281">
        <v>1.0</v>
      </c>
      <c r="J221" s="282">
        <v>69.0</v>
      </c>
      <c r="K221" s="283">
        <v>1.0</v>
      </c>
      <c r="L221" s="268" t="s">
        <v>17</v>
      </c>
      <c r="M221" s="274">
        <f>IF(AND(H221&lt;&gt;"", J221&lt;&gt;""), H221-J221, IF(H221&lt;&gt;"", H221-I221*VLOOKUP(A221, BACKEND1!$A:$G,6,FALSE), IF(J221&lt;&gt;"", -J221+K221*VLOOKUP(A221, BACKEND1!$A:$G,6,FALSE),0)))+ (C221+D221-E221)*VLOOKUP(A221, BACKEND1!$A:$G,5,FALSE)+G221
</f>
        <v>4</v>
      </c>
      <c r="N221" s="191"/>
      <c r="O221" s="247"/>
    </row>
    <row r="222">
      <c r="A222" s="12" t="s">
        <v>266</v>
      </c>
      <c r="B222" s="12" t="s">
        <v>267</v>
      </c>
      <c r="C222" s="271">
        <v>1.0</v>
      </c>
      <c r="D222" s="191"/>
      <c r="E222" s="247"/>
      <c r="F222" s="235" t="s">
        <v>17</v>
      </c>
      <c r="G222" s="235"/>
      <c r="H222" s="272">
        <v>37.0</v>
      </c>
      <c r="I222" s="281">
        <v>1.0</v>
      </c>
      <c r="J222" s="282">
        <v>81.0</v>
      </c>
      <c r="K222" s="283">
        <v>1.0</v>
      </c>
      <c r="L222" s="268" t="s">
        <v>17</v>
      </c>
      <c r="M222" s="274">
        <f>IF(AND(H222&lt;&gt;"", J222&lt;&gt;""), H222-J222, IF(H222&lt;&gt;"", H222-I222*VLOOKUP(A222, BACKEND1!$A:$G,6,FALSE), IF(J222&lt;&gt;"", -J222+K222*VLOOKUP(A222, BACKEND1!$A:$G,6,FALSE),0)))+ (C222+D222-E222)*VLOOKUP(A222, BACKEND1!$A:$G,5,FALSE)+G222
</f>
        <v>6</v>
      </c>
      <c r="N222" s="191"/>
      <c r="O222" s="247"/>
    </row>
    <row r="223">
      <c r="A223" s="12" t="s">
        <v>268</v>
      </c>
      <c r="B223" s="12" t="s">
        <v>40</v>
      </c>
      <c r="C223" s="267"/>
      <c r="D223" s="191"/>
      <c r="E223" s="247"/>
      <c r="F223" s="235" t="s">
        <v>17</v>
      </c>
      <c r="G223" s="235"/>
      <c r="H223" s="272"/>
      <c r="I223" s="281">
        <v>1.0</v>
      </c>
      <c r="J223" s="284"/>
      <c r="K223" s="283">
        <v>1.0</v>
      </c>
      <c r="L223" s="268" t="s">
        <v>17</v>
      </c>
      <c r="M223" s="274">
        <f>IF(AND(H223&lt;&gt;"", J223&lt;&gt;""), H223-J223, IF(H223&lt;&gt;"", H223-I223*VLOOKUP(A223, BACKEND1!$A:$G,6,FALSE), IF(J223&lt;&gt;"", -J223+K223*VLOOKUP(A223, BACKEND1!$A:$G,6,FALSE),0)))+ (C223+D223-E223)*VLOOKUP(A223, BACKEND1!$A:$G,5,FALSE)+G223
</f>
        <v>0</v>
      </c>
      <c r="N223" s="191"/>
      <c r="O223" s="247"/>
    </row>
    <row r="224">
      <c r="A224" s="12" t="s">
        <v>269</v>
      </c>
      <c r="B224" s="294" t="s">
        <v>40</v>
      </c>
      <c r="C224" s="227">
        <v>1.0</v>
      </c>
      <c r="D224" s="191"/>
      <c r="E224" s="191"/>
      <c r="F224" s="191" t="s">
        <v>17</v>
      </c>
      <c r="G224" s="191"/>
      <c r="H224" s="227">
        <v>25.0</v>
      </c>
      <c r="I224" s="281">
        <v>1.0</v>
      </c>
      <c r="J224" s="227">
        <v>68.0</v>
      </c>
      <c r="K224" s="283">
        <v>1.0</v>
      </c>
      <c r="L224" s="191" t="s">
        <v>17</v>
      </c>
      <c r="M224" s="295">
        <f>IF(AND(H224&lt;&gt;"", J224&lt;&gt;""), H224-J224, IF(H224&lt;&gt;"", H224-I224*VLOOKUP(A224, BACKEND1!$A:$G,6,FALSE), IF(J224&lt;&gt;"", -J224+K224*VLOOKUP(A224, BACKEND1!$A:$G,6,FALSE),0)))+ (C224+D224-E224)*VLOOKUP(A224, BACKEND1!$A:$G,5,FALSE)+G224
</f>
        <v>7</v>
      </c>
      <c r="N224" s="191"/>
      <c r="O224" s="247"/>
    </row>
    <row r="225">
      <c r="A225" s="12" t="s">
        <v>270</v>
      </c>
      <c r="B225" s="294" t="s">
        <v>40</v>
      </c>
      <c r="C225" s="227">
        <v>1.0</v>
      </c>
      <c r="D225" s="191"/>
      <c r="E225" s="191"/>
      <c r="F225" s="191" t="s">
        <v>17</v>
      </c>
      <c r="G225" s="191"/>
      <c r="H225" s="227">
        <v>11.0</v>
      </c>
      <c r="I225" s="281">
        <v>1.0</v>
      </c>
      <c r="J225" s="227">
        <v>54.0</v>
      </c>
      <c r="K225" s="283">
        <v>1.0</v>
      </c>
      <c r="L225" s="191" t="s">
        <v>17</v>
      </c>
      <c r="M225" s="295">
        <f>IF(AND(H225&lt;&gt;"", J225&lt;&gt;""), H225-J225, IF(H225&lt;&gt;"", H225-I225*VLOOKUP(A225, BACKEND1!$A:$G,6,FALSE), IF(J225&lt;&gt;"", -J225+K225*VLOOKUP(A225, BACKEND1!$A:$G,6,FALSE),0)))+ (C225+D225-E225)*VLOOKUP(A225, BACKEND1!$A:$G,5,FALSE)+G225
</f>
        <v>7</v>
      </c>
      <c r="N225" s="191"/>
      <c r="O225" s="247"/>
    </row>
    <row r="226">
      <c r="A226" s="12" t="s">
        <v>271</v>
      </c>
      <c r="B226" s="294" t="s">
        <v>40</v>
      </c>
      <c r="C226" s="227">
        <v>1.0</v>
      </c>
      <c r="D226" s="227"/>
      <c r="E226" s="191"/>
      <c r="F226" s="191" t="s">
        <v>17</v>
      </c>
      <c r="G226" s="191"/>
      <c r="H226" s="227">
        <v>27.0</v>
      </c>
      <c r="I226" s="281">
        <v>1.0</v>
      </c>
      <c r="J226" s="227">
        <v>56.0</v>
      </c>
      <c r="K226" s="283">
        <v>1.0</v>
      </c>
      <c r="L226" s="191" t="s">
        <v>17</v>
      </c>
      <c r="M226" s="295">
        <f>IF(AND(H226&lt;&gt;"", J226&lt;&gt;""), H226-J226, IF(H226&lt;&gt;"", H226-I226*VLOOKUP(A226, BACKEND1!$A:$G,6,FALSE), IF(J226&lt;&gt;"", -J226+K226*VLOOKUP(A226, BACKEND1!$A:$G,6,FALSE),0)))+ (C226+D226-E226)*VLOOKUP(A226, BACKEND1!$A:$G,5,FALSE)+G226
</f>
        <v>21</v>
      </c>
      <c r="N226" s="191"/>
      <c r="O226" s="247"/>
    </row>
    <row r="227">
      <c r="A227" s="12" t="s">
        <v>272</v>
      </c>
      <c r="B227" s="294" t="s">
        <v>40</v>
      </c>
      <c r="C227" s="296"/>
      <c r="D227" s="297">
        <v>4.0</v>
      </c>
      <c r="E227" s="296"/>
      <c r="F227" s="296" t="s">
        <v>17</v>
      </c>
      <c r="G227" s="296"/>
      <c r="H227" s="297">
        <v>11.0</v>
      </c>
      <c r="I227" s="281">
        <v>1.0</v>
      </c>
      <c r="J227" s="297">
        <v>9.0</v>
      </c>
      <c r="K227" s="283">
        <v>1.0</v>
      </c>
      <c r="L227" s="296" t="s">
        <v>17</v>
      </c>
      <c r="M227" s="298">
        <f>IF(AND(H227&lt;&gt;"", J227&lt;&gt;""), H227-J227, IF(H227&lt;&gt;"", H227-I227*VLOOKUP(A227, BACKEND1!$A:$G,6,FALSE), IF(J227&lt;&gt;"", -J227+K227*VLOOKUP(A227, BACKEND1!$A:$G,6,FALSE),0)))+ (C227+D227-E227)*VLOOKUP(A227, BACKEND1!$A:$G,5,FALSE)+G227
</f>
        <v>6</v>
      </c>
      <c r="N227" s="296"/>
      <c r="O227" s="299"/>
    </row>
    <row r="228">
      <c r="A228" s="23"/>
      <c r="B228" s="11"/>
      <c r="C228" s="11"/>
      <c r="D228" s="11"/>
      <c r="E228" s="11"/>
      <c r="F228" s="11"/>
      <c r="G228" s="11"/>
      <c r="H228" s="11"/>
      <c r="I228" s="11"/>
      <c r="J228" s="11"/>
      <c r="K228" s="283"/>
      <c r="L228" s="11"/>
      <c r="M228" s="11"/>
      <c r="N228" s="11"/>
      <c r="O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19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19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19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19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191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19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19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191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191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19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19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19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19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19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191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191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19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19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19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19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19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19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191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191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191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19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19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19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19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19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19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19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19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191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191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191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19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19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19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19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191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19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19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19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19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</sheetData>
  <mergeCells count="4">
    <mergeCell ref="A1:O1"/>
    <mergeCell ref="B2:E2"/>
    <mergeCell ref="F2:K2"/>
    <mergeCell ref="L2:O2"/>
  </mergeCells>
  <drawing r:id="rId1"/>
</worksheet>
</file>